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medal.png" ContentType="image/.PNG"/>
  <Override PartName="/customUI/images/erase.png" ContentType="image/.PNG"/>
  <Override PartName="/customUI/images/transfer.png" ContentType="image/.PNG"/>
  <Override PartName="/customUI/images/user-profile.png" ContentType="image/.PNG"/>
  <Override PartName="/customUI/images/home.png" ContentType="image/.PNG"/>
  <Override PartName="/customUI/images/ft.png" ContentType="image/.PNG"/>
  <Override PartName="/customUI/images/announcement.png" ContentType="image/.PNG"/>
  <Override PartName="/customUI/images/story.png" ContentType="image/.PNG"/>
  <Override PartName="/customUI/images/sheet.png" ContentType="image/.PNG"/>
  <Override PartName="/customUI/images/reload.png" ContentType="image/.PNG"/>
  <Override PartName="/customUI/images/spreadsheet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089bd665491492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N:\개인\$$ 셀러 프로젝트(제원이네)\■ 엑셀 모음\엑셀작업\v8\"/>
    </mc:Choice>
  </mc:AlternateContent>
  <xr:revisionPtr revIDLastSave="0" documentId="13_ncr:1_{EA56BB0A-1DAA-44C4-AE47-DD8294626BEE}" xr6:coauthVersionLast="47" xr6:coauthVersionMax="47" xr10:uidLastSave="{00000000-0000-0000-0000-000000000000}"/>
  <bookViews>
    <workbookView xWindow="-120" yWindow="-120" windowWidth="29040" windowHeight="15720" activeTab="11" xr2:uid="{B97E59C3-88E6-4850-8921-7E8AD7B6A33D}"/>
  </bookViews>
  <sheets>
    <sheet name="대시보드" sheetId="1" r:id="rId1"/>
    <sheet name="검색" sheetId="9" r:id="rId2"/>
    <sheet name="입력" sheetId="5" r:id="rId3"/>
    <sheet name="출고표" sheetId="11" state="hidden" r:id="rId4"/>
    <sheet name="F출고표" sheetId="13" state="hidden" r:id="rId5"/>
    <sheet name="S출고표" sheetId="16" state="hidden" r:id="rId6"/>
    <sheet name="출고DB" sheetId="6" r:id="rId7"/>
    <sheet name="S필터" sheetId="17" state="hidden" r:id="rId8"/>
    <sheet name="F필터" sheetId="18" state="hidden" r:id="rId9"/>
    <sheet name="고객DB" sheetId="7" r:id="rId10"/>
    <sheet name="병합" sheetId="8" state="hidden" r:id="rId11"/>
    <sheet name="Settings" sheetId="2" r:id="rId12"/>
  </sheets>
  <functionGroups builtInGroupCount="19"/>
  <definedNames>
    <definedName name="ExternalData_1" localSheetId="4" hidden="1">F출고표!$A$1:$AW$73</definedName>
    <definedName name="ExternalData_1" localSheetId="5" hidden="1">S출고표!$A$1:$AW$108</definedName>
    <definedName name="ExternalData_1" localSheetId="2" hidden="1">입력!$AB$1:$BE$178</definedName>
    <definedName name="ExternalData_1" localSheetId="3" hidden="1">출고표!$A$1:$AD$180</definedName>
    <definedName name="ExternalData_2" localSheetId="10" hidden="1">병합!$A$1:$X$105</definedName>
    <definedName name="WBPath">Settings!$B$16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14" i="1" l="1" a="1"/>
  <c r="BF14" i="1" s="1"/>
  <c r="H14" i="1" a="1"/>
  <c r="H14" i="1" s="1"/>
  <c r="AE2" i="11"/>
  <c r="AE3" i="11"/>
  <c r="AE4" i="11"/>
  <c r="AE5" i="11"/>
  <c r="AE6" i="11"/>
  <c r="AE7" i="11"/>
  <c r="AE8" i="11"/>
  <c r="AE9" i="11"/>
  <c r="AE10" i="11"/>
  <c r="AE11" i="11"/>
  <c r="AE12" i="11"/>
  <c r="AE13" i="11"/>
  <c r="AE14" i="11"/>
  <c r="AE15" i="11"/>
  <c r="AE16" i="11"/>
  <c r="AE17" i="11"/>
  <c r="AE18" i="11"/>
  <c r="AE19" i="11"/>
  <c r="AE20" i="11"/>
  <c r="AE21" i="11"/>
  <c r="AE22" i="11"/>
  <c r="AE23" i="11"/>
  <c r="AE24" i="11"/>
  <c r="AE25" i="11"/>
  <c r="AE26" i="11"/>
  <c r="AE27" i="11"/>
  <c r="AE28" i="11"/>
  <c r="AE29" i="11"/>
  <c r="AE30" i="11"/>
  <c r="AE31" i="11"/>
  <c r="AE32" i="11"/>
  <c r="AE33" i="11"/>
  <c r="AE34" i="11"/>
  <c r="AE35" i="11"/>
  <c r="AE36" i="11"/>
  <c r="AE37" i="11"/>
  <c r="AE38" i="11"/>
  <c r="AE39" i="11"/>
  <c r="AE40" i="11"/>
  <c r="AE41" i="11"/>
  <c r="AE42" i="11"/>
  <c r="AE43" i="11"/>
  <c r="AE44" i="11"/>
  <c r="AE45" i="11"/>
  <c r="AE46" i="11"/>
  <c r="AE47" i="11"/>
  <c r="AE48" i="11"/>
  <c r="AE49" i="11"/>
  <c r="AE50" i="11"/>
  <c r="AE51" i="11"/>
  <c r="AE52" i="11"/>
  <c r="AE53" i="11"/>
  <c r="AE54" i="11"/>
  <c r="AE55" i="11"/>
  <c r="AE56" i="11"/>
  <c r="AE57" i="11"/>
  <c r="AE58" i="11"/>
  <c r="AE59" i="11"/>
  <c r="AE60" i="11"/>
  <c r="AE61" i="11"/>
  <c r="AE62" i="11"/>
  <c r="AE63" i="11"/>
  <c r="AE64" i="11"/>
  <c r="AE65" i="11"/>
  <c r="AE66" i="11"/>
  <c r="AE67" i="11"/>
  <c r="AE68" i="11"/>
  <c r="AE69" i="11"/>
  <c r="AE70" i="11"/>
  <c r="AE71" i="11"/>
  <c r="AE72" i="11"/>
  <c r="AE73" i="11"/>
  <c r="AE74" i="11"/>
  <c r="AE75" i="11"/>
  <c r="AE76" i="11"/>
  <c r="AE77" i="11"/>
  <c r="AE78" i="11"/>
  <c r="AE79" i="11"/>
  <c r="AE80" i="11"/>
  <c r="AE81" i="11"/>
  <c r="AE82" i="11"/>
  <c r="AE83" i="11"/>
  <c r="AE84" i="11"/>
  <c r="AE85" i="11"/>
  <c r="AE86" i="11"/>
  <c r="AE87" i="11"/>
  <c r="AE88" i="11"/>
  <c r="AE89" i="11"/>
  <c r="AE90" i="11"/>
  <c r="AE91" i="11"/>
  <c r="AE92" i="11"/>
  <c r="AE93" i="11"/>
  <c r="AE94" i="11"/>
  <c r="AE95" i="11"/>
  <c r="AE96" i="11"/>
  <c r="AE97" i="11"/>
  <c r="AE98" i="11"/>
  <c r="AE99" i="11"/>
  <c r="AE100" i="11"/>
  <c r="AE101" i="11"/>
  <c r="AE102" i="11"/>
  <c r="AE103" i="11"/>
  <c r="AE104" i="11"/>
  <c r="AE105" i="11"/>
  <c r="AE106" i="11"/>
  <c r="AE107" i="11"/>
  <c r="AE108" i="11"/>
  <c r="AE109" i="11"/>
  <c r="AE110" i="11"/>
  <c r="AE111" i="11"/>
  <c r="AE112" i="11"/>
  <c r="AE113" i="11"/>
  <c r="AE114" i="11"/>
  <c r="AE115" i="11"/>
  <c r="AE116" i="11"/>
  <c r="AE117" i="11"/>
  <c r="AE118" i="11"/>
  <c r="AE119" i="11"/>
  <c r="AE120" i="11"/>
  <c r="AE121" i="11"/>
  <c r="AE122" i="11"/>
  <c r="AE123" i="11"/>
  <c r="AE124" i="11"/>
  <c r="AE125" i="11"/>
  <c r="AE126" i="11"/>
  <c r="AE127" i="11"/>
  <c r="AE128" i="11"/>
  <c r="AE129" i="11"/>
  <c r="AE130" i="11"/>
  <c r="AE131" i="11"/>
  <c r="AE132" i="11"/>
  <c r="AE133" i="11"/>
  <c r="AE134" i="11"/>
  <c r="AE135" i="11"/>
  <c r="AE136" i="11"/>
  <c r="AE137" i="11"/>
  <c r="AE138" i="11"/>
  <c r="AE139" i="11"/>
  <c r="AE140" i="11"/>
  <c r="AE141" i="11"/>
  <c r="AE142" i="11"/>
  <c r="AE143" i="11"/>
  <c r="AE144" i="11"/>
  <c r="AE145" i="11"/>
  <c r="AE146" i="11"/>
  <c r="AE147" i="11"/>
  <c r="AE148" i="11"/>
  <c r="AE149" i="11"/>
  <c r="AE150" i="11"/>
  <c r="AE151" i="11"/>
  <c r="AE152" i="11"/>
  <c r="AE153" i="11"/>
  <c r="AE154" i="11"/>
  <c r="AE155" i="11"/>
  <c r="AE156" i="11"/>
  <c r="AE157" i="11"/>
  <c r="AE158" i="11"/>
  <c r="AE159" i="11"/>
  <c r="AE160" i="11"/>
  <c r="AE161" i="11"/>
  <c r="AE162" i="11"/>
  <c r="AE163" i="11"/>
  <c r="AE164" i="11"/>
  <c r="AE165" i="11"/>
  <c r="AE166" i="11"/>
  <c r="AE167" i="11"/>
  <c r="AE168" i="11"/>
  <c r="AE169" i="11"/>
  <c r="AE170" i="11"/>
  <c r="AE171" i="11"/>
  <c r="AE172" i="11"/>
  <c r="AE173" i="11"/>
  <c r="AE174" i="11"/>
  <c r="AE175" i="11"/>
  <c r="AE176" i="11"/>
  <c r="AE177" i="11"/>
  <c r="AE178" i="11"/>
  <c r="AE179" i="11"/>
  <c r="AE180" i="11"/>
  <c r="AR12" i="6"/>
  <c r="AR13" i="6"/>
  <c r="AR14" i="6"/>
  <c r="AR15" i="6"/>
  <c r="AR16" i="6"/>
  <c r="AR17" i="6"/>
  <c r="AR18" i="6"/>
  <c r="AR19" i="6"/>
  <c r="AR21" i="6"/>
  <c r="AR22" i="6"/>
  <c r="AR23" i="6"/>
  <c r="AR34" i="6"/>
  <c r="AR35" i="6"/>
  <c r="AR36" i="6"/>
  <c r="AR37" i="6"/>
  <c r="AR38" i="6"/>
  <c r="AR39" i="6"/>
  <c r="AR45" i="6"/>
  <c r="AR46" i="6"/>
  <c r="AR47" i="6"/>
  <c r="AR51" i="6"/>
  <c r="AR52" i="6"/>
  <c r="AR53" i="6"/>
  <c r="AR54" i="6"/>
  <c r="AR55" i="6"/>
  <c r="AR56" i="6"/>
  <c r="AR57" i="6"/>
  <c r="AR58" i="6"/>
  <c r="AR59" i="6"/>
  <c r="AR60" i="6"/>
  <c r="AR67" i="6"/>
  <c r="AR68" i="6"/>
  <c r="AR69" i="6"/>
  <c r="AR70" i="6"/>
  <c r="AR71" i="6"/>
  <c r="AR72" i="6"/>
  <c r="AR73" i="6"/>
  <c r="AR85" i="6"/>
  <c r="AR86" i="6"/>
  <c r="AR87" i="6"/>
  <c r="AR88" i="6"/>
  <c r="AR89" i="6"/>
  <c r="AR90" i="6"/>
  <c r="AR91" i="6"/>
  <c r="AR92" i="6"/>
  <c r="AR93" i="6"/>
  <c r="AR94" i="6"/>
  <c r="AR95" i="6"/>
  <c r="AR96" i="6"/>
  <c r="AR97" i="6"/>
  <c r="AR98" i="6"/>
  <c r="AR99" i="6"/>
  <c r="AR100" i="6"/>
  <c r="AR101" i="6"/>
  <c r="AR102" i="6"/>
  <c r="AR103" i="6"/>
  <c r="AR104" i="6"/>
  <c r="AR105" i="6"/>
  <c r="AR106" i="6"/>
  <c r="AR107" i="6"/>
  <c r="AR115" i="6"/>
  <c r="AR116" i="6"/>
  <c r="AR117" i="6"/>
  <c r="AR118" i="6"/>
  <c r="AR119" i="6"/>
  <c r="AR120" i="6"/>
  <c r="AR121" i="6"/>
  <c r="AR122" i="6"/>
  <c r="AR132" i="6"/>
  <c r="AR133" i="6"/>
  <c r="AR134" i="6"/>
  <c r="AR135" i="6"/>
  <c r="AR139" i="6"/>
  <c r="AR140" i="6"/>
  <c r="AR141" i="6"/>
  <c r="AR146" i="6"/>
  <c r="AR147" i="6"/>
  <c r="AR148" i="6"/>
  <c r="AR149" i="6"/>
  <c r="AR150" i="6"/>
  <c r="AR151" i="6"/>
  <c r="AR152" i="6"/>
  <c r="AR153" i="6"/>
  <c r="AR154" i="6"/>
  <c r="AR155" i="6"/>
  <c r="AR156" i="6"/>
  <c r="AR157" i="6"/>
  <c r="AR158" i="6"/>
  <c r="AR159" i="6"/>
  <c r="AR160" i="6"/>
  <c r="AR161" i="6"/>
  <c r="AR169" i="6"/>
  <c r="AR170" i="6"/>
  <c r="AR171" i="6"/>
  <c r="AR172" i="6"/>
  <c r="AR173" i="6"/>
  <c r="AR174" i="6"/>
  <c r="AR180" i="6"/>
  <c r="AR3" i="6"/>
  <c r="AR4" i="6"/>
  <c r="M122" i="7"/>
  <c r="AP180" i="6"/>
  <c r="AS180" i="6" s="1"/>
  <c r="AQ180" i="6"/>
  <c r="AV180" i="6"/>
  <c r="AP179" i="6"/>
  <c r="AQ179" i="6"/>
  <c r="AV179" i="6"/>
  <c r="M121" i="7"/>
  <c r="AP178" i="6"/>
  <c r="AQ178" i="6"/>
  <c r="AV178" i="6"/>
  <c r="AP177" i="6"/>
  <c r="AQ177" i="6"/>
  <c r="AV177" i="6"/>
  <c r="M120" i="7"/>
  <c r="AP176" i="6"/>
  <c r="AQ176" i="6"/>
  <c r="AV176" i="6"/>
  <c r="M119" i="7"/>
  <c r="AP175" i="6"/>
  <c r="AQ175" i="6"/>
  <c r="AV175" i="6"/>
  <c r="M118" i="7"/>
  <c r="AP174" i="6"/>
  <c r="AQ174" i="6"/>
  <c r="AV174" i="6"/>
  <c r="M117" i="7"/>
  <c r="AP173" i="6"/>
  <c r="AQ173" i="6"/>
  <c r="AV173" i="6"/>
  <c r="AP172" i="6"/>
  <c r="AQ172" i="6"/>
  <c r="AV172" i="6"/>
  <c r="AP171" i="6"/>
  <c r="AQ171" i="6"/>
  <c r="AV171" i="6"/>
  <c r="M116" i="7"/>
  <c r="AP170" i="6"/>
  <c r="AQ170" i="6"/>
  <c r="AV170" i="6"/>
  <c r="M115" i="7"/>
  <c r="AP169" i="6"/>
  <c r="AQ169" i="6"/>
  <c r="AV169" i="6"/>
  <c r="M114" i="7"/>
  <c r="AP168" i="6"/>
  <c r="AQ168" i="6"/>
  <c r="AS168" i="6"/>
  <c r="AT168" i="6"/>
  <c r="AV168" i="6"/>
  <c r="AP167" i="6"/>
  <c r="AT167" i="6" s="1"/>
  <c r="AQ167" i="6"/>
  <c r="AS167" i="6"/>
  <c r="AV167" i="6"/>
  <c r="AP166" i="6"/>
  <c r="AT166" i="6" s="1"/>
  <c r="AQ166" i="6"/>
  <c r="AS166" i="6"/>
  <c r="AV166" i="6"/>
  <c r="M113" i="7"/>
  <c r="AP165" i="6"/>
  <c r="AQ165" i="6"/>
  <c r="AS165" i="6"/>
  <c r="AT165" i="6"/>
  <c r="AV165" i="6"/>
  <c r="M112" i="7"/>
  <c r="AP164" i="6"/>
  <c r="AQ164" i="6"/>
  <c r="AV164" i="6"/>
  <c r="M111" i="7"/>
  <c r="AP163" i="6"/>
  <c r="AQ163" i="6"/>
  <c r="AV163" i="6"/>
  <c r="M110" i="7"/>
  <c r="AP162" i="6"/>
  <c r="AQ162" i="6"/>
  <c r="AV162" i="6"/>
  <c r="M109" i="7"/>
  <c r="AP161" i="6"/>
  <c r="AQ161" i="6"/>
  <c r="AV161" i="6"/>
  <c r="AP160" i="6"/>
  <c r="AQ160" i="6"/>
  <c r="AV160" i="6"/>
  <c r="AP159" i="6"/>
  <c r="AQ159" i="6"/>
  <c r="AV159" i="6"/>
  <c r="AP158" i="6"/>
  <c r="AQ158" i="6"/>
  <c r="AV158" i="6"/>
  <c r="AP157" i="6"/>
  <c r="AQ157" i="6"/>
  <c r="AV157" i="6"/>
  <c r="M108" i="7"/>
  <c r="AP156" i="6"/>
  <c r="AQ156" i="6"/>
  <c r="AV156" i="6"/>
  <c r="M107" i="7"/>
  <c r="AP155" i="6"/>
  <c r="AQ155" i="6"/>
  <c r="AV155" i="6"/>
  <c r="M106" i="7"/>
  <c r="AP154" i="6"/>
  <c r="AQ154" i="6"/>
  <c r="AV154" i="6"/>
  <c r="M105" i="7"/>
  <c r="AP153" i="6"/>
  <c r="AQ153" i="6"/>
  <c r="AV153" i="6"/>
  <c r="M104" i="7"/>
  <c r="AP152" i="6"/>
  <c r="AQ152" i="6"/>
  <c r="AV152" i="6"/>
  <c r="M103" i="7"/>
  <c r="AP151" i="6"/>
  <c r="AQ151" i="6"/>
  <c r="AV151" i="6"/>
  <c r="M102" i="7"/>
  <c r="AP150" i="6"/>
  <c r="AQ150" i="6"/>
  <c r="AV150" i="6"/>
  <c r="AP149" i="6"/>
  <c r="AT149" i="6" s="1"/>
  <c r="AQ149" i="6"/>
  <c r="AS149" i="6"/>
  <c r="AV149" i="6"/>
  <c r="M101" i="7"/>
  <c r="AP148" i="6"/>
  <c r="AQ148" i="6"/>
  <c r="AS148" i="6" s="1"/>
  <c r="AT148" i="6"/>
  <c r="AV148" i="6"/>
  <c r="M100" i="7"/>
  <c r="AP147" i="6"/>
  <c r="AQ147" i="6"/>
  <c r="AS147" i="6"/>
  <c r="AT147" i="6"/>
  <c r="AV147" i="6"/>
  <c r="M99" i="7"/>
  <c r="AP146" i="6"/>
  <c r="AQ146" i="6"/>
  <c r="AS146" i="6" s="1"/>
  <c r="AT146" i="6"/>
  <c r="AV146" i="6"/>
  <c r="AP145" i="6"/>
  <c r="AQ145" i="6"/>
  <c r="AS145" i="6"/>
  <c r="AT145" i="6"/>
  <c r="AV145" i="6"/>
  <c r="M98" i="7"/>
  <c r="AP144" i="6"/>
  <c r="AQ144" i="6"/>
  <c r="AS144" i="6" s="1"/>
  <c r="AT144" i="6"/>
  <c r="AV144" i="6"/>
  <c r="M97" i="7"/>
  <c r="AP143" i="6"/>
  <c r="AQ143" i="6"/>
  <c r="AV143" i="6"/>
  <c r="M96" i="7"/>
  <c r="AP142" i="6"/>
  <c r="AQ142" i="6"/>
  <c r="AV142" i="6"/>
  <c r="M95" i="7"/>
  <c r="AP141" i="6"/>
  <c r="AQ141" i="6"/>
  <c r="AS141" i="6"/>
  <c r="AT141" i="6"/>
  <c r="AV141" i="6"/>
  <c r="M94" i="7"/>
  <c r="AP140" i="6"/>
  <c r="AQ140" i="6"/>
  <c r="AV140" i="6"/>
  <c r="AP139" i="6"/>
  <c r="AQ139" i="6"/>
  <c r="AS139" i="6"/>
  <c r="AT139" i="6"/>
  <c r="AV139" i="6"/>
  <c r="M93" i="7"/>
  <c r="AP138" i="6"/>
  <c r="AQ138" i="6"/>
  <c r="AS138" i="6" s="1"/>
  <c r="AT138" i="6"/>
  <c r="AV138" i="6"/>
  <c r="M92" i="7"/>
  <c r="AP137" i="6"/>
  <c r="AT137" i="6" s="1"/>
  <c r="AQ137" i="6"/>
  <c r="AS137" i="6"/>
  <c r="AV137" i="6"/>
  <c r="M91" i="7"/>
  <c r="AP136" i="6"/>
  <c r="AQ136" i="6"/>
  <c r="AS136" i="6"/>
  <c r="AT136" i="6"/>
  <c r="AV136" i="6"/>
  <c r="M90" i="7"/>
  <c r="AP135" i="6"/>
  <c r="AQ135" i="6"/>
  <c r="AV135" i="6"/>
  <c r="M89" i="7"/>
  <c r="AP134" i="6"/>
  <c r="AQ134" i="6"/>
  <c r="AV134" i="6"/>
  <c r="M88" i="7"/>
  <c r="AP133" i="6"/>
  <c r="AQ133" i="6"/>
  <c r="AV133" i="6"/>
  <c r="M87" i="7"/>
  <c r="AP132" i="6"/>
  <c r="AQ132" i="6"/>
  <c r="AV132" i="6"/>
  <c r="AP131" i="6"/>
  <c r="AQ131" i="6"/>
  <c r="AV131" i="6"/>
  <c r="M86" i="7"/>
  <c r="AP130" i="6"/>
  <c r="AQ130" i="6"/>
  <c r="AV130" i="6"/>
  <c r="AP129" i="6"/>
  <c r="AQ129" i="6"/>
  <c r="AV129" i="6"/>
  <c r="M85" i="7"/>
  <c r="AP128" i="6"/>
  <c r="AQ128" i="6"/>
  <c r="AV128" i="6"/>
  <c r="AP127" i="6"/>
  <c r="AQ127" i="6"/>
  <c r="AV127" i="6"/>
  <c r="AP126" i="6"/>
  <c r="AQ126" i="6"/>
  <c r="AV126" i="6"/>
  <c r="M84" i="7"/>
  <c r="AP125" i="6"/>
  <c r="AQ125" i="6"/>
  <c r="AV125" i="6"/>
  <c r="M83" i="7"/>
  <c r="AP124" i="6"/>
  <c r="AQ124" i="6"/>
  <c r="AV124" i="6"/>
  <c r="M82" i="7"/>
  <c r="AP123" i="6"/>
  <c r="AQ123" i="6"/>
  <c r="AV123" i="6"/>
  <c r="AP122" i="6"/>
  <c r="AS122" i="6" s="1"/>
  <c r="AQ122" i="6"/>
  <c r="AV122" i="6"/>
  <c r="AP121" i="6"/>
  <c r="AQ121" i="6"/>
  <c r="AS121" i="6"/>
  <c r="AT121" i="6"/>
  <c r="AV121" i="6"/>
  <c r="AP120" i="6"/>
  <c r="AQ120" i="6"/>
  <c r="AS120" i="6"/>
  <c r="AT120" i="6"/>
  <c r="AV120" i="6"/>
  <c r="AP119" i="6"/>
  <c r="AQ119" i="6"/>
  <c r="AS119" i="6"/>
  <c r="AT119" i="6"/>
  <c r="AV119" i="6"/>
  <c r="AP118" i="6"/>
  <c r="AQ118" i="6"/>
  <c r="AS118" i="6"/>
  <c r="AT118" i="6"/>
  <c r="AV118" i="6"/>
  <c r="AP117" i="6"/>
  <c r="AQ117" i="6"/>
  <c r="AS117" i="6"/>
  <c r="AT117" i="6"/>
  <c r="AV117" i="6"/>
  <c r="AP116" i="6"/>
  <c r="AQ116" i="6"/>
  <c r="AS116" i="6"/>
  <c r="AT116" i="6"/>
  <c r="AV116" i="6"/>
  <c r="AP115" i="6"/>
  <c r="AQ115" i="6"/>
  <c r="AS115" i="6" s="1"/>
  <c r="AT115" i="6"/>
  <c r="AV115" i="6"/>
  <c r="M81" i="7"/>
  <c r="AP114" i="6"/>
  <c r="AT114" i="6" s="1"/>
  <c r="AQ114" i="6"/>
  <c r="AS114" i="6"/>
  <c r="AV114" i="6"/>
  <c r="M80" i="7"/>
  <c r="AP113" i="6"/>
  <c r="AQ113" i="6"/>
  <c r="AS113" i="6"/>
  <c r="AT113" i="6"/>
  <c r="AV113" i="6"/>
  <c r="M79" i="7"/>
  <c r="AP112" i="6"/>
  <c r="AQ112" i="6"/>
  <c r="AV112" i="6"/>
  <c r="M78" i="7"/>
  <c r="AP111" i="6"/>
  <c r="AQ111" i="6"/>
  <c r="AV111" i="6"/>
  <c r="M77" i="7"/>
  <c r="AP110" i="6"/>
  <c r="AQ110" i="6"/>
  <c r="AV110" i="6"/>
  <c r="AP109" i="6"/>
  <c r="AQ109" i="6"/>
  <c r="AV109" i="6"/>
  <c r="M76" i="7"/>
  <c r="AP108" i="6"/>
  <c r="AQ108" i="6"/>
  <c r="AV108" i="6"/>
  <c r="AP107" i="6"/>
  <c r="AQ107" i="6"/>
  <c r="AS107" i="6"/>
  <c r="AT107" i="6"/>
  <c r="AV107" i="6"/>
  <c r="M75" i="7"/>
  <c r="AP106" i="6"/>
  <c r="AQ106" i="6"/>
  <c r="AS106" i="6"/>
  <c r="AT106" i="6"/>
  <c r="AV106" i="6"/>
  <c r="M74" i="7"/>
  <c r="AP105" i="6"/>
  <c r="AS105" i="6" s="1"/>
  <c r="AQ105" i="6"/>
  <c r="AV105" i="6"/>
  <c r="M73" i="7"/>
  <c r="AP104" i="6"/>
  <c r="AQ104" i="6"/>
  <c r="AV104" i="6"/>
  <c r="M72" i="7"/>
  <c r="AP103" i="6"/>
  <c r="AQ103" i="6"/>
  <c r="AV103" i="6"/>
  <c r="M71" i="7"/>
  <c r="AP102" i="6"/>
  <c r="AQ102" i="6"/>
  <c r="AV102" i="6"/>
  <c r="M70" i="7"/>
  <c r="AP101" i="6"/>
  <c r="AQ101" i="6"/>
  <c r="AV101" i="6"/>
  <c r="AP100" i="6"/>
  <c r="AQ100" i="6"/>
  <c r="AV100" i="6"/>
  <c r="AP99" i="6"/>
  <c r="AQ99" i="6"/>
  <c r="AV99" i="6"/>
  <c r="AP98" i="6"/>
  <c r="AQ98" i="6"/>
  <c r="AV98" i="6"/>
  <c r="M69" i="7"/>
  <c r="AP97" i="6"/>
  <c r="AQ97" i="6"/>
  <c r="AV97" i="6"/>
  <c r="M68" i="7"/>
  <c r="AP96" i="6"/>
  <c r="AQ96" i="6"/>
  <c r="AV96" i="6"/>
  <c r="M67" i="7"/>
  <c r="AP95" i="6"/>
  <c r="AQ95" i="6"/>
  <c r="AV95" i="6"/>
  <c r="M66" i="7"/>
  <c r="AP94" i="6"/>
  <c r="AQ94" i="6"/>
  <c r="AV94" i="6"/>
  <c r="M65" i="7"/>
  <c r="AP93" i="6"/>
  <c r="AQ93" i="6"/>
  <c r="AV93" i="6"/>
  <c r="AP92" i="6"/>
  <c r="AQ92" i="6"/>
  <c r="AV92" i="6"/>
  <c r="M64" i="7"/>
  <c r="AP91" i="6"/>
  <c r="AQ91" i="6"/>
  <c r="AV91" i="6"/>
  <c r="AP90" i="6"/>
  <c r="AQ90" i="6"/>
  <c r="AS90" i="6"/>
  <c r="AT90" i="6"/>
  <c r="AV90" i="6"/>
  <c r="AP89" i="6"/>
  <c r="AS89" i="6" s="1"/>
  <c r="AQ89" i="6"/>
  <c r="AV89" i="6"/>
  <c r="M63" i="7"/>
  <c r="AP88" i="6"/>
  <c r="AQ88" i="6"/>
  <c r="AV88" i="6"/>
  <c r="M62" i="7"/>
  <c r="AP87" i="6"/>
  <c r="AQ87" i="6"/>
  <c r="AV87" i="6"/>
  <c r="M61" i="7"/>
  <c r="AP86" i="6"/>
  <c r="AS86" i="6" s="1"/>
  <c r="AQ86" i="6"/>
  <c r="AT86" i="6"/>
  <c r="AV86" i="6"/>
  <c r="M60" i="7"/>
  <c r="AP85" i="6"/>
  <c r="AQ85" i="6"/>
  <c r="AS85" i="6"/>
  <c r="AT85" i="6"/>
  <c r="AV85" i="6"/>
  <c r="AP84" i="6"/>
  <c r="AQ84" i="6"/>
  <c r="AV84" i="6"/>
  <c r="AP83" i="6"/>
  <c r="AQ83" i="6"/>
  <c r="AV83" i="6"/>
  <c r="AP82" i="6"/>
  <c r="AQ82" i="6"/>
  <c r="AV82" i="6"/>
  <c r="M59" i="7"/>
  <c r="AP81" i="6"/>
  <c r="AQ81" i="6"/>
  <c r="AV81" i="6"/>
  <c r="M58" i="7"/>
  <c r="AP80" i="6"/>
  <c r="AQ80" i="6"/>
  <c r="AV80" i="6"/>
  <c r="M57" i="7"/>
  <c r="AP79" i="6"/>
  <c r="AQ79" i="6"/>
  <c r="AV79" i="6"/>
  <c r="M56" i="7"/>
  <c r="AP78" i="6"/>
  <c r="AQ78" i="6"/>
  <c r="AV78" i="6"/>
  <c r="AP77" i="6"/>
  <c r="AQ77" i="6"/>
  <c r="AS77" i="6"/>
  <c r="AT77" i="6"/>
  <c r="AV77" i="6"/>
  <c r="AP76" i="6"/>
  <c r="AQ76" i="6"/>
  <c r="AS76" i="6"/>
  <c r="AT76" i="6"/>
  <c r="AV76" i="6"/>
  <c r="M55" i="7"/>
  <c r="AP75" i="6"/>
  <c r="AQ75" i="6"/>
  <c r="AS75" i="6"/>
  <c r="AT75" i="6"/>
  <c r="AV75" i="6"/>
  <c r="M54" i="7"/>
  <c r="AP74" i="6"/>
  <c r="AQ74" i="6"/>
  <c r="AS74" i="6"/>
  <c r="AT74" i="6"/>
  <c r="AV74" i="6"/>
  <c r="AP73" i="6"/>
  <c r="AQ73" i="6"/>
  <c r="AS73" i="6"/>
  <c r="AT73" i="6"/>
  <c r="AV73" i="6"/>
  <c r="AP72" i="6"/>
  <c r="AS72" i="6" s="1"/>
  <c r="AQ72" i="6"/>
  <c r="AV72" i="6"/>
  <c r="AP71" i="6"/>
  <c r="AS71" i="6" s="1"/>
  <c r="AQ71" i="6"/>
  <c r="AT71" i="6"/>
  <c r="AV71" i="6"/>
  <c r="AP70" i="6"/>
  <c r="AQ70" i="6"/>
  <c r="AS70" i="6"/>
  <c r="AT70" i="6"/>
  <c r="AV70" i="6"/>
  <c r="M53" i="7"/>
  <c r="AP69" i="6"/>
  <c r="AQ69" i="6"/>
  <c r="AV69" i="6"/>
  <c r="M52" i="7"/>
  <c r="AP68" i="6"/>
  <c r="AQ68" i="6"/>
  <c r="AV68" i="6"/>
  <c r="M51" i="7"/>
  <c r="AP67" i="6"/>
  <c r="AQ67" i="6"/>
  <c r="AS67" i="6" s="1"/>
  <c r="AT67" i="6"/>
  <c r="AV67" i="6"/>
  <c r="M50" i="7"/>
  <c r="AP66" i="6"/>
  <c r="AQ66" i="6"/>
  <c r="AS66" i="6" s="1"/>
  <c r="AT66" i="6"/>
  <c r="AV66" i="6"/>
  <c r="M49" i="7"/>
  <c r="AP65" i="6"/>
  <c r="AQ65" i="6"/>
  <c r="AS65" i="6"/>
  <c r="AT65" i="6"/>
  <c r="AV65" i="6"/>
  <c r="M48" i="7"/>
  <c r="AP64" i="6"/>
  <c r="AQ64" i="6"/>
  <c r="AV64" i="6"/>
  <c r="M47" i="7"/>
  <c r="AP63" i="6"/>
  <c r="AQ63" i="6"/>
  <c r="AV63" i="6"/>
  <c r="M46" i="7"/>
  <c r="AP62" i="6"/>
  <c r="AQ62" i="6"/>
  <c r="AV62" i="6"/>
  <c r="M45" i="7"/>
  <c r="AP61" i="6"/>
  <c r="AQ61" i="6"/>
  <c r="AV61" i="6"/>
  <c r="AP60" i="6"/>
  <c r="AQ60" i="6"/>
  <c r="AS60" i="6" s="1"/>
  <c r="AT60" i="6"/>
  <c r="AV60" i="6"/>
  <c r="AP59" i="6"/>
  <c r="AQ59" i="6"/>
  <c r="AS59" i="6"/>
  <c r="AT59" i="6"/>
  <c r="AV59" i="6"/>
  <c r="AP58" i="6"/>
  <c r="AQ58" i="6"/>
  <c r="AS58" i="6"/>
  <c r="AT58" i="6"/>
  <c r="AV58" i="6"/>
  <c r="M44" i="7"/>
  <c r="AP57" i="6"/>
  <c r="AQ57" i="6"/>
  <c r="AS57" i="6"/>
  <c r="AT57" i="6"/>
  <c r="AV57" i="6"/>
  <c r="M43" i="7"/>
  <c r="AP56" i="6"/>
  <c r="AQ56" i="6"/>
  <c r="AS56" i="6"/>
  <c r="AT56" i="6"/>
  <c r="AV56" i="6"/>
  <c r="AP55" i="6"/>
  <c r="AT55" i="6" s="1"/>
  <c r="AQ55" i="6"/>
  <c r="AV55" i="6"/>
  <c r="AP54" i="6"/>
  <c r="AT54" i="6" s="1"/>
  <c r="AQ54" i="6"/>
  <c r="AV54" i="6"/>
  <c r="AP53" i="6"/>
  <c r="AQ53" i="6"/>
  <c r="AS53" i="6"/>
  <c r="AT53" i="6"/>
  <c r="AV53" i="6"/>
  <c r="AP52" i="6"/>
  <c r="AQ52" i="6"/>
  <c r="AS52" i="6"/>
  <c r="AT52" i="6"/>
  <c r="AV52" i="6"/>
  <c r="AP51" i="6"/>
  <c r="AQ51" i="6"/>
  <c r="AS51" i="6" s="1"/>
  <c r="AT51" i="6"/>
  <c r="AV51" i="6"/>
  <c r="M42" i="7"/>
  <c r="AP50" i="6"/>
  <c r="AQ50" i="6"/>
  <c r="AS50" i="6"/>
  <c r="AT50" i="6"/>
  <c r="AV50" i="6"/>
  <c r="M41" i="7"/>
  <c r="AP49" i="6"/>
  <c r="AQ49" i="6"/>
  <c r="AS49" i="6"/>
  <c r="AT49" i="6"/>
  <c r="AV49" i="6"/>
  <c r="M40" i="7"/>
  <c r="AP48" i="6"/>
  <c r="AQ48" i="6"/>
  <c r="AS48" i="6"/>
  <c r="AT48" i="6"/>
  <c r="AV48" i="6"/>
  <c r="M39" i="7"/>
  <c r="AP47" i="6"/>
  <c r="AQ47" i="6"/>
  <c r="AV47" i="6"/>
  <c r="M38" i="7"/>
  <c r="AP46" i="6"/>
  <c r="AQ46" i="6"/>
  <c r="AV46" i="6"/>
  <c r="M37" i="7"/>
  <c r="AP45" i="6"/>
  <c r="AQ45" i="6"/>
  <c r="AV45" i="6"/>
  <c r="M36" i="7"/>
  <c r="AP44" i="6"/>
  <c r="AQ44" i="6"/>
  <c r="AV44" i="6"/>
  <c r="M35" i="7"/>
  <c r="AP43" i="6"/>
  <c r="AQ43" i="6"/>
  <c r="AV43" i="6"/>
  <c r="AP42" i="6"/>
  <c r="AQ42" i="6"/>
  <c r="AV42" i="6"/>
  <c r="AP41" i="6"/>
  <c r="AQ41" i="6"/>
  <c r="AV41" i="6"/>
  <c r="M34" i="7"/>
  <c r="AP40" i="6"/>
  <c r="AQ40" i="6"/>
  <c r="AV40" i="6"/>
  <c r="M33" i="7"/>
  <c r="AP39" i="6"/>
  <c r="AQ39" i="6"/>
  <c r="AS39" i="6"/>
  <c r="AT39" i="6"/>
  <c r="AV39" i="6"/>
  <c r="M32" i="7"/>
  <c r="AP38" i="6"/>
  <c r="AQ38" i="6"/>
  <c r="AV38" i="6"/>
  <c r="M31" i="7"/>
  <c r="AP37" i="6"/>
  <c r="AQ37" i="6"/>
  <c r="AV37" i="6"/>
  <c r="M30" i="7"/>
  <c r="AP36" i="6"/>
  <c r="AQ36" i="6"/>
  <c r="AV36" i="6"/>
  <c r="M29" i="7"/>
  <c r="AP35" i="6"/>
  <c r="AQ35" i="6"/>
  <c r="AV35" i="6"/>
  <c r="M28" i="7"/>
  <c r="AP34" i="6"/>
  <c r="AQ34" i="6"/>
  <c r="AV34" i="6"/>
  <c r="M27" i="7"/>
  <c r="AP33" i="6"/>
  <c r="AQ33" i="6"/>
  <c r="AS33" i="6"/>
  <c r="AT33" i="6"/>
  <c r="AV33" i="6"/>
  <c r="AP32" i="6"/>
  <c r="AQ32" i="6"/>
  <c r="AS32" i="6"/>
  <c r="AT32" i="6"/>
  <c r="AV32" i="6"/>
  <c r="AP31" i="6"/>
  <c r="AQ31" i="6"/>
  <c r="AS31" i="6"/>
  <c r="AT31" i="6"/>
  <c r="AV31" i="6"/>
  <c r="M26" i="7"/>
  <c r="AP30" i="6"/>
  <c r="AQ30" i="6"/>
  <c r="AS30" i="6"/>
  <c r="AT30" i="6"/>
  <c r="AV30" i="6"/>
  <c r="M25" i="7"/>
  <c r="AP29" i="6"/>
  <c r="AT29" i="6" s="1"/>
  <c r="AQ29" i="6"/>
  <c r="AS29" i="6"/>
  <c r="AV29" i="6"/>
  <c r="M24" i="7"/>
  <c r="AP28" i="6"/>
  <c r="AQ28" i="6"/>
  <c r="AS28" i="6" s="1"/>
  <c r="AT28" i="6"/>
  <c r="AV28" i="6"/>
  <c r="M23" i="7"/>
  <c r="AP27" i="6"/>
  <c r="AQ27" i="6"/>
  <c r="AS27" i="6"/>
  <c r="AT27" i="6"/>
  <c r="AV27" i="6"/>
  <c r="M22" i="7"/>
  <c r="AP26" i="6"/>
  <c r="AQ26" i="6"/>
  <c r="AV26" i="6"/>
  <c r="M21" i="7"/>
  <c r="AP25" i="6"/>
  <c r="AQ25" i="6"/>
  <c r="AV25" i="6"/>
  <c r="M20" i="7"/>
  <c r="AP24" i="6"/>
  <c r="AQ24" i="6"/>
  <c r="AV24" i="6"/>
  <c r="AP23" i="6"/>
  <c r="AQ23" i="6"/>
  <c r="AS23" i="6"/>
  <c r="AT23" i="6"/>
  <c r="AV23" i="6"/>
  <c r="AP22" i="6"/>
  <c r="AQ22" i="6"/>
  <c r="AS22" i="6" s="1"/>
  <c r="AT22" i="6"/>
  <c r="AV22" i="6"/>
  <c r="AP21" i="6"/>
  <c r="AQ21" i="6"/>
  <c r="AS21" i="6"/>
  <c r="AT21" i="6"/>
  <c r="AV21" i="6"/>
  <c r="M19" i="7"/>
  <c r="AP20" i="6"/>
  <c r="AQ20" i="6"/>
  <c r="AS20" i="6"/>
  <c r="AT20" i="6"/>
  <c r="AV20" i="6"/>
  <c r="AP19" i="6"/>
  <c r="AQ19" i="6"/>
  <c r="AV19" i="6"/>
  <c r="M18" i="7"/>
  <c r="AP18" i="6"/>
  <c r="AQ18" i="6"/>
  <c r="AV18" i="6"/>
  <c r="M17" i="7"/>
  <c r="AP17" i="6"/>
  <c r="AQ17" i="6"/>
  <c r="AV17" i="6"/>
  <c r="M16" i="7"/>
  <c r="AP16" i="6"/>
  <c r="AQ16" i="6"/>
  <c r="AV16" i="6"/>
  <c r="M15" i="7"/>
  <c r="AP15" i="6"/>
  <c r="AQ15" i="6"/>
  <c r="AV15" i="6"/>
  <c r="M14" i="7"/>
  <c r="AP14" i="6"/>
  <c r="AQ14" i="6"/>
  <c r="AS14" i="6"/>
  <c r="AT14" i="6"/>
  <c r="AV14" i="6"/>
  <c r="M13" i="7"/>
  <c r="AP13" i="6"/>
  <c r="AQ13" i="6"/>
  <c r="AS13" i="6"/>
  <c r="AT13" i="6"/>
  <c r="AV13" i="6"/>
  <c r="M12" i="7"/>
  <c r="AP12" i="6"/>
  <c r="AQ12" i="6"/>
  <c r="AS12" i="6"/>
  <c r="AT12" i="6"/>
  <c r="AV12" i="6"/>
  <c r="AP11" i="6"/>
  <c r="AQ11" i="6"/>
  <c r="AV11" i="6"/>
  <c r="AP10" i="6"/>
  <c r="AQ10" i="6"/>
  <c r="AV10" i="6"/>
  <c r="M11" i="7"/>
  <c r="AP9" i="6"/>
  <c r="AQ9" i="6"/>
  <c r="AV9" i="6"/>
  <c r="M10" i="7"/>
  <c r="AP8" i="6"/>
  <c r="AQ8" i="6"/>
  <c r="AV8" i="6"/>
  <c r="M9" i="7"/>
  <c r="AP7" i="6"/>
  <c r="AQ7" i="6"/>
  <c r="AV7" i="6"/>
  <c r="M8" i="7"/>
  <c r="AP6" i="6"/>
  <c r="AQ6" i="6"/>
  <c r="AV6" i="6"/>
  <c r="M7" i="7"/>
  <c r="AP5" i="6"/>
  <c r="AQ5" i="6"/>
  <c r="AV5" i="6"/>
  <c r="M6" i="7"/>
  <c r="AP4" i="6"/>
  <c r="AQ4" i="6"/>
  <c r="AS4" i="6" s="1"/>
  <c r="AT4" i="6"/>
  <c r="AV4" i="6"/>
  <c r="A2" i="5" a="1"/>
  <c r="A2" i="5" s="1"/>
  <c r="C2" i="5" s="1"/>
  <c r="AU180" i="6" l="1"/>
  <c r="AT180" i="6"/>
  <c r="AS174" i="6"/>
  <c r="AS173" i="6"/>
  <c r="AU173" i="6" s="1"/>
  <c r="AS172" i="6"/>
  <c r="AU172" i="6" s="1"/>
  <c r="AS171" i="6"/>
  <c r="AS170" i="6"/>
  <c r="AU170" i="6" s="1"/>
  <c r="AS169" i="6"/>
  <c r="AS161" i="6"/>
  <c r="AU161" i="6" s="1"/>
  <c r="AS160" i="6"/>
  <c r="AS159" i="6"/>
  <c r="AU159" i="6" s="1"/>
  <c r="AS158" i="6"/>
  <c r="AU158" i="6" s="1"/>
  <c r="AS157" i="6"/>
  <c r="AS156" i="6"/>
  <c r="AU156" i="6" s="1"/>
  <c r="AS155" i="6"/>
  <c r="AU155" i="6" s="1"/>
  <c r="AS154" i="6"/>
  <c r="AU154" i="6" s="1"/>
  <c r="AS153" i="6"/>
  <c r="AU153" i="6" s="1"/>
  <c r="AS152" i="6"/>
  <c r="AU152" i="6" s="1"/>
  <c r="AS151" i="6"/>
  <c r="AU151" i="6" s="1"/>
  <c r="AS150" i="6"/>
  <c r="AU149" i="6"/>
  <c r="AU148" i="6"/>
  <c r="AU147" i="6"/>
  <c r="AU146" i="6"/>
  <c r="AU141" i="6"/>
  <c r="AS140" i="6"/>
  <c r="AU139" i="6"/>
  <c r="AS135" i="6"/>
  <c r="AU135" i="6" s="1"/>
  <c r="AS134" i="6"/>
  <c r="AU134" i="6" s="1"/>
  <c r="AS133" i="6"/>
  <c r="AU133" i="6" s="1"/>
  <c r="AS132" i="6"/>
  <c r="AU122" i="6"/>
  <c r="AT122" i="6"/>
  <c r="AU121" i="6"/>
  <c r="AU120" i="6"/>
  <c r="AU119" i="6"/>
  <c r="AU116" i="6"/>
  <c r="AU118" i="6"/>
  <c r="AU117" i="6"/>
  <c r="AU115" i="6"/>
  <c r="AU107" i="6"/>
  <c r="AU106" i="6"/>
  <c r="AU105" i="6"/>
  <c r="AT105" i="6"/>
  <c r="AS104" i="6"/>
  <c r="AU104" i="6" s="1"/>
  <c r="AS103" i="6"/>
  <c r="AU103" i="6" s="1"/>
  <c r="AS102" i="6"/>
  <c r="AU102" i="6" s="1"/>
  <c r="AS101" i="6"/>
  <c r="AS100" i="6"/>
  <c r="AU100" i="6" s="1"/>
  <c r="AS99" i="6"/>
  <c r="AS98" i="6"/>
  <c r="AU98" i="6" s="1"/>
  <c r="AS97" i="6"/>
  <c r="AS96" i="6"/>
  <c r="AS95" i="6"/>
  <c r="AU95" i="6" s="1"/>
  <c r="AS94" i="6"/>
  <c r="AS93" i="6"/>
  <c r="AS92" i="6"/>
  <c r="AS91" i="6"/>
  <c r="AU90" i="6"/>
  <c r="AU89" i="6"/>
  <c r="AT89" i="6"/>
  <c r="AS88" i="6"/>
  <c r="AS87" i="6"/>
  <c r="AU86" i="6"/>
  <c r="AU85" i="6"/>
  <c r="AU73" i="6"/>
  <c r="AU72" i="6"/>
  <c r="AT72" i="6"/>
  <c r="AU71" i="6"/>
  <c r="AU70" i="6"/>
  <c r="AS69" i="6"/>
  <c r="AU69" i="6" s="1"/>
  <c r="AS68" i="6"/>
  <c r="AU68" i="6" s="1"/>
  <c r="AU67" i="6"/>
  <c r="AU60" i="6"/>
  <c r="AU59" i="6"/>
  <c r="AU58" i="6"/>
  <c r="AU56" i="6"/>
  <c r="AU57" i="6"/>
  <c r="AS55" i="6"/>
  <c r="AU55" i="6" s="1"/>
  <c r="AS54" i="6"/>
  <c r="AU54" i="6" s="1"/>
  <c r="AU53" i="6"/>
  <c r="AU52" i="6"/>
  <c r="AU51" i="6"/>
  <c r="AS45" i="6"/>
  <c r="AU45" i="6" s="1"/>
  <c r="AS47" i="6"/>
  <c r="AS46" i="6"/>
  <c r="AU46" i="6" s="1"/>
  <c r="AS37" i="6"/>
  <c r="AU37" i="6" s="1"/>
  <c r="AU39" i="6"/>
  <c r="AS38" i="6"/>
  <c r="AU38" i="6" s="1"/>
  <c r="AS36" i="6"/>
  <c r="AS35" i="6"/>
  <c r="AS34" i="6"/>
  <c r="AU34" i="6" s="1"/>
  <c r="AU23" i="6"/>
  <c r="AU22" i="6"/>
  <c r="AU21" i="6"/>
  <c r="AS19" i="6"/>
  <c r="AS18" i="6"/>
  <c r="AS17" i="6"/>
  <c r="AU17" i="6" s="1"/>
  <c r="AS16" i="6"/>
  <c r="AS15" i="6"/>
  <c r="AU15" i="6" s="1"/>
  <c r="AU14" i="6"/>
  <c r="AU13" i="6"/>
  <c r="AU12" i="6"/>
  <c r="AU4" i="6"/>
  <c r="T2" i="2" a="1"/>
  <c r="T2" i="2" s="1"/>
  <c r="T7" i="2" a="1"/>
  <c r="T7" i="2" s="1"/>
  <c r="AA2" i="2" a="1"/>
  <c r="AA2" i="2" s="1"/>
  <c r="AA3" i="2" a="1"/>
  <c r="AA3" i="2" s="1"/>
  <c r="AA4" i="2" a="1"/>
  <c r="AA4" i="2" s="1"/>
  <c r="AA5" i="2" a="1"/>
  <c r="AA5" i="2" s="1"/>
  <c r="AA6" i="2" a="1"/>
  <c r="AA6" i="2" s="1"/>
  <c r="AA7" i="2" a="1"/>
  <c r="AA7" i="2" s="1"/>
  <c r="AA8" i="2" a="1"/>
  <c r="AA8" i="2" s="1"/>
  <c r="AA9" i="2" a="1"/>
  <c r="AA9" i="2" s="1"/>
  <c r="AA10" i="2" a="1"/>
  <c r="AA10" i="2" s="1"/>
  <c r="AA11" i="2" a="1"/>
  <c r="AA11" i="2" s="1"/>
  <c r="AA12" i="2" a="1"/>
  <c r="AA12" i="2" s="1"/>
  <c r="AA13" i="2" a="1"/>
  <c r="AA13" i="2" s="1"/>
  <c r="AA14" i="2" a="1"/>
  <c r="AA14" i="2" s="1"/>
  <c r="AA15" i="2" a="1"/>
  <c r="AA15" i="2" s="1"/>
  <c r="AA16" i="2" a="1"/>
  <c r="AA16" i="2" s="1"/>
  <c r="AA17" i="2" a="1"/>
  <c r="AA17" i="2" s="1"/>
  <c r="AA18" i="2" a="1"/>
  <c r="AA18" i="2" s="1"/>
  <c r="AA19" i="2" a="1"/>
  <c r="AA19" i="2" s="1"/>
  <c r="AA20" i="2" a="1"/>
  <c r="AA20" i="2" s="1"/>
  <c r="AA21" i="2" a="1"/>
  <c r="AA21" i="2" s="1"/>
  <c r="AA22" i="2" a="1"/>
  <c r="AA22" i="2" s="1"/>
  <c r="AA23" i="2" a="1"/>
  <c r="AA23" i="2" s="1"/>
  <c r="AA24" i="2" a="1"/>
  <c r="AA24" i="2" s="1"/>
  <c r="AA25" i="2" a="1"/>
  <c r="AA25" i="2" s="1"/>
  <c r="AA26" i="2" a="1"/>
  <c r="AA26" i="2" s="1"/>
  <c r="AA27" i="2" a="1"/>
  <c r="AA27" i="2" s="1"/>
  <c r="AA28" i="2" a="1"/>
  <c r="AA28" i="2" s="1"/>
  <c r="AA29" i="2" a="1"/>
  <c r="AA29" i="2" s="1"/>
  <c r="AA30" i="2" a="1"/>
  <c r="AA30" i="2" s="1"/>
  <c r="AA31" i="2" a="1"/>
  <c r="AA31" i="2" s="1"/>
  <c r="AA32" i="2" a="1"/>
  <c r="AA32" i="2" s="1"/>
  <c r="AA33" i="2" a="1"/>
  <c r="AA33" i="2" s="1"/>
  <c r="AA34" i="2" a="1"/>
  <c r="AA34" i="2" s="1"/>
  <c r="AA35" i="2" a="1"/>
  <c r="AA35" i="2" s="1"/>
  <c r="AA36" i="2" a="1"/>
  <c r="AA36" i="2" s="1"/>
  <c r="AA37" i="2" a="1"/>
  <c r="AA37" i="2" s="1"/>
  <c r="AB37" i="2" s="1"/>
  <c r="V2" i="2" a="1"/>
  <c r="V2" i="2" s="1"/>
  <c r="W2" i="2" s="1"/>
  <c r="V3" i="2" a="1"/>
  <c r="V3" i="2" s="1"/>
  <c r="W3" i="2" s="1"/>
  <c r="V4" i="2" a="1"/>
  <c r="V4" i="2" s="1"/>
  <c r="W4" i="2" s="1"/>
  <c r="V5" i="2" a="1"/>
  <c r="V5" i="2" s="1"/>
  <c r="W5" i="2" s="1"/>
  <c r="V6" i="2" a="1"/>
  <c r="V6" i="2" s="1"/>
  <c r="W6" i="2" s="1"/>
  <c r="V7" i="2" a="1"/>
  <c r="V7" i="2" s="1"/>
  <c r="W7" i="2" s="1"/>
  <c r="V8" i="2" a="1"/>
  <c r="V8" i="2" s="1"/>
  <c r="W8" i="2" s="1"/>
  <c r="V9" i="2" a="1"/>
  <c r="V9" i="2" s="1"/>
  <c r="W9" i="2" s="1"/>
  <c r="V10" i="2" a="1"/>
  <c r="V10" i="2" s="1"/>
  <c r="W10" i="2" s="1"/>
  <c r="V11" i="2" a="1"/>
  <c r="V11" i="2" s="1"/>
  <c r="W11" i="2" s="1"/>
  <c r="V12" i="2" a="1"/>
  <c r="V12" i="2" s="1"/>
  <c r="W12" i="2" s="1"/>
  <c r="V13" i="2" a="1"/>
  <c r="V13" i="2" s="1"/>
  <c r="W13" i="2" s="1"/>
  <c r="V14" i="2" a="1"/>
  <c r="V14" i="2" s="1"/>
  <c r="W14" i="2" s="1"/>
  <c r="V15" i="2" a="1"/>
  <c r="V15" i="2" s="1"/>
  <c r="W15" i="2" s="1"/>
  <c r="V16" i="2" a="1"/>
  <c r="V16" i="2" s="1"/>
  <c r="W16" i="2" s="1"/>
  <c r="V17" i="2" a="1"/>
  <c r="V17" i="2" s="1"/>
  <c r="W17" i="2" s="1"/>
  <c r="V18" i="2" a="1"/>
  <c r="V18" i="2" s="1"/>
  <c r="W18" i="2" s="1"/>
  <c r="V19" i="2" a="1"/>
  <c r="V19" i="2" s="1"/>
  <c r="W19" i="2" s="1"/>
  <c r="V20" i="2" a="1"/>
  <c r="V20" i="2" s="1"/>
  <c r="W20" i="2" s="1"/>
  <c r="V21" i="2" a="1"/>
  <c r="V21" i="2" s="1"/>
  <c r="W21" i="2" s="1"/>
  <c r="V22" i="2" a="1"/>
  <c r="V22" i="2" s="1"/>
  <c r="W22" i="2" s="1"/>
  <c r="V23" i="2" a="1"/>
  <c r="V23" i="2" s="1"/>
  <c r="W23" i="2" s="1"/>
  <c r="V24" i="2" a="1"/>
  <c r="V24" i="2" s="1"/>
  <c r="W24" i="2" s="1"/>
  <c r="V25" i="2" a="1"/>
  <c r="V25" i="2" s="1"/>
  <c r="W25" i="2" s="1"/>
  <c r="V26" i="2" a="1"/>
  <c r="V26" i="2" s="1"/>
  <c r="W26" i="2" s="1"/>
  <c r="V27" i="2" a="1"/>
  <c r="V27" i="2" s="1"/>
  <c r="W27" i="2" s="1"/>
  <c r="V28" i="2" a="1"/>
  <c r="V28" i="2" s="1"/>
  <c r="W28" i="2" s="1"/>
  <c r="V29" i="2" a="1"/>
  <c r="V29" i="2" s="1"/>
  <c r="W29" i="2" s="1"/>
  <c r="V30" i="2" a="1"/>
  <c r="V30" i="2" s="1"/>
  <c r="W30" i="2" s="1"/>
  <c r="V31" i="2" a="1"/>
  <c r="V31" i="2" s="1"/>
  <c r="W31" i="2" s="1"/>
  <c r="V32" i="2" a="1"/>
  <c r="V32" i="2" s="1"/>
  <c r="W32" i="2" s="1"/>
  <c r="V33" i="2" a="1"/>
  <c r="V33" i="2" s="1"/>
  <c r="W33" i="2" s="1"/>
  <c r="V34" i="2" a="1"/>
  <c r="V34" i="2" s="1"/>
  <c r="W34" i="2" s="1"/>
  <c r="V35" i="2" a="1"/>
  <c r="V35" i="2" s="1"/>
  <c r="W35" i="2" s="1"/>
  <c r="V36" i="2" a="1"/>
  <c r="V36" i="2" s="1"/>
  <c r="W36" i="2" s="1"/>
  <c r="V37" i="2" a="1"/>
  <c r="V37" i="2" s="1"/>
  <c r="W37" i="2" s="1"/>
  <c r="U2" i="2" a="1"/>
  <c r="U2" i="2" s="1"/>
  <c r="U3" i="2" a="1"/>
  <c r="U3" i="2" s="1"/>
  <c r="U4" i="2" a="1"/>
  <c r="U4" i="2" s="1"/>
  <c r="U5" i="2" a="1"/>
  <c r="U5" i="2" s="1"/>
  <c r="U6" i="2" a="1"/>
  <c r="U6" i="2" s="1"/>
  <c r="U7" i="2" a="1"/>
  <c r="U7" i="2" s="1"/>
  <c r="U8" i="2" a="1"/>
  <c r="U8" i="2" s="1"/>
  <c r="U9" i="2" a="1"/>
  <c r="U9" i="2" s="1"/>
  <c r="U10" i="2" a="1"/>
  <c r="U10" i="2" s="1"/>
  <c r="U11" i="2" a="1"/>
  <c r="U11" i="2" s="1"/>
  <c r="U12" i="2" a="1"/>
  <c r="U12" i="2" s="1"/>
  <c r="U13" i="2" a="1"/>
  <c r="U13" i="2" s="1"/>
  <c r="U14" i="2" a="1"/>
  <c r="U14" i="2" s="1"/>
  <c r="U15" i="2" a="1"/>
  <c r="U15" i="2" s="1"/>
  <c r="U16" i="2" a="1"/>
  <c r="U16" i="2" s="1"/>
  <c r="U17" i="2" a="1"/>
  <c r="U17" i="2" s="1"/>
  <c r="U18" i="2" a="1"/>
  <c r="U18" i="2" s="1"/>
  <c r="U19" i="2" a="1"/>
  <c r="U19" i="2" s="1"/>
  <c r="U20" i="2" a="1"/>
  <c r="U20" i="2" s="1"/>
  <c r="U21" i="2" a="1"/>
  <c r="U21" i="2" s="1"/>
  <c r="U22" i="2" a="1"/>
  <c r="U22" i="2" s="1"/>
  <c r="U23" i="2" a="1"/>
  <c r="U23" i="2" s="1"/>
  <c r="U24" i="2" a="1"/>
  <c r="U24" i="2" s="1"/>
  <c r="U25" i="2" a="1"/>
  <c r="U25" i="2" s="1"/>
  <c r="U26" i="2" a="1"/>
  <c r="U26" i="2" s="1"/>
  <c r="U27" i="2" a="1"/>
  <c r="U27" i="2" s="1"/>
  <c r="U28" i="2" a="1"/>
  <c r="U28" i="2" s="1"/>
  <c r="U29" i="2" a="1"/>
  <c r="U29" i="2" s="1"/>
  <c r="U30" i="2" a="1"/>
  <c r="U30" i="2" s="1"/>
  <c r="U31" i="2" a="1"/>
  <c r="U31" i="2" s="1"/>
  <c r="U32" i="2" a="1"/>
  <c r="U32" i="2" s="1"/>
  <c r="U33" i="2" a="1"/>
  <c r="U33" i="2" s="1"/>
  <c r="U34" i="2" a="1"/>
  <c r="U34" i="2" s="1"/>
  <c r="U35" i="2" a="1"/>
  <c r="U35" i="2" s="1"/>
  <c r="U36" i="2" a="1"/>
  <c r="U36" i="2" s="1"/>
  <c r="U37" i="2" a="1"/>
  <c r="U37" i="2" s="1"/>
  <c r="T3" i="2" a="1"/>
  <c r="T3" i="2" s="1"/>
  <c r="T4" i="2" a="1"/>
  <c r="T4" i="2" s="1"/>
  <c r="T5" i="2" a="1"/>
  <c r="T5" i="2" s="1"/>
  <c r="T6" i="2" a="1"/>
  <c r="T6" i="2" s="1"/>
  <c r="T8" i="2" a="1"/>
  <c r="T8" i="2" s="1"/>
  <c r="T9" i="2" a="1"/>
  <c r="T9" i="2" s="1"/>
  <c r="T10" i="2" a="1"/>
  <c r="T10" i="2" s="1"/>
  <c r="T11" i="2" a="1"/>
  <c r="T11" i="2" s="1"/>
  <c r="T12" i="2" a="1"/>
  <c r="T12" i="2" s="1"/>
  <c r="T13" i="2" a="1"/>
  <c r="T13" i="2" s="1"/>
  <c r="T14" i="2" a="1"/>
  <c r="T14" i="2" s="1"/>
  <c r="T15" i="2" a="1"/>
  <c r="T15" i="2" s="1"/>
  <c r="T16" i="2" a="1"/>
  <c r="T16" i="2" s="1"/>
  <c r="T17" i="2" a="1"/>
  <c r="T17" i="2" s="1"/>
  <c r="T18" i="2" a="1"/>
  <c r="T18" i="2" s="1"/>
  <c r="T19" i="2" a="1"/>
  <c r="T19" i="2" s="1"/>
  <c r="T20" i="2" a="1"/>
  <c r="T20" i="2" s="1"/>
  <c r="T21" i="2" a="1"/>
  <c r="T21" i="2" s="1"/>
  <c r="T22" i="2" a="1"/>
  <c r="T22" i="2" s="1"/>
  <c r="T23" i="2" a="1"/>
  <c r="T23" i="2" s="1"/>
  <c r="T24" i="2" a="1"/>
  <c r="T24" i="2" s="1"/>
  <c r="T25" i="2" a="1"/>
  <c r="T25" i="2" s="1"/>
  <c r="T26" i="2" a="1"/>
  <c r="T26" i="2" s="1"/>
  <c r="T27" i="2" a="1"/>
  <c r="T27" i="2" s="1"/>
  <c r="T28" i="2" a="1"/>
  <c r="T28" i="2" s="1"/>
  <c r="T29" i="2" a="1"/>
  <c r="T29" i="2" s="1"/>
  <c r="T30" i="2" a="1"/>
  <c r="T30" i="2" s="1"/>
  <c r="T31" i="2" a="1"/>
  <c r="T31" i="2" s="1"/>
  <c r="T32" i="2" a="1"/>
  <c r="T32" i="2" s="1"/>
  <c r="T33" i="2" a="1"/>
  <c r="T33" i="2" s="1"/>
  <c r="T34" i="2" a="1"/>
  <c r="T34" i="2" s="1"/>
  <c r="T35" i="2" a="1"/>
  <c r="T35" i="2" s="1"/>
  <c r="T36" i="2" a="1"/>
  <c r="T36" i="2" s="1"/>
  <c r="T37" i="2" a="1"/>
  <c r="T37" i="2" s="1"/>
  <c r="AU174" i="6" l="1"/>
  <c r="AT174" i="6"/>
  <c r="AT173" i="6"/>
  <c r="AT172" i="6"/>
  <c r="AU171" i="6"/>
  <c r="AT171" i="6"/>
  <c r="AT170" i="6"/>
  <c r="AU169" i="6"/>
  <c r="AT169" i="6"/>
  <c r="AT161" i="6"/>
  <c r="AU160" i="6"/>
  <c r="AT160" i="6"/>
  <c r="AT159" i="6"/>
  <c r="AT158" i="6"/>
  <c r="AU157" i="6"/>
  <c r="AT157" i="6"/>
  <c r="AT156" i="6"/>
  <c r="AT155" i="6"/>
  <c r="AT154" i="6"/>
  <c r="AT153" i="6"/>
  <c r="AT152" i="6"/>
  <c r="AT151" i="6"/>
  <c r="AU150" i="6"/>
  <c r="AT150" i="6"/>
  <c r="AU140" i="6"/>
  <c r="AT140" i="6"/>
  <c r="AT135" i="6"/>
  <c r="AT134" i="6"/>
  <c r="AT133" i="6"/>
  <c r="AU132" i="6"/>
  <c r="AT132" i="6"/>
  <c r="AT104" i="6"/>
  <c r="AT103" i="6"/>
  <c r="AT102" i="6"/>
  <c r="AU101" i="6"/>
  <c r="AT101" i="6"/>
  <c r="AT100" i="6"/>
  <c r="AU99" i="6"/>
  <c r="AT99" i="6"/>
  <c r="AT98" i="6"/>
  <c r="AU97" i="6"/>
  <c r="AT97" i="6"/>
  <c r="AU96" i="6"/>
  <c r="AT96" i="6"/>
  <c r="AT95" i="6"/>
  <c r="AU94" i="6"/>
  <c r="AT94" i="6"/>
  <c r="AU93" i="6"/>
  <c r="AT93" i="6"/>
  <c r="AU92" i="6"/>
  <c r="AT92" i="6"/>
  <c r="AU91" i="6"/>
  <c r="AT91" i="6"/>
  <c r="AU88" i="6"/>
  <c r="AT88" i="6"/>
  <c r="AU87" i="6"/>
  <c r="AT87" i="6"/>
  <c r="AT69" i="6"/>
  <c r="AT68" i="6"/>
  <c r="AT45" i="6"/>
  <c r="AU47" i="6"/>
  <c r="AT47" i="6"/>
  <c r="AT46" i="6"/>
  <c r="AT37" i="6"/>
  <c r="AT38" i="6"/>
  <c r="AU36" i="6"/>
  <c r="AT36" i="6"/>
  <c r="AU35" i="6"/>
  <c r="AT35" i="6"/>
  <c r="AT34" i="6"/>
  <c r="AU19" i="6"/>
  <c r="AT19" i="6"/>
  <c r="AU18" i="6"/>
  <c r="AT18" i="6"/>
  <c r="AT17" i="6"/>
  <c r="AU16" i="6"/>
  <c r="AT16" i="6"/>
  <c r="AT15" i="6"/>
  <c r="X3" i="2"/>
  <c r="Y32" i="2"/>
  <c r="Y26" i="2"/>
  <c r="Z2" i="2"/>
  <c r="AB32" i="2"/>
  <c r="X8" i="2"/>
  <c r="Y30" i="2"/>
  <c r="X12" i="2"/>
  <c r="AB34" i="2"/>
  <c r="AB16" i="2"/>
  <c r="AB10" i="2"/>
  <c r="X27" i="2"/>
  <c r="X21" i="2"/>
  <c r="Y7" i="2"/>
  <c r="X35" i="2"/>
  <c r="Y21" i="2"/>
  <c r="Y15" i="2"/>
  <c r="Y3" i="2"/>
  <c r="AB26" i="2"/>
  <c r="AB8" i="2"/>
  <c r="AB2" i="2"/>
  <c r="AB30" i="2"/>
  <c r="AB24" i="2"/>
  <c r="AB12" i="2"/>
  <c r="AB6" i="2"/>
  <c r="X25" i="2"/>
  <c r="X32" i="2"/>
  <c r="X20" i="2"/>
  <c r="X15" i="2"/>
  <c r="Y2" i="2"/>
  <c r="X36" i="2"/>
  <c r="X30" i="2"/>
  <c r="Z18" i="2"/>
  <c r="Z7" i="2"/>
  <c r="Y27" i="2"/>
  <c r="Y10" i="2"/>
  <c r="Z16" i="2"/>
  <c r="Z11" i="2"/>
  <c r="Z5" i="2"/>
  <c r="AB21" i="2"/>
  <c r="AB15" i="2"/>
  <c r="AB3" i="2"/>
  <c r="X9" i="2"/>
  <c r="Z32" i="2"/>
  <c r="Z27" i="2"/>
  <c r="X18" i="2"/>
  <c r="X13" i="2"/>
  <c r="AB19" i="2"/>
  <c r="X28" i="2"/>
  <c r="X23" i="2"/>
  <c r="Y12" i="2"/>
  <c r="X33" i="2"/>
  <c r="X17" i="2"/>
  <c r="Y11" i="2"/>
  <c r="Y5" i="2"/>
  <c r="Z24" i="2"/>
  <c r="Z19" i="2"/>
  <c r="Z13" i="2"/>
  <c r="AB17" i="2"/>
  <c r="AB11" i="2"/>
  <c r="AB22" i="2"/>
  <c r="X22" i="2"/>
  <c r="Y31" i="2"/>
  <c r="Y4" i="2"/>
  <c r="Z35" i="2"/>
  <c r="Z8" i="2"/>
  <c r="AB33" i="2"/>
  <c r="AB27" i="2"/>
  <c r="AB5" i="2"/>
  <c r="X31" i="2"/>
  <c r="Y25" i="2"/>
  <c r="Y20" i="2"/>
  <c r="Y14" i="2"/>
  <c r="Y9" i="2"/>
  <c r="Z29" i="2"/>
  <c r="Z23" i="2"/>
  <c r="Z12" i="2"/>
  <c r="AB4" i="2"/>
  <c r="AB36" i="2"/>
  <c r="X26" i="2"/>
  <c r="X16" i="2"/>
  <c r="X5" i="2"/>
  <c r="Y35" i="2"/>
  <c r="Y24" i="2"/>
  <c r="Y19" i="2"/>
  <c r="Y13" i="2"/>
  <c r="Y8" i="2"/>
  <c r="Z17" i="2"/>
  <c r="Z6" i="2"/>
  <c r="AB31" i="2"/>
  <c r="AB25" i="2"/>
  <c r="AB20" i="2"/>
  <c r="AB14" i="2"/>
  <c r="AB9" i="2"/>
  <c r="X10" i="2"/>
  <c r="X4" i="2"/>
  <c r="Y34" i="2"/>
  <c r="Y29" i="2"/>
  <c r="Y23" i="2"/>
  <c r="Y18" i="2"/>
  <c r="Z21" i="2"/>
  <c r="AB13" i="2"/>
  <c r="X29" i="2"/>
  <c r="X24" i="2"/>
  <c r="X19" i="2"/>
  <c r="X14" i="2"/>
  <c r="Y33" i="2"/>
  <c r="Y22" i="2"/>
  <c r="Y17" i="2"/>
  <c r="Y6" i="2"/>
  <c r="AB35" i="2"/>
  <c r="AB29" i="2"/>
  <c r="AB23" i="2"/>
  <c r="AB18" i="2"/>
  <c r="Y16" i="2"/>
  <c r="Z36" i="2"/>
  <c r="Z37" i="2"/>
  <c r="Z30" i="2"/>
  <c r="Z25" i="2"/>
  <c r="Z20" i="2"/>
  <c r="Z14" i="2"/>
  <c r="Z9" i="2"/>
  <c r="Z3" i="2"/>
  <c r="Z22" i="2"/>
  <c r="AB28" i="2"/>
  <c r="Y36" i="2"/>
  <c r="Y37" i="2"/>
  <c r="Z33" i="2"/>
  <c r="Z10" i="2"/>
  <c r="Z34" i="2"/>
  <c r="X34" i="2"/>
  <c r="Y28" i="2"/>
  <c r="Z31" i="2"/>
  <c r="Z26" i="2"/>
  <c r="Z15" i="2"/>
  <c r="Z28" i="2"/>
  <c r="Z4" i="2"/>
  <c r="AB7" i="2"/>
  <c r="X11" i="2"/>
  <c r="X37" i="2"/>
  <c r="X2" i="2"/>
  <c r="X6" i="2"/>
  <c r="X7" i="2"/>
  <c r="BL12" i="1" l="1"/>
  <c r="B7" i="1"/>
  <c r="F1" i="9"/>
  <c r="D1" i="9"/>
  <c r="AJ11" i="1" l="1" a="1"/>
  <c r="AJ11" i="1" s="1"/>
  <c r="A2" i="18" a="1"/>
  <c r="A2" i="17" a="1"/>
  <c r="AM118" i="2" s="1"/>
  <c r="CH11" i="1" a="1"/>
  <c r="CH11" i="1" s="1"/>
  <c r="BH11" i="1" s="1"/>
  <c r="C15" i="1" a="1"/>
  <c r="C15" i="1" s="1"/>
  <c r="E44" i="1" a="1"/>
  <c r="E44" i="1" s="1"/>
  <c r="E41" i="1" a="1"/>
  <c r="E41" i="1" s="1"/>
  <c r="E38" i="1" a="1"/>
  <c r="E38" i="1" s="1"/>
  <c r="E35" i="1" a="1"/>
  <c r="E35" i="1" s="1"/>
  <c r="E32" i="1" a="1"/>
  <c r="E32" i="1" s="1"/>
  <c r="E29" i="1" a="1"/>
  <c r="E29" i="1" s="1"/>
  <c r="E26" i="1" a="1"/>
  <c r="E26" i="1" s="1"/>
  <c r="E23" i="1" a="1"/>
  <c r="E23" i="1" s="1"/>
  <c r="E20" i="1" a="1"/>
  <c r="E20" i="1" s="1"/>
  <c r="E17" i="1" a="1"/>
  <c r="E17" i="1" s="1"/>
  <c r="E43" i="1" a="1"/>
  <c r="E43" i="1" s="1"/>
  <c r="E40" i="1" a="1"/>
  <c r="E40" i="1" s="1"/>
  <c r="E37" i="1" a="1"/>
  <c r="E37" i="1" s="1"/>
  <c r="E34" i="1" a="1"/>
  <c r="E34" i="1" s="1"/>
  <c r="E31" i="1" a="1"/>
  <c r="E31" i="1" s="1"/>
  <c r="E28" i="1" a="1"/>
  <c r="E28" i="1" s="1"/>
  <c r="E25" i="1" a="1"/>
  <c r="E25" i="1" s="1"/>
  <c r="E22" i="1" a="1"/>
  <c r="E22" i="1" s="1"/>
  <c r="E19" i="1" a="1"/>
  <c r="E19" i="1" s="1"/>
  <c r="E16" i="1" a="1"/>
  <c r="E16" i="1" s="1"/>
  <c r="E42" i="1" a="1"/>
  <c r="E42" i="1" s="1"/>
  <c r="E39" i="1" a="1"/>
  <c r="E39" i="1" s="1"/>
  <c r="E36" i="1" a="1"/>
  <c r="E36" i="1" s="1"/>
  <c r="E33" i="1" a="1"/>
  <c r="E33" i="1" s="1"/>
  <c r="E30" i="1" a="1"/>
  <c r="E30" i="1" s="1"/>
  <c r="E27" i="1" a="1"/>
  <c r="E27" i="1" s="1"/>
  <c r="E24" i="1" a="1"/>
  <c r="E24" i="1" s="1"/>
  <c r="E21" i="1" a="1"/>
  <c r="E21" i="1" s="1"/>
  <c r="E18" i="1" a="1"/>
  <c r="E18" i="1" s="1"/>
  <c r="E15" i="1" a="1"/>
  <c r="E15" i="1" s="1"/>
  <c r="D44" i="1" a="1"/>
  <c r="D44" i="1" s="1"/>
  <c r="C40" i="1" a="1"/>
  <c r="C40" i="1" s="1"/>
  <c r="D35" i="1" a="1"/>
  <c r="D35" i="1" s="1"/>
  <c r="C31" i="1" a="1"/>
  <c r="C31" i="1" s="1"/>
  <c r="D26" i="1" a="1"/>
  <c r="D26" i="1" s="1"/>
  <c r="C22" i="1" a="1"/>
  <c r="C22" i="1" s="1"/>
  <c r="D17" i="1" a="1"/>
  <c r="D17" i="1" s="1"/>
  <c r="C43" i="1" a="1"/>
  <c r="C43" i="1" s="1"/>
  <c r="D38" i="1" a="1"/>
  <c r="D38" i="1" s="1"/>
  <c r="C34" i="1" a="1"/>
  <c r="C34" i="1" s="1"/>
  <c r="D29" i="1" a="1"/>
  <c r="D29" i="1" s="1"/>
  <c r="C25" i="1" a="1"/>
  <c r="C25" i="1" s="1"/>
  <c r="D20" i="1" a="1"/>
  <c r="D20" i="1" s="1"/>
  <c r="C16" i="1" a="1"/>
  <c r="C16" i="1" s="1"/>
  <c r="D41" i="1" a="1"/>
  <c r="D41" i="1" s="1"/>
  <c r="C37" i="1" a="1"/>
  <c r="C37" i="1" s="1"/>
  <c r="D32" i="1" a="1"/>
  <c r="D32" i="1" s="1"/>
  <c r="C28" i="1" a="1"/>
  <c r="C28" i="1" s="1"/>
  <c r="D23" i="1" a="1"/>
  <c r="D23" i="1" s="1"/>
  <c r="C19" i="1" a="1"/>
  <c r="C19" i="1" s="1"/>
  <c r="E14" i="1" a="1"/>
  <c r="E14" i="1" s="1"/>
  <c r="C44" i="1" a="1"/>
  <c r="C44" i="1" s="1"/>
  <c r="D42" i="1" a="1"/>
  <c r="D42" i="1" s="1"/>
  <c r="C41" i="1" a="1"/>
  <c r="C41" i="1" s="1"/>
  <c r="D39" i="1" a="1"/>
  <c r="D39" i="1" s="1"/>
  <c r="C38" i="1" a="1"/>
  <c r="C38" i="1" s="1"/>
  <c r="D36" i="1" a="1"/>
  <c r="D36" i="1" s="1"/>
  <c r="C35" i="1" a="1"/>
  <c r="C35" i="1" s="1"/>
  <c r="D33" i="1" a="1"/>
  <c r="D33" i="1" s="1"/>
  <c r="C32" i="1" a="1"/>
  <c r="C32" i="1" s="1"/>
  <c r="D30" i="1" a="1"/>
  <c r="D30" i="1" s="1"/>
  <c r="C29" i="1" a="1"/>
  <c r="C29" i="1" s="1"/>
  <c r="D27" i="1" a="1"/>
  <c r="D27" i="1" s="1"/>
  <c r="C26" i="1" a="1"/>
  <c r="C26" i="1" s="1"/>
  <c r="D24" i="1" a="1"/>
  <c r="D24" i="1" s="1"/>
  <c r="C23" i="1" a="1"/>
  <c r="C23" i="1" s="1"/>
  <c r="D21" i="1" a="1"/>
  <c r="D21" i="1" s="1"/>
  <c r="C20" i="1" a="1"/>
  <c r="C20" i="1" s="1"/>
  <c r="D18" i="1" a="1"/>
  <c r="D18" i="1" s="1"/>
  <c r="C17" i="1" a="1"/>
  <c r="C17" i="1" s="1"/>
  <c r="D15" i="1" a="1"/>
  <c r="D15" i="1" s="1"/>
  <c r="D43" i="1" a="1"/>
  <c r="D43" i="1" s="1"/>
  <c r="C42" i="1" a="1"/>
  <c r="C42" i="1" s="1"/>
  <c r="D40" i="1" a="1"/>
  <c r="D40" i="1" s="1"/>
  <c r="C39" i="1" a="1"/>
  <c r="C39" i="1" s="1"/>
  <c r="D37" i="1" a="1"/>
  <c r="D37" i="1" s="1"/>
  <c r="C36" i="1" a="1"/>
  <c r="C36" i="1" s="1"/>
  <c r="D34" i="1" a="1"/>
  <c r="D34" i="1" s="1"/>
  <c r="C33" i="1" a="1"/>
  <c r="C33" i="1" s="1"/>
  <c r="D31" i="1" a="1"/>
  <c r="D31" i="1" s="1"/>
  <c r="C30" i="1" a="1"/>
  <c r="C30" i="1" s="1"/>
  <c r="D28" i="1" a="1"/>
  <c r="D28" i="1" s="1"/>
  <c r="C27" i="1" a="1"/>
  <c r="C27" i="1" s="1"/>
  <c r="D25" i="1" a="1"/>
  <c r="D25" i="1" s="1"/>
  <c r="C24" i="1" a="1"/>
  <c r="C24" i="1" s="1"/>
  <c r="D22" i="1" a="1"/>
  <c r="D22" i="1" s="1"/>
  <c r="C21" i="1" a="1"/>
  <c r="C21" i="1" s="1"/>
  <c r="D19" i="1" a="1"/>
  <c r="D19" i="1" s="1"/>
  <c r="C18" i="1" a="1"/>
  <c r="C18" i="1" s="1"/>
  <c r="D16" i="1" a="1"/>
  <c r="D16" i="1" s="1"/>
  <c r="D14" i="1" a="1"/>
  <c r="D14" i="1" s="1"/>
  <c r="C14" i="1" a="1"/>
  <c r="C14" i="1" s="1"/>
  <c r="A5" i="9" a="1"/>
  <c r="A5" i="9" s="1"/>
  <c r="CH12" i="1" l="1"/>
  <c r="AJ12" i="1"/>
  <c r="AY118" i="2"/>
  <c r="AW118" i="2"/>
  <c r="A2" i="18"/>
  <c r="AX118" i="2"/>
  <c r="AU124" i="2"/>
  <c r="AS124" i="2"/>
  <c r="AV119" i="2"/>
  <c r="AS121" i="2" s="1"/>
  <c r="AX124" i="2"/>
  <c r="AW124" i="2"/>
  <c r="AV124" i="2"/>
  <c r="AM124" i="2"/>
  <c r="AM121" i="2"/>
  <c r="AL124" i="2"/>
  <c r="AI124" i="2"/>
  <c r="AK124" i="2"/>
  <c r="AN124" i="2"/>
  <c r="AP124" i="2"/>
  <c r="AL119" i="2"/>
  <c r="AM119" i="2" s="1"/>
  <c r="AO122" i="2" s="1"/>
  <c r="AO124" i="2"/>
  <c r="AI121" i="2"/>
  <c r="AN118" i="2"/>
  <c r="AO118" i="2"/>
  <c r="A2" i="17"/>
  <c r="AC11" i="1"/>
  <c r="AC12" i="1"/>
  <c r="CC12" i="1"/>
  <c r="CC11" i="1"/>
  <c r="AQ2" i="6"/>
  <c r="AQ3" i="6"/>
  <c r="AN121" i="2" l="1"/>
  <c r="AK121" i="2"/>
  <c r="AP2" i="6" l="1"/>
  <c r="AP3" i="6"/>
  <c r="AS3" i="6"/>
  <c r="R2" i="5" l="1"/>
  <c r="Q2" i="5"/>
  <c r="P2" i="5"/>
  <c r="M2" i="5"/>
  <c r="AT3" i="6"/>
  <c r="K26" i="2"/>
  <c r="K34" i="2" s="1"/>
  <c r="J26" i="2"/>
  <c r="M34" i="2"/>
  <c r="L34" i="2"/>
  <c r="G2" i="5" a="1"/>
  <c r="W2" i="5" a="1"/>
  <c r="W2" i="5" s="1"/>
  <c r="V2" i="5" a="1"/>
  <c r="V2" i="5" s="1"/>
  <c r="U2" i="5" a="1"/>
  <c r="U2" i="5" s="1"/>
  <c r="H2" i="5" a="1"/>
  <c r="T2" i="5"/>
  <c r="S2" i="5"/>
  <c r="K2" i="5"/>
  <c r="O2" i="5" s="1"/>
  <c r="I2" i="5"/>
  <c r="AR30" i="6" l="1"/>
  <c r="AU30" i="6" s="1"/>
  <c r="AR48" i="6"/>
  <c r="AU48" i="6" s="1"/>
  <c r="AR66" i="6"/>
  <c r="AU66" i="6" s="1"/>
  <c r="AR114" i="6"/>
  <c r="AU114" i="6" s="1"/>
  <c r="AR138" i="6"/>
  <c r="AU138" i="6" s="1"/>
  <c r="AR144" i="6"/>
  <c r="AU144" i="6" s="1"/>
  <c r="AR168" i="6"/>
  <c r="AU168" i="6" s="1"/>
  <c r="AR31" i="6"/>
  <c r="AU31" i="6" s="1"/>
  <c r="AR49" i="6"/>
  <c r="AU49" i="6" s="1"/>
  <c r="AR145" i="6"/>
  <c r="AU145" i="6" s="1"/>
  <c r="AR20" i="6"/>
  <c r="AU20" i="6" s="1"/>
  <c r="AR32" i="6"/>
  <c r="AU32" i="6" s="1"/>
  <c r="AR50" i="6"/>
  <c r="AU50" i="6" s="1"/>
  <c r="AR74" i="6"/>
  <c r="AU74" i="6" s="1"/>
  <c r="AR27" i="6"/>
  <c r="AU27" i="6" s="1"/>
  <c r="AR33" i="6"/>
  <c r="AU33" i="6" s="1"/>
  <c r="AR75" i="6"/>
  <c r="AU75" i="6" s="1"/>
  <c r="AR165" i="6"/>
  <c r="AU165" i="6" s="1"/>
  <c r="AR28" i="6"/>
  <c r="AU28" i="6" s="1"/>
  <c r="AR76" i="6"/>
  <c r="AU76" i="6" s="1"/>
  <c r="AR136" i="6"/>
  <c r="AU136" i="6" s="1"/>
  <c r="AR166" i="6"/>
  <c r="AU166" i="6" s="1"/>
  <c r="AR29" i="6"/>
  <c r="AU29" i="6" s="1"/>
  <c r="AR65" i="6"/>
  <c r="AU65" i="6" s="1"/>
  <c r="AR77" i="6"/>
  <c r="AU77" i="6" s="1"/>
  <c r="AR113" i="6"/>
  <c r="AU113" i="6" s="1"/>
  <c r="AR137" i="6"/>
  <c r="AU137" i="6" s="1"/>
  <c r="AR167" i="6"/>
  <c r="AU167" i="6" s="1"/>
  <c r="J34" i="2"/>
  <c r="D2" i="5"/>
  <c r="H2" i="5"/>
  <c r="G2" i="5"/>
  <c r="N2" i="5" s="1" a="1"/>
  <c r="N2" i="5" s="1"/>
  <c r="L2" i="5"/>
  <c r="AR6" i="6" l="1"/>
  <c r="AS6" i="6" s="1"/>
  <c r="AR24" i="6"/>
  <c r="AS24" i="6" s="1"/>
  <c r="AR42" i="6"/>
  <c r="AS42" i="6" s="1"/>
  <c r="AR78" i="6"/>
  <c r="AS78" i="6" s="1"/>
  <c r="AR84" i="6"/>
  <c r="AS84" i="6" s="1"/>
  <c r="AR108" i="6"/>
  <c r="AS108" i="6" s="1"/>
  <c r="AR126" i="6"/>
  <c r="AS126" i="6" s="1"/>
  <c r="AR162" i="6"/>
  <c r="AS162" i="6" s="1"/>
  <c r="AR7" i="6"/>
  <c r="AS7" i="6" s="1"/>
  <c r="AR25" i="6"/>
  <c r="AS25" i="6" s="1"/>
  <c r="AR43" i="6"/>
  <c r="AS43" i="6" s="1"/>
  <c r="AR61" i="6"/>
  <c r="AS61" i="6" s="1"/>
  <c r="AR79" i="6"/>
  <c r="AS79" i="6" s="1"/>
  <c r="AR109" i="6"/>
  <c r="AS109" i="6" s="1"/>
  <c r="AR127" i="6"/>
  <c r="AS127" i="6" s="1"/>
  <c r="AR163" i="6"/>
  <c r="AS163" i="6" s="1"/>
  <c r="AR175" i="6"/>
  <c r="AS175" i="6" s="1"/>
  <c r="AR2" i="6"/>
  <c r="AR8" i="6"/>
  <c r="AS8" i="6" s="1"/>
  <c r="AR26" i="6"/>
  <c r="AS26" i="6" s="1"/>
  <c r="AR44" i="6"/>
  <c r="AS44" i="6" s="1"/>
  <c r="AR62" i="6"/>
  <c r="AS62" i="6" s="1"/>
  <c r="AR80" i="6"/>
  <c r="AS80" i="6" s="1"/>
  <c r="AR110" i="6"/>
  <c r="AS110" i="6" s="1"/>
  <c r="AR128" i="6"/>
  <c r="AS128" i="6" s="1"/>
  <c r="AR164" i="6"/>
  <c r="AS164" i="6" s="1"/>
  <c r="AR176" i="6"/>
  <c r="AS176" i="6" s="1"/>
  <c r="AR9" i="6"/>
  <c r="AS9" i="6" s="1"/>
  <c r="AR63" i="6"/>
  <c r="AS63" i="6" s="1"/>
  <c r="AR81" i="6"/>
  <c r="AS81" i="6" s="1"/>
  <c r="AR111" i="6"/>
  <c r="AS111" i="6" s="1"/>
  <c r="AR123" i="6"/>
  <c r="AS123" i="6" s="1"/>
  <c r="AR129" i="6"/>
  <c r="AS129" i="6" s="1"/>
  <c r="AR177" i="6"/>
  <c r="AS177" i="6" s="1"/>
  <c r="AR10" i="6"/>
  <c r="AS10" i="6" s="1"/>
  <c r="AR40" i="6"/>
  <c r="AS40" i="6" s="1"/>
  <c r="AR64" i="6"/>
  <c r="AS64" i="6" s="1"/>
  <c r="AR82" i="6"/>
  <c r="AS82" i="6" s="1"/>
  <c r="AR112" i="6"/>
  <c r="AS112" i="6" s="1"/>
  <c r="AR124" i="6"/>
  <c r="AS124" i="6" s="1"/>
  <c r="AR130" i="6"/>
  <c r="AS130" i="6" s="1"/>
  <c r="AR142" i="6"/>
  <c r="AS142" i="6" s="1"/>
  <c r="AR178" i="6"/>
  <c r="AS178" i="6" s="1"/>
  <c r="AR5" i="6"/>
  <c r="AS5" i="6" s="1"/>
  <c r="AR11" i="6"/>
  <c r="AS11" i="6" s="1"/>
  <c r="AR41" i="6"/>
  <c r="AS41" i="6" s="1"/>
  <c r="AR83" i="6"/>
  <c r="AS83" i="6" s="1"/>
  <c r="AR125" i="6"/>
  <c r="AS125" i="6" s="1"/>
  <c r="AR131" i="6"/>
  <c r="AS131" i="6" s="1"/>
  <c r="AR143" i="6"/>
  <c r="AS143" i="6" s="1"/>
  <c r="AR179" i="6"/>
  <c r="AS179" i="6" s="1"/>
  <c r="F2" i="5" a="1"/>
  <c r="F2" i="5" s="1"/>
  <c r="E2" i="5" a="1"/>
  <c r="E2" i="5" s="1"/>
  <c r="AS2" i="6"/>
  <c r="J2" i="5"/>
  <c r="M2" i="7"/>
  <c r="M3" i="7"/>
  <c r="M4" i="7"/>
  <c r="M5" i="7"/>
  <c r="AV2" i="6"/>
  <c r="AV3" i="6"/>
  <c r="AU142" i="6" l="1"/>
  <c r="AT142" i="6"/>
  <c r="AU81" i="6"/>
  <c r="AT81" i="6"/>
  <c r="AU108" i="6"/>
  <c r="AT108" i="6"/>
  <c r="AU83" i="6"/>
  <c r="AT83" i="6"/>
  <c r="AU130" i="6"/>
  <c r="AT130" i="6"/>
  <c r="AU10" i="6"/>
  <c r="AT10" i="6"/>
  <c r="AU63" i="6"/>
  <c r="AT63" i="6"/>
  <c r="AU80" i="6"/>
  <c r="AT80" i="6"/>
  <c r="AU175" i="6"/>
  <c r="AT175" i="6"/>
  <c r="AU43" i="6"/>
  <c r="AT43" i="6"/>
  <c r="AT84" i="6"/>
  <c r="AU84" i="6"/>
  <c r="AU41" i="6"/>
  <c r="AT41" i="6"/>
  <c r="AU124" i="6"/>
  <c r="AT124" i="6"/>
  <c r="AT177" i="6"/>
  <c r="AU177" i="6"/>
  <c r="AU9" i="6"/>
  <c r="AT9" i="6"/>
  <c r="AU62" i="6"/>
  <c r="AT62" i="6"/>
  <c r="AU163" i="6"/>
  <c r="AT163" i="6"/>
  <c r="AU25" i="6"/>
  <c r="AT25" i="6"/>
  <c r="AU78" i="6"/>
  <c r="AT78" i="6"/>
  <c r="AU179" i="6"/>
  <c r="AT179" i="6"/>
  <c r="AT11" i="6"/>
  <c r="AU11" i="6"/>
  <c r="AU112" i="6"/>
  <c r="AT112" i="6"/>
  <c r="AU129" i="6"/>
  <c r="AT129" i="6"/>
  <c r="AU176" i="6"/>
  <c r="AT176" i="6"/>
  <c r="AU44" i="6"/>
  <c r="AT44" i="6"/>
  <c r="AT127" i="6"/>
  <c r="AU127" i="6"/>
  <c r="AU7" i="6"/>
  <c r="AT7" i="6"/>
  <c r="AU42" i="6"/>
  <c r="AT42" i="6"/>
  <c r="AU143" i="6"/>
  <c r="AT143" i="6"/>
  <c r="AU5" i="6"/>
  <c r="AT5" i="6"/>
  <c r="AU82" i="6"/>
  <c r="AT82" i="6"/>
  <c r="AU123" i="6"/>
  <c r="AT123" i="6"/>
  <c r="AU164" i="6"/>
  <c r="AT164" i="6"/>
  <c r="AT26" i="6"/>
  <c r="AU26" i="6"/>
  <c r="AU109" i="6"/>
  <c r="AT109" i="6"/>
  <c r="AU162" i="6"/>
  <c r="AT162" i="6"/>
  <c r="AU24" i="6"/>
  <c r="AT24" i="6"/>
  <c r="AU125" i="6"/>
  <c r="AT125" i="6"/>
  <c r="AU40" i="6"/>
  <c r="AT40" i="6"/>
  <c r="AU110" i="6"/>
  <c r="AT110" i="6"/>
  <c r="AT61" i="6"/>
  <c r="AU61" i="6"/>
  <c r="AT131" i="6"/>
  <c r="AU131" i="6"/>
  <c r="AU178" i="6"/>
  <c r="AT178" i="6"/>
  <c r="AT64" i="6"/>
  <c r="AU64" i="6"/>
  <c r="AU111" i="6"/>
  <c r="AT111" i="6"/>
  <c r="AU128" i="6"/>
  <c r="AT128" i="6"/>
  <c r="AU8" i="6"/>
  <c r="AT8" i="6"/>
  <c r="AU79" i="6"/>
  <c r="AT79" i="6"/>
  <c r="AU126" i="6"/>
  <c r="AT126" i="6"/>
  <c r="AU6" i="6"/>
  <c r="AT6" i="6"/>
  <c r="AU3" i="6"/>
  <c r="AT2" i="6"/>
  <c r="AU2" i="6" l="1"/>
  <c r="C9" i="2"/>
  <c r="D4" i="1" s="1"/>
  <c r="B14" i="2" a="1"/>
  <c r="B14" i="2" s="1"/>
  <c r="B16" i="2" s="1"/>
  <c r="B22" i="2" s="1"/>
  <c r="O3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tc={242B0A8F-7511-41AC-970F-A82BC55F1369}</author>
    <author>tc={03B5F7FD-966D-49EB-BA45-A454BA97BC40}</author>
  </authors>
  <commentList>
    <comment ref="N1" authorId="0" shapeId="0" xr:uid="{242B0A8F-7511-41AC-970F-A82BC55F136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네이버는 건당 80원 추가됨</t>
      </text>
    </comment>
    <comment ref="Z1" authorId="1" shapeId="0" xr:uid="{03B5F7FD-966D-49EB-BA45-A454BA97BC4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반품,반품1,제작
반품2(업체배송*2)
반품은 건당 200원 추가됨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F100AAC-B8A8-4CDF-B440-A6D647440161}" keepAlive="1" name="쿼리 - F출고표" description="통합 문서의 'F출고표' 쿼리에 대한 연결입니다." type="5" refreshedVersion="8" background="1" saveData="1">
    <dbPr connection="Provider=Microsoft.Mashup.OleDb.1;Data Source=$Workbook$;Location=F출고표;Extended Properties=&quot;&quot;" command="SELECT * FROM [F출고표]"/>
  </connection>
  <connection id="2" xr16:uid="{9744918D-F10C-4E15-ABA2-E400F9E3BAD6}" keepAlive="1" name="쿼리 - S출고표" description="통합 문서의 'S출고표' 쿼리에 대한 연결입니다." type="5" refreshedVersion="8" background="1" saveData="1">
    <dbPr connection="Provider=Microsoft.Mashup.OleDb.1;Data Source=$Workbook$;Location=S출고표;Extended Properties=&quot;&quot;" command="SELECT * FROM [S출고표]"/>
  </connection>
  <connection id="3" xr16:uid="{FA1C007B-B138-4C8C-9693-460D217504B9}" keepAlive="1" name="쿼리 - TOGLE" description="통합 문서의 'TOGLE' 쿼리에 대한 연결입니다." type="5" refreshedVersion="8" background="1" saveData="1">
    <dbPr connection="Provider=Microsoft.Mashup.OleDb.1;Data Source=$Workbook$;Location=TOGLE;Extended Properties=&quot;&quot;" command="SELECT * FROM [TOGLE]"/>
  </connection>
  <connection id="4" xr16:uid="{13500624-B517-403C-AFB8-3977AA6E99A6}" keepAlive="1" name="쿼리 - 매개 변수1" description="통합 문서의 '매개 변수1' 쿼리에 대한 연결입니다." type="5" refreshedVersion="0" background="1">
    <dbPr connection="Provider=Microsoft.Mashup.OleDb.1;Data Source=$Workbook$;Location=&quot;매개 변수1&quot;;Extended Properties=&quot;&quot;" command="SELECT * FROM [매개 변수1]"/>
  </connection>
  <connection id="5" xr16:uid="{A78FF0B3-BDBA-48CE-A1EC-FCF4478C59E9}" keepAlive="1" name="쿼리 - 병합1" description="통합 문서의 '병합1' 쿼리에 대한 연결입니다." type="5" refreshedVersion="8" background="1" saveData="1">
    <dbPr connection="Provider=Microsoft.Mashup.OleDb.1;Data Source=$Workbook$;Location=병합1;Extended Properties=&quot;&quot;" command="SELECT * FROM [병합1]"/>
  </connection>
  <connection id="6" xr16:uid="{73DE8AF1-DEB7-4579-824F-D733C8D5D68E}" keepAlive="1" name="쿼리 - 샘플 파일" description="통합 문서의 '샘플 파일' 쿼리에 대한 연결입니다." type="5" refreshedVersion="0" background="1">
    <dbPr connection="Provider=Microsoft.Mashup.OleDb.1;Data Source=$Workbook$;Location=&quot;샘플 파일&quot;;Extended Properties=&quot;&quot;" command="SELECT * FROM [샘플 파일]"/>
  </connection>
  <connection id="7" xr16:uid="{DFDA429C-1947-44BF-A954-B2573A8D2505}" keepAlive="1" name="쿼리 - 샘플 파일 변환" description="통합 문서의 '샘플 파일 변환' 쿼리에 대한 연결입니다." type="5" refreshedVersion="0" background="1">
    <dbPr connection="Provider=Microsoft.Mashup.OleDb.1;Data Source=$Workbook$;Location=&quot;샘플 파일 변환&quot;;Extended Properties=&quot;&quot;" command="SELECT * FROM [샘플 파일 변환]"/>
  </connection>
  <connection id="8" xr16:uid="{F240ABCE-B83F-46C4-9E75-A771546F9147}" keepAlive="1" name="쿼리 - 출고표" description="통합 문서의 '출고표' 쿼리에 대한 연결입니다." type="5" refreshedVersion="8" background="1" saveData="1">
    <dbPr connection="Provider=Microsoft.Mashup.OleDb.1;Data Source=$Workbook$;Location=출고표;Extended Properties=&quot;&quot;" command="SELECT * FROM [출고표]"/>
  </connection>
  <connection id="9" xr16:uid="{F0118833-8284-4B15-AEFD-DC1EF9B7B1CD}" keepAlive="1" name="쿼리 - 파일 변환" description="통합 문서의 '파일 변환' 쿼리에 대한 연결입니다." type="5" refreshedVersion="0" background="1">
    <dbPr connection="Provider=Microsoft.Mashup.OleDb.1;Data Source=$Workbook$;Location=&quot;파일 변환&quot;;Extended Properties=&quot;&quot;" command="SELECT * FROM [파일 변환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<sst xmlns="http://schemas.openxmlformats.org/spreadsheetml/2006/main" count="14591" uniqueCount="2109">
  <si>
    <t>대표</t>
    <phoneticPr fontId="6" type="noConversion"/>
  </si>
  <si>
    <t>SE.1000</t>
    <phoneticPr fontId="6" type="noConversion"/>
  </si>
  <si>
    <t>제작</t>
    <phoneticPr fontId="6" type="noConversion"/>
  </si>
  <si>
    <t>SE.999</t>
    <phoneticPr fontId="4" type="noConversion"/>
  </si>
  <si>
    <t>SE.408</t>
  </si>
  <si>
    <t>SE.407</t>
  </si>
  <si>
    <t>SE.406</t>
  </si>
  <si>
    <t>식탁보</t>
    <phoneticPr fontId="4" type="noConversion"/>
  </si>
  <si>
    <t>SE.405</t>
  </si>
  <si>
    <t>롤백 35*50</t>
  </si>
  <si>
    <t>SE.404</t>
  </si>
  <si>
    <t>롤백 30*40</t>
    <phoneticPr fontId="4" type="noConversion"/>
  </si>
  <si>
    <t>SE.403</t>
  </si>
  <si>
    <t>롤백 25*35</t>
  </si>
  <si>
    <t>SE.402</t>
  </si>
  <si>
    <t>옷비닐</t>
    <phoneticPr fontId="4" type="noConversion"/>
  </si>
  <si>
    <t>SE.401</t>
  </si>
  <si>
    <t>떡외겹 30*30</t>
  </si>
  <si>
    <t>SE.307</t>
  </si>
  <si>
    <t>떡외겹 20*20</t>
  </si>
  <si>
    <t>SE.306</t>
  </si>
  <si>
    <t>떡외겹 39*40</t>
  </si>
  <si>
    <t>SE.305</t>
  </si>
  <si>
    <t>떡외겹 30*38</t>
  </si>
  <si>
    <t>SE.304</t>
  </si>
  <si>
    <t>떡외겹 25*25</t>
  </si>
  <si>
    <t>SE.303</t>
  </si>
  <si>
    <t>떡외겹 20*30</t>
  </si>
  <si>
    <t>SE.302</t>
  </si>
  <si>
    <t>떡외겹 15*20</t>
  </si>
  <si>
    <t>SE.301</t>
  </si>
  <si>
    <t>-</t>
    <phoneticPr fontId="4" type="noConversion"/>
  </si>
  <si>
    <t>SE.207</t>
  </si>
  <si>
    <t>떡롤 45*330</t>
  </si>
  <si>
    <t>SE.206</t>
  </si>
  <si>
    <t>떡롤 35*400</t>
  </si>
  <si>
    <t>SE.205</t>
  </si>
  <si>
    <t>떡롤 30*400</t>
  </si>
  <si>
    <t>SE.204</t>
  </si>
  <si>
    <t>떡롤 24*400</t>
  </si>
  <si>
    <t>SE.203</t>
  </si>
  <si>
    <t>떡롤 22*400</t>
  </si>
  <si>
    <t>SE.202</t>
  </si>
  <si>
    <t>떡롤 20*400</t>
  </si>
  <si>
    <t>SE.201</t>
  </si>
  <si>
    <t>끈속지 40*60</t>
    <phoneticPr fontId="4" type="noConversion"/>
  </si>
  <si>
    <t>SE.140</t>
  </si>
  <si>
    <t>끈속지 35*50</t>
  </si>
  <si>
    <t>SE.139</t>
  </si>
  <si>
    <t>끈속지 30*45</t>
  </si>
  <si>
    <t>SE.138</t>
  </si>
  <si>
    <t>끈속지 25*35</t>
  </si>
  <si>
    <t>SE.137</t>
  </si>
  <si>
    <t>진공팩35</t>
  </si>
  <si>
    <t>SE.136</t>
  </si>
  <si>
    <t>진공팩32</t>
  </si>
  <si>
    <t>SE.135</t>
  </si>
  <si>
    <t>진공팩28</t>
  </si>
  <si>
    <t>SE.134</t>
  </si>
  <si>
    <t>진공팩25</t>
  </si>
  <si>
    <t>SE.133</t>
  </si>
  <si>
    <t>진공팩23</t>
  </si>
  <si>
    <t>SE.132</t>
  </si>
  <si>
    <t>우엉</t>
    <phoneticPr fontId="4" type="noConversion"/>
  </si>
  <si>
    <t>SE.131</t>
  </si>
  <si>
    <t>속지 35*50</t>
  </si>
  <si>
    <t>SE.130</t>
  </si>
  <si>
    <t>속지 32*45</t>
  </si>
  <si>
    <t>SE.129</t>
  </si>
  <si>
    <t>속지 30*40</t>
  </si>
  <si>
    <t>SE.128</t>
  </si>
  <si>
    <t>속지 28*40</t>
  </si>
  <si>
    <t>SE.127</t>
  </si>
  <si>
    <t>속지 24*36</t>
  </si>
  <si>
    <t>SE.126</t>
  </si>
  <si>
    <t>속지 20*30</t>
  </si>
  <si>
    <t>SE.125</t>
  </si>
  <si>
    <t>막지 90*120</t>
  </si>
  <si>
    <t>SE.124</t>
  </si>
  <si>
    <t>막지 90*110</t>
  </si>
  <si>
    <t>SE.123</t>
  </si>
  <si>
    <t>막지 75*100</t>
  </si>
  <si>
    <t>SE.122</t>
  </si>
  <si>
    <t>막지 63*90</t>
  </si>
  <si>
    <t>SE.121</t>
  </si>
  <si>
    <t>막지 53*73</t>
  </si>
  <si>
    <t>SE.120</t>
  </si>
  <si>
    <t>막지 48*70</t>
  </si>
  <si>
    <t>SE.119</t>
  </si>
  <si>
    <t>막지 40*60</t>
  </si>
  <si>
    <t>SE.118</t>
  </si>
  <si>
    <t>조리개</t>
    <phoneticPr fontId="4" type="noConversion"/>
  </si>
  <si>
    <t>SE.117</t>
  </si>
  <si>
    <t>고추 120*170</t>
    <phoneticPr fontId="4" type="noConversion"/>
  </si>
  <si>
    <t>SE.116</t>
  </si>
  <si>
    <t>고추 100*150</t>
    <phoneticPr fontId="4" type="noConversion"/>
  </si>
  <si>
    <t>SE.115</t>
  </si>
  <si>
    <t>고추 90*130</t>
    <phoneticPr fontId="4" type="noConversion"/>
  </si>
  <si>
    <t>SE.114</t>
  </si>
  <si>
    <t>고추 80*120</t>
    <phoneticPr fontId="4" type="noConversion"/>
  </si>
  <si>
    <t>SE.113</t>
  </si>
  <si>
    <t>고추 75*130</t>
    <phoneticPr fontId="4" type="noConversion"/>
  </si>
  <si>
    <t>SE.112</t>
  </si>
  <si>
    <t>고추 70*110</t>
    <phoneticPr fontId="4" type="noConversion"/>
  </si>
  <si>
    <t>SE.111</t>
  </si>
  <si>
    <t>고추 60*90</t>
    <phoneticPr fontId="4" type="noConversion"/>
  </si>
  <si>
    <t>SE.110</t>
  </si>
  <si>
    <t>고추 48*80</t>
    <phoneticPr fontId="4" type="noConversion"/>
  </si>
  <si>
    <t>SE.109</t>
  </si>
  <si>
    <t>고추 45*75</t>
    <phoneticPr fontId="4" type="noConversion"/>
  </si>
  <si>
    <t>SE.108</t>
  </si>
  <si>
    <t>소폭 30*51</t>
  </si>
  <si>
    <t>SE.107</t>
  </si>
  <si>
    <t>상품명</t>
  </si>
  <si>
    <t>소폭 24*38</t>
  </si>
  <si>
    <t>SE.106</t>
  </si>
  <si>
    <t>송장번호</t>
  </si>
  <si>
    <t>소폭 20*38</t>
  </si>
  <si>
    <t>SE.105</t>
  </si>
  <si>
    <t>거래처지급액</t>
  </si>
  <si>
    <t>소폭 18*36</t>
  </si>
  <si>
    <t>SE.104</t>
  </si>
  <si>
    <t>내림차순</t>
    <phoneticPr fontId="6" type="noConversion"/>
  </si>
  <si>
    <t>수취인명</t>
  </si>
  <si>
    <t>소폭 15*32</t>
  </si>
  <si>
    <t>SE.103</t>
  </si>
  <si>
    <t>오름차순</t>
    <phoneticPr fontId="6" type="noConversion"/>
  </si>
  <si>
    <t>발송일</t>
  </si>
  <si>
    <t>소폭 12*26</t>
  </si>
  <si>
    <t>SE.102</t>
  </si>
  <si>
    <t>정렬순서</t>
    <phoneticPr fontId="6" type="noConversion"/>
  </si>
  <si>
    <t>검수필터</t>
    <phoneticPr fontId="6" type="noConversion"/>
  </si>
  <si>
    <t>소폭 10*26</t>
  </si>
  <si>
    <t>SE.101</t>
  </si>
  <si>
    <t>족발 37*55</t>
  </si>
  <si>
    <t>SE.43</t>
  </si>
  <si>
    <t> ※ 반품/교환 배송비에 대해서는 매출연동 수수료는 과금되지 않음
 ※ 스토어 장바구니 할인 쿠폰 사용 시 쿠폰 적용 전 금액에서 2% 과금 </t>
    <phoneticPr fontId="4" type="noConversion"/>
  </si>
  <si>
    <t>족발 35*45</t>
  </si>
  <si>
    <t>SE.42</t>
  </si>
  <si>
    <t>족발 30*40</t>
  </si>
  <si>
    <t>SE.41</t>
  </si>
  <si>
    <t>통닭</t>
    <phoneticPr fontId="4" type="noConversion"/>
  </si>
  <si>
    <t>SE.40</t>
  </si>
  <si>
    <t>족발 31*50</t>
  </si>
  <si>
    <t>SE.39</t>
  </si>
  <si>
    <t> 스마트스토어 상품을 네이버쇼핑 서비스에 노출하도록 연동하여  네이버쇼핑에 노출된 상품의 구매가 이루어졌을 경우 2% 과금</t>
    <phoneticPr fontId="4" type="noConversion"/>
  </si>
  <si>
    <t> 2%</t>
  </si>
  <si>
    <t> 네이버쇼핑</t>
    <phoneticPr fontId="4" type="noConversion"/>
  </si>
  <si>
    <t>파봉지</t>
    <phoneticPr fontId="4" type="noConversion"/>
  </si>
  <si>
    <t>SE.37</t>
  </si>
  <si>
    <t>수수료 상세 </t>
  </si>
  <si>
    <t> 수수료율 (VAT 포함)</t>
  </si>
  <si>
    <t> 영역</t>
  </si>
  <si>
    <t>과일 27*55</t>
  </si>
  <si>
    <t>SE.36</t>
  </si>
  <si>
    <t>대표(재원이네)</t>
  </si>
  <si>
    <t>과일 20*50</t>
  </si>
  <si>
    <t>SE.33</t>
  </si>
  <si>
    <t>스마트 스토어</t>
    <phoneticPr fontId="4" type="noConversion"/>
  </si>
  <si>
    <t>과일 18*47</t>
  </si>
  <si>
    <t>SE.32</t>
  </si>
  <si>
    <t>비닐팩토리</t>
    <phoneticPr fontId="4" type="noConversion"/>
  </si>
  <si>
    <t>기타</t>
    <phoneticPr fontId="6" type="noConversion"/>
  </si>
  <si>
    <t>과일 18*38</t>
  </si>
  <si>
    <t>SE.31</t>
  </si>
  <si>
    <t>비닐스토리</t>
    <phoneticPr fontId="4" type="noConversion"/>
  </si>
  <si>
    <t>오프라인</t>
    <phoneticPr fontId="4" type="noConversion"/>
  </si>
  <si>
    <t>과일 16*38</t>
  </si>
  <si>
    <t>SE.30</t>
  </si>
  <si>
    <t>쇼핑몰구분</t>
    <phoneticPr fontId="4" type="noConversion"/>
  </si>
  <si>
    <t>위메프</t>
    <phoneticPr fontId="4" type="noConversion"/>
  </si>
  <si>
    <t>2022년 네이버</t>
    <phoneticPr fontId="4" type="noConversion"/>
  </si>
  <si>
    <t>빅사이즈</t>
    <phoneticPr fontId="4" type="noConversion"/>
  </si>
  <si>
    <t>SE.29</t>
  </si>
  <si>
    <t>올웨이즈</t>
    <phoneticPr fontId="4" type="noConversion"/>
  </si>
  <si>
    <t>이불대</t>
    <phoneticPr fontId="4" type="noConversion"/>
  </si>
  <si>
    <t>SE.28</t>
  </si>
  <si>
    <t>제작</t>
    <phoneticPr fontId="4" type="noConversion"/>
  </si>
  <si>
    <r>
      <t xml:space="preserve">네이버페이 보조결제 : </t>
    </r>
    <r>
      <rPr>
        <sz val="9"/>
        <color rgb="FF777777"/>
        <rFont val="나눔고딕"/>
        <family val="3"/>
        <charset val="129"/>
      </rPr>
      <t>3.74%(포인트·머니/후불결제)</t>
    </r>
    <phoneticPr fontId="4" type="noConversion"/>
  </si>
  <si>
    <t>이불중</t>
    <phoneticPr fontId="4" type="noConversion"/>
  </si>
  <si>
    <t>SE.27</t>
  </si>
  <si>
    <t>없음</t>
    <phoneticPr fontId="4" type="noConversion"/>
  </si>
  <si>
    <t>대표</t>
    <phoneticPr fontId="4" type="noConversion"/>
  </si>
  <si>
    <r>
      <t xml:space="preserve">휴대폰 결제 : </t>
    </r>
    <r>
      <rPr>
        <sz val="9"/>
        <color rgb="FF777777"/>
        <rFont val="나눔고딕"/>
        <family val="3"/>
        <charset val="129"/>
      </rPr>
      <t>3.85%</t>
    </r>
    <phoneticPr fontId="4" type="noConversion"/>
  </si>
  <si>
    <t>이불소</t>
    <phoneticPr fontId="4" type="noConversion"/>
  </si>
  <si>
    <t>SE.26</t>
  </si>
  <si>
    <t>교환</t>
    <phoneticPr fontId="4" type="noConversion"/>
  </si>
  <si>
    <t>쿠팡</t>
    <phoneticPr fontId="4" type="noConversion"/>
  </si>
  <si>
    <r>
      <t xml:space="preserve">무통장입금: </t>
    </r>
    <r>
      <rPr>
        <sz val="9"/>
        <color rgb="FF777777"/>
        <rFont val="나눔고딕"/>
        <family val="3"/>
        <charset val="129"/>
      </rPr>
      <t>1%(가상계좌, 최대 275원)</t>
    </r>
    <phoneticPr fontId="4" type="noConversion"/>
  </si>
  <si>
    <t>베게보</t>
    <phoneticPr fontId="4" type="noConversion"/>
  </si>
  <si>
    <t>SE.25</t>
  </si>
  <si>
    <t>반품</t>
    <phoneticPr fontId="4" type="noConversion"/>
  </si>
  <si>
    <t>스마트스토어</t>
    <phoneticPr fontId="4" type="noConversion"/>
  </si>
  <si>
    <r>
      <t xml:space="preserve">계좌이체 : </t>
    </r>
    <r>
      <rPr>
        <sz val="9"/>
        <color rgb="FF777777"/>
        <rFont val="나눔고딕"/>
        <family val="3"/>
        <charset val="129"/>
      </rPr>
      <t>1.65%</t>
    </r>
    <phoneticPr fontId="4" type="noConversion"/>
  </si>
  <si>
    <t>멸치봉투</t>
    <phoneticPr fontId="4" type="noConversion"/>
  </si>
  <si>
    <t>SE.24</t>
  </si>
  <si>
    <t>클레임CS</t>
    <phoneticPr fontId="4" type="noConversion"/>
  </si>
  <si>
    <t>스토리택배수수료</t>
    <phoneticPr fontId="4" type="noConversion"/>
  </si>
  <si>
    <t>팩토리수수료</t>
    <phoneticPr fontId="4" type="noConversion"/>
  </si>
  <si>
    <t>스토리수수료</t>
    <phoneticPr fontId="4" type="noConversion"/>
  </si>
  <si>
    <t>가격ID</t>
    <phoneticPr fontId="4" type="noConversion"/>
  </si>
  <si>
    <t>이름</t>
    <phoneticPr fontId="4" type="noConversion"/>
  </si>
  <si>
    <r>
      <t xml:space="preserve">신용/체크카드 - </t>
    </r>
    <r>
      <rPr>
        <sz val="9"/>
        <color rgb="FF777777"/>
        <rFont val="나눔고딕"/>
        <family val="3"/>
        <charset val="129"/>
      </rPr>
      <t>일반 : 3.74%, 영세 : 2.20%, 중소1: 2.75%, 중소2 : 2.86%, 중소3 : 3.08%</t>
    </r>
    <phoneticPr fontId="4" type="noConversion"/>
  </si>
  <si>
    <t>왕왕특</t>
    <phoneticPr fontId="4" type="noConversion"/>
  </si>
  <si>
    <t>SE.23</t>
  </si>
  <si>
    <t xml:space="preserve">왕특A </t>
    <phoneticPr fontId="4" type="noConversion"/>
  </si>
  <si>
    <t>SE.22</t>
  </si>
  <si>
    <t>왕특B</t>
    <phoneticPr fontId="4" type="noConversion"/>
  </si>
  <si>
    <t>SE.21</t>
  </si>
  <si>
    <t>DB_FOLDER_PATH</t>
    <phoneticPr fontId="6" type="noConversion"/>
  </si>
  <si>
    <t>왕특C</t>
    <phoneticPr fontId="4" type="noConversion"/>
  </si>
  <si>
    <t>SE.20</t>
  </si>
  <si>
    <t>단가모음</t>
    <phoneticPr fontId="6" type="noConversion"/>
  </si>
  <si>
    <t>pDB</t>
    <phoneticPr fontId="6" type="noConversion"/>
  </si>
  <si>
    <t>DB\</t>
    <phoneticPr fontId="6" type="noConversion"/>
  </si>
  <si>
    <t>FOLDER_MIDDLE_NAME</t>
    <phoneticPr fontId="6" type="noConversion"/>
  </si>
  <si>
    <t>왕대과일</t>
    <phoneticPr fontId="4" type="noConversion"/>
  </si>
  <si>
    <t>SE.19</t>
  </si>
  <si>
    <t>세은단가</t>
    <phoneticPr fontId="4" type="noConversion"/>
  </si>
  <si>
    <t>seDB47</t>
    <phoneticPr fontId="4" type="noConversion"/>
  </si>
  <si>
    <t>판매금액</t>
    <phoneticPr fontId="21" type="noConversion"/>
  </si>
  <si>
    <t>recipient</t>
    <phoneticPr fontId="6" type="noConversion"/>
  </si>
  <si>
    <t>CUSTOMER_DB</t>
    <phoneticPr fontId="6" type="noConversion"/>
  </si>
  <si>
    <t>왕대A</t>
    <phoneticPr fontId="4" type="noConversion"/>
  </si>
  <si>
    <t>SE.18</t>
  </si>
  <si>
    <t>재원단가</t>
    <phoneticPr fontId="4" type="noConversion"/>
  </si>
  <si>
    <t>ptDB46</t>
    <phoneticPr fontId="4" type="noConversion"/>
  </si>
  <si>
    <t>지급액</t>
    <phoneticPr fontId="21" type="noConversion"/>
  </si>
  <si>
    <t>ProductShipment</t>
    <phoneticPr fontId="6" type="noConversion"/>
  </si>
  <si>
    <t>FORWARDING_DB</t>
    <phoneticPr fontId="6" type="noConversion"/>
  </si>
  <si>
    <t>왕대B</t>
    <phoneticPr fontId="4" type="noConversion"/>
  </si>
  <si>
    <t>SE.17</t>
  </si>
  <si>
    <t>테이블이름</t>
    <phoneticPr fontId="4" type="noConversion"/>
  </si>
  <si>
    <t>시트이름</t>
    <phoneticPr fontId="4" type="noConversion"/>
  </si>
  <si>
    <t>비닐스토리대시</t>
    <phoneticPr fontId="4" type="noConversion"/>
  </si>
  <si>
    <t>vDB_se8_2023.accdb</t>
    <phoneticPr fontId="6" type="noConversion"/>
  </si>
  <si>
    <t>DB_NAME</t>
    <phoneticPr fontId="6" type="noConversion"/>
  </si>
  <si>
    <t>30특대</t>
    <phoneticPr fontId="4" type="noConversion"/>
  </si>
  <si>
    <t>SE.16</t>
  </si>
  <si>
    <t>특대A</t>
    <phoneticPr fontId="4" type="noConversion"/>
  </si>
  <si>
    <t>SE.15</t>
  </si>
  <si>
    <t>SELECTED_FOLDER</t>
    <phoneticPr fontId="6" type="noConversion"/>
  </si>
  <si>
    <t>특대B</t>
    <phoneticPr fontId="4" type="noConversion"/>
  </si>
  <si>
    <t>SE.14</t>
  </si>
  <si>
    <t>기타</t>
    <phoneticPr fontId="4" type="noConversion"/>
  </si>
  <si>
    <t>CUSTOM_FOLDER_PATH</t>
    <phoneticPr fontId="6" type="noConversion"/>
  </si>
  <si>
    <t>특대C</t>
    <phoneticPr fontId="4" type="noConversion"/>
  </si>
  <si>
    <t>SE.13</t>
  </si>
  <si>
    <t>무료</t>
    <phoneticPr fontId="4" type="noConversion"/>
  </si>
  <si>
    <t>DEFAULT_FOLDER_PATH</t>
    <phoneticPr fontId="6" type="noConversion"/>
  </si>
  <si>
    <t>SE.12</t>
    <phoneticPr fontId="4" type="noConversion"/>
  </si>
  <si>
    <t>유료2</t>
    <phoneticPr fontId="4" type="noConversion"/>
  </si>
  <si>
    <t>SE.11</t>
    <phoneticPr fontId="4" type="noConversion"/>
  </si>
  <si>
    <t>유료</t>
    <phoneticPr fontId="4" type="noConversion"/>
  </si>
  <si>
    <t>보라</t>
    <phoneticPr fontId="4" type="noConversion"/>
  </si>
  <si>
    <t>Name:chkCheckForUpdatesOnStartup</t>
  </si>
  <si>
    <t>OPTIONS_GENERAL</t>
    <phoneticPr fontId="26" type="noConversion"/>
  </si>
  <si>
    <t>관반 100p</t>
  </si>
  <si>
    <t>SE.10</t>
  </si>
  <si>
    <t>특대형</t>
    <phoneticPr fontId="4" type="noConversion"/>
  </si>
  <si>
    <t>금액</t>
    <phoneticPr fontId="4" type="noConversion"/>
  </si>
  <si>
    <t>명칭</t>
    <phoneticPr fontId="4" type="noConversion"/>
  </si>
  <si>
    <t>오렌지</t>
    <phoneticPr fontId="4" type="noConversion"/>
  </si>
  <si>
    <t>GPLv3</t>
    <phoneticPr fontId="21" type="noConversion"/>
  </si>
  <si>
    <t>LICENSE</t>
    <phoneticPr fontId="21" type="noConversion"/>
  </si>
  <si>
    <t>관반</t>
    <phoneticPr fontId="4" type="noConversion"/>
  </si>
  <si>
    <t>SE.9</t>
  </si>
  <si>
    <t>대형2</t>
    <phoneticPr fontId="4" type="noConversion"/>
  </si>
  <si>
    <t>청색</t>
    <phoneticPr fontId="4" type="noConversion"/>
  </si>
  <si>
    <t>RELEASE_DATE</t>
    <phoneticPr fontId="21" type="noConversion"/>
  </si>
  <si>
    <t>대위</t>
    <phoneticPr fontId="4" type="noConversion"/>
  </si>
  <si>
    <t>SE.8</t>
  </si>
  <si>
    <t>녹색</t>
    <phoneticPr fontId="4" type="noConversion"/>
  </si>
  <si>
    <t>VERSION</t>
    <phoneticPr fontId="21" type="noConversion"/>
  </si>
  <si>
    <t>대B 100P</t>
    <phoneticPr fontId="4" type="noConversion"/>
  </si>
  <si>
    <t>SE.7</t>
  </si>
  <si>
    <t>연두</t>
    <phoneticPr fontId="4" type="noConversion"/>
  </si>
  <si>
    <t>vinylman 8</t>
    <phoneticPr fontId="21" type="noConversion"/>
  </si>
  <si>
    <t>PROGRAM_SITE_DISP</t>
    <phoneticPr fontId="21" type="noConversion"/>
  </si>
  <si>
    <t>대B 60P</t>
  </si>
  <si>
    <t>SE.6</t>
  </si>
  <si>
    <t>이형</t>
    <phoneticPr fontId="4" type="noConversion"/>
  </si>
  <si>
    <t>e2</t>
    <phoneticPr fontId="4" type="noConversion"/>
  </si>
  <si>
    <t>노랑</t>
    <phoneticPr fontId="4" type="noConversion"/>
  </si>
  <si>
    <t>PROGRAM_Ck_SITE</t>
    <phoneticPr fontId="21" type="noConversion"/>
  </si>
  <si>
    <t>대A</t>
    <phoneticPr fontId="4" type="noConversion"/>
  </si>
  <si>
    <t>SE.5</t>
  </si>
  <si>
    <t>대2</t>
    <phoneticPr fontId="4" type="noConversion"/>
  </si>
  <si>
    <t>빨강</t>
    <phoneticPr fontId="4" type="noConversion"/>
  </si>
  <si>
    <t>PROGRAM_SITE</t>
    <phoneticPr fontId="21" type="noConversion"/>
  </si>
  <si>
    <t>중 100P</t>
  </si>
  <si>
    <t>SE.4</t>
  </si>
  <si>
    <t>대1</t>
    <phoneticPr fontId="4" type="noConversion"/>
  </si>
  <si>
    <t>PE중</t>
    <phoneticPr fontId="4" type="noConversion"/>
  </si>
  <si>
    <t>검정</t>
    <phoneticPr fontId="4" type="noConversion"/>
  </si>
  <si>
    <r>
      <rPr>
        <sz val="10"/>
        <rFont val="맑은 고딕"/>
        <family val="2"/>
        <charset val="129"/>
      </rPr>
      <t>매입</t>
    </r>
    <r>
      <rPr>
        <sz val="10"/>
        <rFont val="Calibri"/>
        <family val="2"/>
      </rPr>
      <t>/</t>
    </r>
    <r>
      <rPr>
        <sz val="10"/>
        <rFont val="맑은 고딕"/>
        <family val="2"/>
        <charset val="129"/>
      </rPr>
      <t>매출</t>
    </r>
    <r>
      <rPr>
        <sz val="10"/>
        <rFont val="Calibri"/>
        <family val="2"/>
      </rPr>
      <t xml:space="preserve"> </t>
    </r>
    <r>
      <rPr>
        <sz val="10"/>
        <rFont val="맑은 고딕"/>
        <family val="2"/>
        <charset val="129"/>
      </rPr>
      <t>간편관리</t>
    </r>
    <r>
      <rPr>
        <sz val="10"/>
        <rFont val="Calibri"/>
        <family val="2"/>
        <charset val="129"/>
      </rPr>
      <t xml:space="preserve"> </t>
    </r>
    <r>
      <rPr>
        <sz val="10"/>
        <rFont val="Arial Unicode MS"/>
        <family val="2"/>
        <charset val="129"/>
      </rPr>
      <t>프로그램</t>
    </r>
    <phoneticPr fontId="26" type="noConversion"/>
  </si>
  <si>
    <t>PROGRAM_NAME</t>
    <phoneticPr fontId="21" type="noConversion"/>
  </si>
  <si>
    <t>중 60P</t>
  </si>
  <si>
    <t>SE.3</t>
  </si>
  <si>
    <t>중</t>
    <phoneticPr fontId="4" type="noConversion"/>
  </si>
  <si>
    <t>청백</t>
    <phoneticPr fontId="4" type="noConversion"/>
  </si>
  <si>
    <t>rain1976x@naver.com</t>
    <phoneticPr fontId="21" type="noConversion"/>
  </si>
  <si>
    <t>AUTHOR_EMAIL</t>
    <phoneticPr fontId="21" type="noConversion"/>
  </si>
  <si>
    <t>중 70P</t>
  </si>
  <si>
    <t>SE.2</t>
    <phoneticPr fontId="4" type="noConversion"/>
  </si>
  <si>
    <t>소</t>
    <phoneticPr fontId="4" type="noConversion"/>
  </si>
  <si>
    <t>유백</t>
    <phoneticPr fontId="4" type="noConversion"/>
  </si>
  <si>
    <t>출고일</t>
    <phoneticPr fontId="21" type="noConversion"/>
  </si>
  <si>
    <t>theK</t>
    <phoneticPr fontId="21" type="noConversion"/>
  </si>
  <si>
    <t>AUTHOR_NAME</t>
    <phoneticPr fontId="21" type="noConversion"/>
  </si>
  <si>
    <t>SE.1</t>
    <phoneticPr fontId="4" type="noConversion"/>
  </si>
  <si>
    <t>극소</t>
    <phoneticPr fontId="4" type="noConversion"/>
  </si>
  <si>
    <t>투명</t>
    <phoneticPr fontId="4" type="noConversion"/>
  </si>
  <si>
    <t>구매자명</t>
  </si>
  <si>
    <t>COMPANY</t>
    <phoneticPr fontId="21" type="noConversion"/>
  </si>
  <si>
    <t>제품코드</t>
    <phoneticPr fontId="4" type="noConversion"/>
  </si>
  <si>
    <t>팩매출</t>
    <phoneticPr fontId="6" type="noConversion"/>
  </si>
  <si>
    <t>비닐팩토리</t>
    <phoneticPr fontId="6" type="noConversion"/>
  </si>
  <si>
    <t>스_매출3</t>
    <phoneticPr fontId="6" type="noConversion"/>
  </si>
  <si>
    <t>스_매출2</t>
    <phoneticPr fontId="6" type="noConversion"/>
  </si>
  <si>
    <t>스_매출</t>
    <phoneticPr fontId="6" type="noConversion"/>
  </si>
  <si>
    <t>순수순이익</t>
    <phoneticPr fontId="6" type="noConversion"/>
  </si>
  <si>
    <t>순이익</t>
    <phoneticPr fontId="6" type="noConversion"/>
  </si>
  <si>
    <t>거래처지급액</t>
    <phoneticPr fontId="6" type="noConversion"/>
  </si>
  <si>
    <t>비닐스토리</t>
    <phoneticPr fontId="6" type="noConversion"/>
  </si>
  <si>
    <t>월</t>
    <phoneticPr fontId="6" type="noConversion"/>
  </si>
  <si>
    <t>년</t>
    <phoneticPr fontId="6" type="noConversion"/>
  </si>
  <si>
    <t>옵션명</t>
    <phoneticPr fontId="4" type="noConversion"/>
  </si>
  <si>
    <t>검색필터</t>
    <phoneticPr fontId="4" type="noConversion"/>
  </si>
  <si>
    <t>UPDATED_DATE</t>
    <phoneticPr fontId="21" type="noConversion"/>
  </si>
  <si>
    <t>INSERTED_DATE</t>
    <phoneticPr fontId="21" type="noConversion"/>
  </si>
  <si>
    <t>VALUE3</t>
  </si>
  <si>
    <t>VALUE2</t>
    <phoneticPr fontId="21" type="noConversion"/>
  </si>
  <si>
    <t>VALUE1</t>
    <phoneticPr fontId="21" type="noConversion"/>
  </si>
  <si>
    <t>ITEM</t>
    <phoneticPr fontId="21" type="noConversion"/>
  </si>
  <si>
    <t>제품코드</t>
  </si>
  <si>
    <t>품목</t>
  </si>
  <si>
    <t>사이즈</t>
  </si>
  <si>
    <t>마진</t>
  </si>
  <si>
    <t>단가격</t>
  </si>
  <si>
    <t>종류2</t>
  </si>
  <si>
    <t>new색상</t>
  </si>
  <si>
    <t>색상1</t>
  </si>
  <si>
    <t>색상2</t>
  </si>
  <si>
    <t>색상3</t>
  </si>
  <si>
    <t>색상4</t>
  </si>
  <si>
    <t>색상5</t>
  </si>
  <si>
    <t>색상6</t>
  </si>
  <si>
    <t>SE.1</t>
  </si>
  <si>
    <t>　</t>
  </si>
  <si>
    <t>소</t>
  </si>
  <si>
    <t>17(26)x28</t>
  </si>
  <si>
    <t>손잡이봉투</t>
  </si>
  <si>
    <t>투명</t>
  </si>
  <si>
    <t>검정</t>
  </si>
  <si>
    <t>SE.2</t>
  </si>
  <si>
    <t>중70</t>
  </si>
  <si>
    <t>20(29)x30</t>
  </si>
  <si>
    <t>중60</t>
  </si>
  <si>
    <t>중100</t>
  </si>
  <si>
    <t>투명,검정</t>
  </si>
  <si>
    <t>대70</t>
  </si>
  <si>
    <t>24(34)x37</t>
  </si>
  <si>
    <t>빨강</t>
  </si>
  <si>
    <t>연두</t>
  </si>
  <si>
    <t>대60</t>
  </si>
  <si>
    <t>24(34)x36</t>
  </si>
  <si>
    <t>투명,청백,검정</t>
  </si>
  <si>
    <t>청백</t>
  </si>
  <si>
    <t>노랑</t>
  </si>
  <si>
    <t>대100</t>
  </si>
  <si>
    <t>24(34)x40</t>
  </si>
  <si>
    <t>대위</t>
  </si>
  <si>
    <t>25(35)x40</t>
  </si>
  <si>
    <t>유백,청백,검정</t>
  </si>
  <si>
    <t>유백</t>
  </si>
  <si>
    <t>오렌지</t>
  </si>
  <si>
    <t>관반70</t>
  </si>
  <si>
    <t>27(38)x43</t>
  </si>
  <si>
    <t>투명,유백,검정</t>
  </si>
  <si>
    <t>보라</t>
  </si>
  <si>
    <t>관반100</t>
  </si>
  <si>
    <t>SE.11</t>
  </si>
  <si>
    <t>특대B60</t>
  </si>
  <si>
    <t>29(40)x44</t>
  </si>
  <si>
    <t>SE.12</t>
  </si>
  <si>
    <t>29(41)x44</t>
  </si>
  <si>
    <t>청색</t>
  </si>
  <si>
    <t>특대A60</t>
  </si>
  <si>
    <t>29(41)x45</t>
  </si>
  <si>
    <t>특대B</t>
  </si>
  <si>
    <t>29(41)x47</t>
  </si>
  <si>
    <t>특대,멕주</t>
  </si>
  <si>
    <t>특대30</t>
  </si>
  <si>
    <t>30(42)x51</t>
  </si>
  <si>
    <t>왕대</t>
  </si>
  <si>
    <t>33(46)x53</t>
  </si>
  <si>
    <t>투명,청백,검정,빨강</t>
  </si>
  <si>
    <t>왕대/과일</t>
  </si>
  <si>
    <t>32(46)x51</t>
  </si>
  <si>
    <t>왕특</t>
  </si>
  <si>
    <t>37(51)x58</t>
  </si>
  <si>
    <t>왕특B</t>
  </si>
  <si>
    <t>37(51)x59</t>
  </si>
  <si>
    <t>유백,검정,빨강</t>
  </si>
  <si>
    <t>37(51)x60</t>
  </si>
  <si>
    <t>왕왕특</t>
  </si>
  <si>
    <t>40(56)x64</t>
  </si>
  <si>
    <t>멸치봉투</t>
  </si>
  <si>
    <t>29(41)x70</t>
  </si>
  <si>
    <t>베게보</t>
  </si>
  <si>
    <t>44(60)x78</t>
  </si>
  <si>
    <t>이불봉투(소)</t>
  </si>
  <si>
    <t>45(63)x80</t>
  </si>
  <si>
    <t>유백,검정</t>
  </si>
  <si>
    <t>이불봉투(중)</t>
  </si>
  <si>
    <t>57(75)x90</t>
  </si>
  <si>
    <t>이불봉투(대)</t>
  </si>
  <si>
    <t>64(84)x100</t>
  </si>
  <si>
    <t>빅사이즈</t>
  </si>
  <si>
    <t>60(90)x109</t>
  </si>
  <si>
    <t>과일봉투</t>
  </si>
  <si>
    <t>16(26)x38</t>
  </si>
  <si>
    <t>18(28)x38</t>
  </si>
  <si>
    <t>18(28)x47</t>
  </si>
  <si>
    <t>20(30)x50</t>
  </si>
  <si>
    <t>27(37)x55</t>
  </si>
  <si>
    <t>파봉지</t>
  </si>
  <si>
    <t>19(28)x70</t>
  </si>
  <si>
    <t>파봉투</t>
  </si>
  <si>
    <t>족발도시락</t>
  </si>
  <si>
    <t>31(55)x50</t>
  </si>
  <si>
    <t>배달봉투</t>
  </si>
  <si>
    <t>통닭전용 봉투</t>
  </si>
  <si>
    <t>31(57)x43</t>
  </si>
  <si>
    <t>30(48)x40</t>
  </si>
  <si>
    <t>35(55)x45</t>
  </si>
  <si>
    <t>37(61)x55</t>
  </si>
  <si>
    <t>다용도</t>
  </si>
  <si>
    <t>10x26</t>
  </si>
  <si>
    <t>PE봉투</t>
  </si>
  <si>
    <t>12x26</t>
  </si>
  <si>
    <t>15x32</t>
  </si>
  <si>
    <t>18x36</t>
  </si>
  <si>
    <t>20x38</t>
  </si>
  <si>
    <t>24x38</t>
  </si>
  <si>
    <t>30x51</t>
  </si>
  <si>
    <t>김장봉투</t>
  </si>
  <si>
    <t>3.5x45x75</t>
  </si>
  <si>
    <t>4x48x80</t>
  </si>
  <si>
    <t>김장/고추5근</t>
  </si>
  <si>
    <t>4x60x90</t>
  </si>
  <si>
    <t>김장/고추10근</t>
  </si>
  <si>
    <t>5x70x110</t>
  </si>
  <si>
    <t>6x75x130</t>
  </si>
  <si>
    <t>6x80x120</t>
  </si>
  <si>
    <t>김장/고추20근</t>
  </si>
  <si>
    <t>6x90x130</t>
  </si>
  <si>
    <t>김장/고추30근</t>
  </si>
  <si>
    <t>8x100x150</t>
  </si>
  <si>
    <t>김장/고추50근</t>
  </si>
  <si>
    <t>8x120x170</t>
  </si>
  <si>
    <t>조리개(양줄)</t>
  </si>
  <si>
    <t>30x35x10</t>
  </si>
  <si>
    <t>조리개</t>
  </si>
  <si>
    <t>막지/쓰레기봉투</t>
  </si>
  <si>
    <t>0.017x40x60</t>
  </si>
  <si>
    <t>막지.쓰레기봉투</t>
  </si>
  <si>
    <t>0.017x48x70</t>
  </si>
  <si>
    <t>투명,청색</t>
  </si>
  <si>
    <t>0.017x53x73</t>
  </si>
  <si>
    <t>투명,검정,청색</t>
  </si>
  <si>
    <t>0.02x63x90A</t>
  </si>
  <si>
    <t>쓰레기봉투</t>
  </si>
  <si>
    <t>0.02x75x100</t>
  </si>
  <si>
    <t>0.022x90x110</t>
  </si>
  <si>
    <t>0.022x90x120</t>
  </si>
  <si>
    <t>속지/다용도</t>
  </si>
  <si>
    <t>20x30</t>
  </si>
  <si>
    <t>속지.다용도</t>
  </si>
  <si>
    <t>24x36</t>
  </si>
  <si>
    <t>28x40</t>
  </si>
  <si>
    <t>30x40</t>
  </si>
  <si>
    <t>32x45</t>
  </si>
  <si>
    <t>34x50</t>
  </si>
  <si>
    <t>우엉봉투(타공)</t>
  </si>
  <si>
    <t>15x70</t>
  </si>
  <si>
    <t>우엉봉투</t>
  </si>
  <si>
    <t>0.07x23x32</t>
  </si>
  <si>
    <t>진공팩</t>
  </si>
  <si>
    <t>0.07x25x35</t>
  </si>
  <si>
    <t>0.07x28x38</t>
  </si>
  <si>
    <t>0.07x32x40</t>
  </si>
  <si>
    <t>0.07x35x45</t>
  </si>
  <si>
    <t>끈속지/다용도</t>
  </si>
  <si>
    <t>25x35</t>
  </si>
  <si>
    <t>끈속지</t>
  </si>
  <si>
    <t>30x45</t>
  </si>
  <si>
    <t>40x60</t>
  </si>
  <si>
    <t>떡비닐</t>
  </si>
  <si>
    <t>20x400m</t>
  </si>
  <si>
    <t>22x400m</t>
  </si>
  <si>
    <t>24x400m</t>
  </si>
  <si>
    <t>30x400m</t>
  </si>
  <si>
    <t>35x400m</t>
  </si>
  <si>
    <t>45x330m</t>
  </si>
  <si>
    <t>40x400m</t>
  </si>
  <si>
    <t>떡비닐(외겹)</t>
  </si>
  <si>
    <t>15x20</t>
  </si>
  <si>
    <t>떡비닐외겹</t>
  </si>
  <si>
    <t>25x25</t>
  </si>
  <si>
    <t>30x38</t>
  </si>
  <si>
    <t>39x40</t>
  </si>
  <si>
    <t>20x20</t>
  </si>
  <si>
    <t>30x30</t>
  </si>
  <si>
    <t>옷비닐(세탁소전용)</t>
  </si>
  <si>
    <t>61x800m</t>
  </si>
  <si>
    <t>옷비닐</t>
  </si>
  <si>
    <t>크린롤백</t>
  </si>
  <si>
    <t>25x35(200m)</t>
  </si>
  <si>
    <t>30x40(200m)</t>
  </si>
  <si>
    <t>35x50(200m)</t>
  </si>
  <si>
    <t>식탁보</t>
  </si>
  <si>
    <t>90x130</t>
  </si>
  <si>
    <t>25x35(245m)</t>
  </si>
  <si>
    <t>30x40(255m)</t>
  </si>
  <si>
    <t>35x45(225m)</t>
  </si>
  <si>
    <t>SE.999</t>
  </si>
  <si>
    <t>제작</t>
  </si>
  <si>
    <t xml:space="preserve">          -</t>
  </si>
  <si>
    <t xml:space="preserve">           -</t>
  </si>
  <si>
    <t>SE.1000</t>
  </si>
  <si>
    <t>대표</t>
  </si>
  <si>
    <t>SEDB47.마진</t>
  </si>
  <si>
    <t>상품이름</t>
  </si>
  <si>
    <t>옵션</t>
  </si>
  <si>
    <t>수량</t>
  </si>
  <si>
    <t>박스 크기</t>
  </si>
  <si>
    <t>판매채널</t>
  </si>
  <si>
    <t>쇼핑몰구분</t>
  </si>
  <si>
    <t>구입일자</t>
  </si>
  <si>
    <t>(쿠)상품주문번호</t>
  </si>
  <si>
    <t>(네)상품주문번호</t>
  </si>
  <si>
    <t>주문자이메일&amp;ID</t>
  </si>
  <si>
    <t>구매자연락처</t>
  </si>
  <si>
    <t>출고일(발송일)</t>
  </si>
  <si>
    <t>택배사</t>
  </si>
  <si>
    <t>수취인전화번호1</t>
  </si>
  <si>
    <t>수취인전화번호2</t>
  </si>
  <si>
    <t>배송지</t>
  </si>
  <si>
    <t>배송메세지</t>
  </si>
  <si>
    <t>상품결제금액</t>
  </si>
  <si>
    <t>상품금액</t>
  </si>
  <si>
    <t>주문금액</t>
  </si>
  <si>
    <t>정산 예정 금액</t>
  </si>
  <si>
    <t>쇼핑몰 수수료</t>
  </si>
  <si>
    <t>기본 배송비</t>
  </si>
  <si>
    <t>도서산간 추가배송비</t>
  </si>
  <si>
    <t>묶음배송번호</t>
  </si>
  <si>
    <t>판매자 상품 코드</t>
  </si>
  <si>
    <t/>
  </si>
  <si>
    <t>스마트 스토어</t>
  </si>
  <si>
    <t>비닐스토리</t>
  </si>
  <si>
    <t>CJ대한통운</t>
  </si>
  <si>
    <t>중</t>
  </si>
  <si>
    <t>SE101 소폭 10X26 100p</t>
  </si>
  <si>
    <t>1개</t>
  </si>
  <si>
    <t>극소</t>
  </si>
  <si>
    <t>쿠팡</t>
  </si>
  <si>
    <t>직접 받고 부재 시 문 앞</t>
  </si>
  <si>
    <t>세은 010-8498-0064</t>
  </si>
  <si>
    <t>문 앞</t>
  </si>
  <si>
    <t>ptDB46</t>
    <phoneticPr fontId="6" type="noConversion"/>
  </si>
  <si>
    <t>투명</t>
    <phoneticPr fontId="6" type="noConversion"/>
  </si>
  <si>
    <t>문 앞</t>
    <phoneticPr fontId="6" type="noConversion"/>
  </si>
  <si>
    <t>CJ대한통운</t>
    <phoneticPr fontId="6" type="noConversion"/>
  </si>
  <si>
    <t>쿠팡</t>
    <phoneticPr fontId="6" type="noConversion"/>
  </si>
  <si>
    <t>왕특C</t>
    <phoneticPr fontId="6" type="noConversion"/>
  </si>
  <si>
    <t>검정</t>
    <phoneticPr fontId="6" type="noConversion"/>
  </si>
  <si>
    <t>SE.20</t>
    <phoneticPr fontId="6" type="noConversion"/>
  </si>
  <si>
    <t>서울특별시 강서구 강서로8길 206 204</t>
    <phoneticPr fontId="6" type="noConversion"/>
  </si>
  <si>
    <t>0503-8774-9680</t>
    <phoneticPr fontId="6" type="noConversion"/>
  </si>
  <si>
    <t>010-****-3618</t>
    <phoneticPr fontId="6" type="noConversion"/>
  </si>
  <si>
    <t>Na</t>
    <phoneticPr fontId="6" type="noConversion"/>
  </si>
  <si>
    <t>653499871174</t>
    <phoneticPr fontId="6" type="noConversion"/>
  </si>
  <si>
    <t>박혜영</t>
    <phoneticPr fontId="6" type="noConversion"/>
  </si>
  <si>
    <t>25000163577498</t>
    <phoneticPr fontId="6" type="noConversion"/>
  </si>
  <si>
    <t>스마트스토어</t>
    <phoneticPr fontId="6" type="noConversion"/>
  </si>
  <si>
    <t>떡롤 45*330</t>
    <phoneticPr fontId="6" type="noConversion"/>
  </si>
  <si>
    <t>SE.206</t>
    <phoneticPr fontId="6" type="noConversion"/>
  </si>
  <si>
    <t>인천광역시 남동구 논현고잔로 208-1 (논현동, 어진마을한화꿈에그린6단지 상가)_x000D_
1층 104호 수작떡공방</t>
    <phoneticPr fontId="6" type="noConversion"/>
  </si>
  <si>
    <t>010-9034-9537</t>
    <phoneticPr fontId="6" type="noConversion"/>
  </si>
  <si>
    <t>강경숙</t>
    <phoneticPr fontId="6" type="noConversion"/>
  </si>
  <si>
    <t>653499871196</t>
    <phoneticPr fontId="6" type="noConversion"/>
  </si>
  <si>
    <t>kkanggs74</t>
    <phoneticPr fontId="6" type="noConversion"/>
  </si>
  <si>
    <t>2023010267662551</t>
    <phoneticPr fontId="6" type="noConversion"/>
  </si>
  <si>
    <t>누계</t>
    <phoneticPr fontId="6" type="noConversion"/>
  </si>
  <si>
    <t>검사(검)</t>
    <phoneticPr fontId="4" type="noConversion"/>
  </si>
  <si>
    <t>마진율(검)</t>
    <phoneticPr fontId="4" type="noConversion"/>
  </si>
  <si>
    <t>순이익(검)</t>
    <phoneticPr fontId="4" type="noConversion"/>
  </si>
  <si>
    <t>수수료(검)</t>
    <phoneticPr fontId="4" type="noConversion"/>
  </si>
  <si>
    <t>거래처지급액(검)</t>
    <phoneticPr fontId="4" type="noConversion"/>
  </si>
  <si>
    <t>총판매금액(검)</t>
    <phoneticPr fontId="4" type="noConversion"/>
  </si>
  <si>
    <t>묶음</t>
    <phoneticPr fontId="4" type="noConversion"/>
  </si>
  <si>
    <t>시트버전</t>
    <phoneticPr fontId="4" type="noConversion"/>
  </si>
  <si>
    <t>재구매</t>
    <phoneticPr fontId="4" type="noConversion"/>
  </si>
  <si>
    <t>종류</t>
    <phoneticPr fontId="4" type="noConversion"/>
  </si>
  <si>
    <t>클레임</t>
    <phoneticPr fontId="4" type="noConversion"/>
  </si>
  <si>
    <t>판매자메모</t>
    <phoneticPr fontId="4" type="noConversion"/>
  </si>
  <si>
    <t>검사</t>
    <phoneticPr fontId="4" type="noConversion"/>
  </si>
  <si>
    <t>마진율</t>
    <phoneticPr fontId="4" type="noConversion"/>
  </si>
  <si>
    <t>순이익</t>
    <phoneticPr fontId="4" type="noConversion"/>
  </si>
  <si>
    <t>수수료</t>
    <phoneticPr fontId="4" type="noConversion"/>
  </si>
  <si>
    <t>거래처지급액</t>
    <phoneticPr fontId="4" type="noConversion"/>
  </si>
  <si>
    <t>총판매금액</t>
    <phoneticPr fontId="4" type="noConversion"/>
  </si>
  <si>
    <t>제품공급가</t>
    <phoneticPr fontId="4" type="noConversion"/>
  </si>
  <si>
    <t>1개판매금액</t>
    <phoneticPr fontId="4" type="noConversion"/>
  </si>
  <si>
    <t>추가제작비용</t>
    <phoneticPr fontId="4" type="noConversion"/>
  </si>
  <si>
    <t>박스가격</t>
    <phoneticPr fontId="4" type="noConversion"/>
  </si>
  <si>
    <t>업체배송비</t>
    <phoneticPr fontId="4" type="noConversion"/>
  </si>
  <si>
    <t>제주/도서추가배송비</t>
    <phoneticPr fontId="6" type="noConversion"/>
  </si>
  <si>
    <t>배송비</t>
    <phoneticPr fontId="4" type="noConversion"/>
  </si>
  <si>
    <t>판매자부담할인액</t>
    <phoneticPr fontId="4" type="noConversion"/>
  </si>
  <si>
    <t>결제액</t>
    <phoneticPr fontId="4" type="noConversion"/>
  </si>
  <si>
    <t>옵션정보</t>
  </si>
  <si>
    <t>수취인연락처2</t>
  </si>
  <si>
    <t>수취인연락처1</t>
  </si>
  <si>
    <t>배송완료일</t>
    <phoneticPr fontId="4" type="noConversion"/>
  </si>
  <si>
    <t>송장번호</t>
    <phoneticPr fontId="4" type="noConversion"/>
  </si>
  <si>
    <t>발송일</t>
    <phoneticPr fontId="6" type="noConversion"/>
  </si>
  <si>
    <t>구입일자</t>
    <phoneticPr fontId="4" type="noConversion"/>
  </si>
  <si>
    <t>구매자연락처</t>
    <phoneticPr fontId="4" type="noConversion"/>
  </si>
  <si>
    <t>구매자ID</t>
  </si>
  <si>
    <t>상품주문번호</t>
  </si>
  <si>
    <t>ID</t>
    <phoneticPr fontId="4" type="noConversion"/>
  </si>
  <si>
    <t>경기도 하남시 감초로 205-24 (초이동_x000D_
(주)두리푸드시스템</t>
    <phoneticPr fontId="6" type="noConversion"/>
  </si>
  <si>
    <t>빠른배송 부탁드립니다</t>
    <phoneticPr fontId="6" type="noConversion"/>
  </si>
  <si>
    <t>02-3427-1680</t>
    <phoneticPr fontId="6" type="noConversion"/>
  </si>
  <si>
    <t>010-2785-8495</t>
    <phoneticPr fontId="6" type="noConversion"/>
  </si>
  <si>
    <t>박천희</t>
    <phoneticPr fontId="6" type="noConversion"/>
  </si>
  <si>
    <t>drf81681</t>
    <phoneticPr fontId="6" type="noConversion"/>
  </si>
  <si>
    <t>경기도 화성시 봉담읍 동화리 휴먼시아5단지아파트_x000D_
507동 1304호</t>
    <phoneticPr fontId="6" type="noConversion"/>
  </si>
  <si>
    <t>문앞에 놔주세요~</t>
    <phoneticPr fontId="6" type="noConversion"/>
  </si>
  <si>
    <t>010-5190-9950</t>
    <phoneticPr fontId="6" type="noConversion"/>
  </si>
  <si>
    <t>안은주</t>
    <phoneticPr fontId="6" type="noConversion"/>
  </si>
  <si>
    <t>hi_love_87</t>
    <phoneticPr fontId="6" type="noConversion"/>
  </si>
  <si>
    <t>경상남도 남해군 남해읍 화전로38번길 9 (남해읍, 남해한방족발)</t>
    <phoneticPr fontId="6" type="noConversion"/>
  </si>
  <si>
    <t>010-2310-1531</t>
    <phoneticPr fontId="6" type="noConversion"/>
  </si>
  <si>
    <t>김민지</t>
    <phoneticPr fontId="6" type="noConversion"/>
  </si>
  <si>
    <t>90jun15</t>
    <phoneticPr fontId="6" type="noConversion"/>
  </si>
  <si>
    <t>경기도 하남시</t>
    <phoneticPr fontId="6" type="noConversion"/>
  </si>
  <si>
    <t>010-1234-1234</t>
    <phoneticPr fontId="6" type="noConversion"/>
  </si>
  <si>
    <t>test1</t>
    <phoneticPr fontId="6" type="noConversion"/>
  </si>
  <si>
    <t>CS메모</t>
    <phoneticPr fontId="4" type="noConversion"/>
  </si>
  <si>
    <t>메모</t>
    <phoneticPr fontId="4" type="noConversion"/>
  </si>
  <si>
    <t>연락처2</t>
  </si>
  <si>
    <t>연락처1</t>
  </si>
  <si>
    <t>수취인명</t>
    <phoneticPr fontId="4" type="noConversion"/>
  </si>
  <si>
    <t>구매자ID</t>
    <phoneticPr fontId="4" type="noConversion"/>
  </si>
  <si>
    <t>판매채널</t>
    <phoneticPr fontId="4" type="noConversion"/>
  </si>
  <si>
    <t>ID</t>
  </si>
  <si>
    <t>판매가5%</t>
  </si>
  <si>
    <t>판매가</t>
  </si>
  <si>
    <t>판매가2.5%</t>
  </si>
  <si>
    <t>SEDB47.판매가</t>
  </si>
  <si>
    <t>SEDB47.판매가5%</t>
  </si>
  <si>
    <t>SEDB47.판매가2.5%</t>
  </si>
  <si>
    <t>공급가</t>
  </si>
  <si>
    <t>수량(권)</t>
  </si>
  <si>
    <t>수량(단)</t>
  </si>
  <si>
    <t>윤현진</t>
  </si>
  <si>
    <t>떡비닐 외겹 30X30cm 떡집 포장 투명 비닐 음식 식품 선물 답례품 공장직영 LDPE</t>
  </si>
  <si>
    <t>530221335166</t>
  </si>
  <si>
    <t>비닐팩토리</t>
  </si>
  <si>
    <t>2024061395794081</t>
  </si>
  <si>
    <t>2024061356909371</t>
  </si>
  <si>
    <t>hyun****</t>
  </si>
  <si>
    <t>010-8982-7060</t>
  </si>
  <si>
    <t>충청남도 보령시 지장골길 160 (죽정동, 부경파크빌아파트) 104동 703호</t>
  </si>
  <si>
    <t>2024061333078640</t>
  </si>
  <si>
    <t>쓰레기 봉투 모음 20L 110L 대형 비닐 재활용 분리수거 봉지 이불 이사 다용도 포장</t>
  </si>
  <si>
    <t>모델: 쓰레기봉투 1호 20L (SE.118) / 색상: 투명</t>
  </si>
  <si>
    <t>2024061356909361</t>
  </si>
  <si>
    <t>김윤철</t>
  </si>
  <si>
    <t>떡비닐 떡롤 6호 45cmX330m 떡집 식품 다용도 포장 비닐 SE.206</t>
  </si>
  <si>
    <t>1개, 1롤</t>
  </si>
  <si>
    <t>540219665585</t>
  </si>
  <si>
    <t>2100052492074</t>
  </si>
  <si>
    <t>임수미</t>
  </si>
  <si>
    <t>대구광역시 중구 남산로 30 103동2204호 ( 남산동, 극동 스타클래스 남산 )</t>
  </si>
  <si>
    <t>6769415764</t>
  </si>
  <si>
    <t>한희원, 황재호</t>
  </si>
  <si>
    <t>SE101 - SE107,1000P), ***1단***</t>
  </si>
  <si>
    <t>SE101 - SE107 LDPE(100PX10=1000P) 투명 단무지봉지 일반 비닐봉투 음식전용 다용도 분리수거 반찬용 포장 단무지, SE.107(1000P30X51), 1개</t>
  </si>
  <si>
    <t>540220210476</t>
  </si>
  <si>
    <t>21100052791268</t>
  </si>
  <si>
    <t>이해창</t>
  </si>
  <si>
    <t>ul*****@na</t>
  </si>
  <si>
    <t>0502-5289-0466</t>
  </si>
  <si>
    <t>대구광역시 동구 신천동 1506 신세계동대구복합환승센터 지하1층 퀵앤프레쉬(아실)</t>
  </si>
  <si>
    <t>6770845689</t>
  </si>
  <si>
    <t>묶음</t>
  </si>
  <si>
    <t>한현정</t>
  </si>
  <si>
    <t>떡비닐 외겹 3호 25x25 3000장 떡집 음식 포장 비닐 SE.303</t>
  </si>
  <si>
    <t>1묶음</t>
  </si>
  <si>
    <t>530220853916</t>
  </si>
  <si>
    <t>21100052895371</t>
  </si>
  <si>
    <t>as*****@na</t>
  </si>
  <si>
    <t>0504-2702-6413</t>
  </si>
  <si>
    <t>전라남도 담양군 담양읍 지침리 132-9 떡돌이와떡순이</t>
  </si>
  <si>
    <t>6774259296</t>
  </si>
  <si>
    <t>주인아</t>
  </si>
  <si>
    <t>540219665552</t>
  </si>
  <si>
    <t>3100052835477</t>
  </si>
  <si>
    <t>wn*****@ha</t>
  </si>
  <si>
    <t>0502-4878-0063</t>
  </si>
  <si>
    <t>대전광역시 유성구 송강로42번길 61 청솔아파트 205동 1501호 ( 송강동, 청솔아파트 )</t>
  </si>
  <si>
    <t>6769995238</t>
  </si>
  <si>
    <t>이성화</t>
  </si>
  <si>
    <t>SE102 소폭 12X26 100p</t>
  </si>
  <si>
    <t>530220762706</t>
  </si>
  <si>
    <t>8100052791560</t>
  </si>
  <si>
    <t>a5*****@na</t>
  </si>
  <si>
    <t>0502-1357-0033</t>
  </si>
  <si>
    <t>부산광역시 동래구 석사북로 92-1 굴림당 ( 온천동 )</t>
  </si>
  <si>
    <t>6770320415</t>
  </si>
  <si>
    <t>서구재활주간보호센터</t>
  </si>
  <si>
    <t>SE138호 30x45 ( 끈속지 / 다용도 ) 100매</t>
  </si>
  <si>
    <t>단일상품</t>
  </si>
  <si>
    <t>530220762662</t>
  </si>
  <si>
    <t>10100052616179</t>
  </si>
  <si>
    <t>이종훈</t>
  </si>
  <si>
    <t>dc*****@na</t>
  </si>
  <si>
    <t>0504-4364-4215</t>
  </si>
  <si>
    <t>인천광역시 서구 탁옥로 104 다빈치프라자 2층 ( 심곡동 )</t>
  </si>
  <si>
    <t>6770413114</t>
  </si>
  <si>
    <t>김재성</t>
  </si>
  <si>
    <t>SE206호 (떡비닐 1롤) 45cmX330M</t>
  </si>
  <si>
    <t xml:space="preserve"> 투명 떡 롤 마끼 깔개 떡집 전용 일타 타개형, 1개</t>
  </si>
  <si>
    <t>540219665515</t>
  </si>
  <si>
    <t>28100052588127</t>
  </si>
  <si>
    <t>pa*****@gm</t>
  </si>
  <si>
    <t>0502-5213-9023</t>
  </si>
  <si>
    <t>서울특별시 동대문구 답십리동 1003 래미안위브 403동 1605호</t>
  </si>
  <si>
    <t>6770786758</t>
  </si>
  <si>
    <t>박광용</t>
  </si>
  <si>
    <t>SE116호 7x120x170 김장 고추 50근 봉투 5매</t>
  </si>
  <si>
    <t>5개</t>
  </si>
  <si>
    <t>540219665526</t>
  </si>
  <si>
    <t>9100052625136</t>
  </si>
  <si>
    <t>p3*****@gm</t>
  </si>
  <si>
    <t>0502-4648-4892</t>
  </si>
  <si>
    <t>경상북도 구미시 문장로 54-11 경북구미시도량1동792~243 2층 ( 도량동 )</t>
  </si>
  <si>
    <t>6771421582</t>
  </si>
  <si>
    <t>김신</t>
  </si>
  <si>
    <t>530220762695</t>
  </si>
  <si>
    <t>19100052783568</t>
  </si>
  <si>
    <t>rl*****@na</t>
  </si>
  <si>
    <t>0502-4800-4396</t>
  </si>
  <si>
    <t>부산광역시 동래구 온천동 1850 동래 3차 SK VIEW 상가동 1층 138호 명성뒷고기</t>
  </si>
  <si>
    <t>6771495061</t>
  </si>
  <si>
    <t>이민석</t>
  </si>
  <si>
    <t>540219665530</t>
  </si>
  <si>
    <t>20100052706525</t>
  </si>
  <si>
    <t>lm*****@na</t>
  </si>
  <si>
    <t>0504-4373-2099</t>
  </si>
  <si>
    <t>부산광역시 금정구 청룡예전로 74 102동104호 ( 청룡동,경동아파트 )</t>
  </si>
  <si>
    <t>6772319583</t>
  </si>
  <si>
    <t>SE103 소폭 15X32 100p</t>
  </si>
  <si>
    <t>SE105 소폭 20X38 100p</t>
  </si>
  <si>
    <t>SE104 소폭 18X36 100p</t>
  </si>
  <si>
    <t>라세림</t>
  </si>
  <si>
    <t>540219665541</t>
  </si>
  <si>
    <t>14100052791852</t>
  </si>
  <si>
    <t>no*****@ha</t>
  </si>
  <si>
    <t>0502-4197-5787</t>
  </si>
  <si>
    <t>경기도 과천시 중앙로 287 1층 미미짬뽕 ( 관문동 )</t>
  </si>
  <si>
    <t>6773019945</t>
  </si>
  <si>
    <t>박희용</t>
  </si>
  <si>
    <t>SE105호 투명 LDPE 20X38 100p 단무지 (100매) 봉지 식당 비닐 김밥 포장 반찬 국 양념 다용도 PE봉투</t>
  </si>
  <si>
    <t>540219665563</t>
  </si>
  <si>
    <t>2024061276976761</t>
  </si>
  <si>
    <t>2024061227356571</t>
  </si>
  <si>
    <t>augu****</t>
  </si>
  <si>
    <t>010-4024-8302</t>
  </si>
  <si>
    <t>031-254-7070</t>
  </si>
  <si>
    <t>경기도 수원시 장안구 수성로339번길 9 (정자동 1층 강원칡냉면</t>
  </si>
  <si>
    <t>2024061229504411</t>
  </si>
  <si>
    <t>SE105</t>
  </si>
  <si>
    <t>담양한과</t>
  </si>
  <si>
    <t>떡비닐(외겹) 30x38 1000p 투명 SE304</t>
  </si>
  <si>
    <t>540219665596</t>
  </si>
  <si>
    <t>2024061275338131</t>
  </si>
  <si>
    <t>2024061224945501</t>
  </si>
  <si>
    <t>박순애</t>
  </si>
  <si>
    <t>hank****</t>
  </si>
  <si>
    <t>010-2657-1049</t>
  </si>
  <si>
    <t>061-383-8283</t>
  </si>
  <si>
    <t>전라남도 담양군 창평면 창평현로 714-36 (창평면) .</t>
  </si>
  <si>
    <t>2024061229191994</t>
  </si>
  <si>
    <t>황중섭</t>
  </si>
  <si>
    <t>떡비닐 1롤 22cmX400M 투명 롤마끼 떡깔개 일타 떡집 타갬비닐 떡포장 SE202</t>
  </si>
  <si>
    <t>540219665574</t>
  </si>
  <si>
    <t>2024061271233921</t>
  </si>
  <si>
    <t>2024061218576421</t>
  </si>
  <si>
    <t>poha****</t>
  </si>
  <si>
    <t>010-7631-2233</t>
  </si>
  <si>
    <t>경상북도 영천시 영화로 340-1 (조교동) 2층 돈꿉자</t>
  </si>
  <si>
    <t>2024061228398064</t>
  </si>
  <si>
    <t>참고</t>
  </si>
  <si>
    <t>상품(AI)</t>
  </si>
  <si>
    <t>참고상품명</t>
  </si>
  <si>
    <t>주문</t>
  </si>
  <si>
    <t>총주문</t>
  </si>
  <si>
    <t>배송</t>
  </si>
  <si>
    <t>총계산</t>
  </si>
  <si>
    <t>업체배송</t>
  </si>
  <si>
    <t>업체배송비</t>
  </si>
  <si>
    <t>수수료합</t>
  </si>
  <si>
    <t>박스</t>
  </si>
  <si>
    <t>순이익</t>
  </si>
  <si>
    <t>마진율</t>
  </si>
  <si>
    <t>재구매</t>
  </si>
  <si>
    <t>cs참조</t>
  </si>
  <si>
    <t>박스가격</t>
  </si>
  <si>
    <t>클레임</t>
  </si>
  <si>
    <t>cs메모</t>
  </si>
  <si>
    <t>팩토리택배수수료</t>
    <phoneticPr fontId="4" type="noConversion"/>
  </si>
  <si>
    <t>마진율 계산기 수수료 안내</t>
    <phoneticPr fontId="4" type="noConversion"/>
  </si>
  <si>
    <t>빠른정산 수수료</t>
    <phoneticPr fontId="4" type="noConversion"/>
  </si>
  <si>
    <t>기본1가격</t>
    <phoneticPr fontId="4" type="noConversion"/>
  </si>
  <si>
    <t>판매자부담수수료</t>
    <phoneticPr fontId="4" type="noConversion"/>
  </si>
  <si>
    <r>
      <t xml:space="preserve">※ 배송비 수수료는 아래와 같습니다.
서비스 이용에 대한 수수료 3%를 부과합니다(VAT 별도). 
VAT(부가세)는 수수료의 10%입니다.
따라서 수수료 3% + VAT 0.3% = 총 수수료 </t>
    </r>
    <r>
      <rPr>
        <sz val="9"/>
        <color rgb="FFFF0000"/>
        <rFont val="맑은 고딕"/>
        <family val="3"/>
        <charset val="129"/>
        <scheme val="minor"/>
      </rPr>
      <t>3.3%</t>
    </r>
    <r>
      <rPr>
        <sz val="9"/>
        <color theme="1"/>
        <rFont val="맑은 고딕"/>
        <family val="3"/>
        <charset val="129"/>
        <scheme val="minor"/>
      </rPr>
      <t xml:space="preserve"> 입니다.</t>
    </r>
    <phoneticPr fontId="4" type="noConversion"/>
  </si>
  <si>
    <t>https://innks.github.io/asset/x8file_chk.html</t>
    <phoneticPr fontId="6" type="noConversion"/>
  </si>
  <si>
    <t>ptDB47</t>
  </si>
  <si>
    <t>so*****@na</t>
  </si>
  <si>
    <t>0504-4396-3157</t>
  </si>
  <si>
    <t>ptDB46</t>
  </si>
  <si>
    <t>고추 120*170</t>
  </si>
  <si>
    <t>종류</t>
  </si>
  <si>
    <t>배송완료일</t>
  </si>
  <si>
    <t>결제액</t>
  </si>
  <si>
    <t>배송비</t>
  </si>
  <si>
    <t>추가제작비용</t>
  </si>
  <si>
    <t>검사</t>
  </si>
  <si>
    <t>판매자부담할인액</t>
  </si>
  <si>
    <t>제주/도서추가배송비</t>
  </si>
  <si>
    <t>판매자메모</t>
  </si>
  <si>
    <t>강경숙</t>
  </si>
  <si>
    <t>653499871196</t>
  </si>
  <si>
    <t>2023010267662551</t>
  </si>
  <si>
    <t>kkanggs74</t>
  </si>
  <si>
    <t>010-9034-9537</t>
  </si>
  <si>
    <t>인천광역시 남동구 논현고잔로 208-1 (논현동, 어진마을한화꿈에그린6단지 상가)_x000D_
1층 104호 수작떡공방</t>
  </si>
  <si>
    <t>박혜영</t>
  </si>
  <si>
    <t>Na</t>
  </si>
  <si>
    <t>653499871174</t>
  </si>
  <si>
    <t>25000163577498</t>
  </si>
  <si>
    <t>010-****-3618</t>
  </si>
  <si>
    <t>서울특별시 강서구 강서로8길 206 204</t>
  </si>
  <si>
    <t>옵션</t>
    <phoneticPr fontId="4" type="noConversion"/>
  </si>
  <si>
    <t>스마트 스토어</t>
    <phoneticPr fontId="6" type="noConversion"/>
  </si>
  <si>
    <t>공급가10%</t>
  </si>
  <si>
    <t>1개판매금액</t>
  </si>
  <si>
    <t>제품공급가</t>
  </si>
  <si>
    <t>총판매금액</t>
  </si>
  <si>
    <t>수수료</t>
  </si>
  <si>
    <t>시트버전</t>
  </si>
  <si>
    <t>총판매금액(검)</t>
  </si>
  <si>
    <t>거래처지급액(검)</t>
  </si>
  <si>
    <t>수수료(검)</t>
  </si>
  <si>
    <t>순이익(검)</t>
  </si>
  <si>
    <t>마진율(검)</t>
  </si>
  <si>
    <t>검사(검)</t>
  </si>
  <si>
    <t>누계</t>
  </si>
  <si>
    <t>Check</t>
  </si>
  <si>
    <t>0503-8774-9680</t>
  </si>
  <si>
    <t>왕특C</t>
  </si>
  <si>
    <t>비닐스토리</t>
    <phoneticPr fontId="21" type="noConversion"/>
  </si>
  <si>
    <t>비닐팩토리</t>
    <phoneticPr fontId="21" type="noConversion"/>
  </si>
  <si>
    <t>지급액</t>
    <phoneticPr fontId="4" type="noConversion"/>
  </si>
  <si>
    <t>판매금액</t>
    <phoneticPr fontId="4" type="noConversion"/>
  </si>
  <si>
    <t>거래처</t>
    <phoneticPr fontId="4" type="noConversion"/>
  </si>
  <si>
    <t>옵션</t>
    <phoneticPr fontId="21" type="noConversion"/>
  </si>
  <si>
    <t>판매자 부담 할인액</t>
    <phoneticPr fontId="4" type="noConversion"/>
  </si>
  <si>
    <t>업체배송</t>
    <phoneticPr fontId="4" type="noConversion"/>
  </si>
  <si>
    <t>제주</t>
    <phoneticPr fontId="21" type="noConversion"/>
  </si>
  <si>
    <t>박스</t>
    <phoneticPr fontId="4" type="noConversion"/>
  </si>
  <si>
    <t>1개 판매금액</t>
    <phoneticPr fontId="4" type="noConversion"/>
  </si>
  <si>
    <t>총판매</t>
    <phoneticPr fontId="4" type="noConversion"/>
  </si>
  <si>
    <t>제주</t>
    <phoneticPr fontId="4" type="noConversion"/>
  </si>
  <si>
    <t>박스</t>
    <phoneticPr fontId="4" type="noConversion"/>
  </si>
  <si>
    <t>제작</t>
    <phoneticPr fontId="4" type="noConversion"/>
  </si>
  <si>
    <t>옵션</t>
    <phoneticPr fontId="4" type="noConversion"/>
  </si>
  <si>
    <t>거래처</t>
    <phoneticPr fontId="4" type="noConversion"/>
  </si>
  <si>
    <t>총판매</t>
    <phoneticPr fontId="4" type="noConversion"/>
  </si>
  <si>
    <t>(null이면 달로 검색)</t>
    <phoneticPr fontId="4" type="noConversion"/>
  </si>
  <si>
    <t>필터 총판매금</t>
    <phoneticPr fontId="4" type="noConversion"/>
  </si>
  <si>
    <t>필터 거래처지급액</t>
    <phoneticPr fontId="4" type="noConversion"/>
  </si>
  <si>
    <t>발송일</t>
    <phoneticPr fontId="21" type="noConversion"/>
  </si>
  <si>
    <r>
      <rPr>
        <sz val="9"/>
        <color rgb="FFFF0000"/>
        <rFont val="맑은 고딕"/>
        <family val="3"/>
        <charset val="129"/>
        <scheme val="minor"/>
      </rPr>
      <t>발송일</t>
    </r>
    <r>
      <rPr>
        <sz val="9"/>
        <color theme="1"/>
        <rFont val="맑은 고딕"/>
        <family val="3"/>
        <charset val="129"/>
        <scheme val="minor"/>
      </rPr>
      <t xml:space="preserve"> 기준 </t>
    </r>
    <r>
      <rPr>
        <b/>
        <sz val="9"/>
        <color theme="1"/>
        <rFont val="맑은 고딕"/>
        <family val="3"/>
        <charset val="129"/>
        <scheme val="minor"/>
      </rPr>
      <t>DAY</t>
    </r>
    <r>
      <rPr>
        <sz val="9"/>
        <color theme="1"/>
        <rFont val="맑은 고딕"/>
        <family val="3"/>
        <charset val="129"/>
        <scheme val="minor"/>
      </rPr>
      <t>로 검색</t>
    </r>
    <phoneticPr fontId="4" type="noConversion"/>
  </si>
  <si>
    <t>Story summary</t>
    <phoneticPr fontId="4" type="noConversion"/>
  </si>
  <si>
    <t>제품공급</t>
  </si>
  <si>
    <t>택배비</t>
    <phoneticPr fontId="4" type="noConversion"/>
  </si>
  <si>
    <t>박스비</t>
    <phoneticPr fontId="4" type="noConversion"/>
  </si>
  <si>
    <t>Factory summary</t>
    <phoneticPr fontId="4" type="noConversion"/>
  </si>
  <si>
    <t>Total Revenue</t>
    <phoneticPr fontId="4" type="noConversion"/>
  </si>
  <si>
    <t>Transaction money</t>
    <phoneticPr fontId="4" type="noConversion"/>
  </si>
  <si>
    <t>Margin rate</t>
    <phoneticPr fontId="4" type="noConversion"/>
  </si>
  <si>
    <t>Net profit</t>
    <phoneticPr fontId="4" type="noConversion"/>
  </si>
  <si>
    <t xml:space="preserve">      </t>
    <phoneticPr fontId="4" type="noConversion"/>
  </si>
  <si>
    <t>Fee(10%+)</t>
    <phoneticPr fontId="4" type="noConversion"/>
  </si>
  <si>
    <t>Goods sold</t>
    <phoneticPr fontId="4" type="noConversion"/>
  </si>
  <si>
    <t>Claim</t>
    <phoneticPr fontId="4" type="noConversion"/>
  </si>
  <si>
    <t>누계</t>
    <phoneticPr fontId="4" type="noConversion"/>
  </si>
  <si>
    <t>도매가</t>
    <phoneticPr fontId="4" type="noConversion"/>
  </si>
  <si>
    <t>제품공급가액(VAT+)</t>
  </si>
  <si>
    <t>제품공급가액(VAT+)</t>
    <phoneticPr fontId="4" type="noConversion"/>
  </si>
  <si>
    <t>감포건어물</t>
  </si>
  <si>
    <t>비닐</t>
  </si>
  <si>
    <t>530211812532</t>
  </si>
  <si>
    <t>기타쇼핑몰</t>
  </si>
  <si>
    <t>세은산업</t>
  </si>
  <si>
    <t>24053111</t>
  </si>
  <si>
    <t>010-3585-3937</t>
  </si>
  <si>
    <t>경북 경주시 감포읍 감포로 115 공설시장15호</t>
  </si>
  <si>
    <t>정경섭</t>
  </si>
  <si>
    <t>떡비닐 1롤 35cmX400M 투명 롤마끼 떡깔개 일타 떡집 타갬비닐 떡포장 SE205</t>
  </si>
  <si>
    <t>530211675903</t>
  </si>
  <si>
    <t>24053107</t>
  </si>
  <si>
    <t>jks8****</t>
  </si>
  <si>
    <t>010-6614-9975</t>
  </si>
  <si>
    <t>경상북도 영주시 장수면 장수로 275-34 (장수면) 영주농업회사법인(주)</t>
  </si>
  <si>
    <t>윤은희</t>
  </si>
  <si>
    <t>떡비닐 1롤 45cmX330M 투명 롤마끼 떡깔개 일타 떡집 타갬비닐 떡포장 SE206</t>
  </si>
  <si>
    <t>530211538423</t>
  </si>
  <si>
    <t>2024053175402351</t>
  </si>
  <si>
    <t>2024053156950031</t>
  </si>
  <si>
    <t>qkah****</t>
  </si>
  <si>
    <t>010-8865-8843</t>
  </si>
  <si>
    <t>충청북도 청주시 청원구 상당로 230 (우암동) 1층상가</t>
  </si>
  <si>
    <t>2024053166587225</t>
  </si>
  <si>
    <t>고수연</t>
  </si>
  <si>
    <t>SE9호 27(38)x43 (관반70) 70p 투명 유백 검정 노랑 오랜지 보라</t>
  </si>
  <si>
    <t>컬러: 보라</t>
  </si>
  <si>
    <t>530211538681</t>
  </si>
  <si>
    <t>2024053175398411</t>
  </si>
  <si>
    <t>2024053156943881</t>
  </si>
  <si>
    <t>kkos****</t>
  </si>
  <si>
    <t>010-9034-2127</t>
  </si>
  <si>
    <t>인천광역시 연수구 옥련로 33 (옥련동, 현대1차아파트) 104동104호</t>
  </si>
  <si>
    <t>2024053166585705</t>
  </si>
  <si>
    <t>SE9</t>
  </si>
  <si>
    <t>김정윤</t>
  </si>
  <si>
    <t>떡비닐(외겹) 30X30 1000p 투명 SE307</t>
  </si>
  <si>
    <t>530211538235</t>
  </si>
  <si>
    <t>2024053172917601</t>
  </si>
  <si>
    <t>2024053153041311</t>
  </si>
  <si>
    <t>danj****</t>
  </si>
  <si>
    <t>010-2715-3902</t>
  </si>
  <si>
    <t>대구광역시 남구 자유6길 11-12 (대명동) 1층</t>
  </si>
  <si>
    <t>2024053166107135</t>
  </si>
  <si>
    <t>성호영</t>
  </si>
  <si>
    <t>떡비닐(외겹) 39x40 1000p 투명 SE305</t>
  </si>
  <si>
    <t>540210571793</t>
  </si>
  <si>
    <t>2024053057186011</t>
  </si>
  <si>
    <t>2024053028699001</t>
  </si>
  <si>
    <t>hoya****</t>
  </si>
  <si>
    <t>010-3333-7515</t>
  </si>
  <si>
    <t>대구광역시 달서구 진천로18길 10 (진천동, 진천역대우이안아파트) 상가동 2층 201호 만개</t>
  </si>
  <si>
    <t>오늘 발송 좀 부탁드립니다ㅠ</t>
  </si>
  <si>
    <t>2024053063064054</t>
  </si>
  <si>
    <t>2024053028698991</t>
  </si>
  <si>
    <t>에프</t>
  </si>
  <si>
    <t>540210571841</t>
  </si>
  <si>
    <t>2024053056283401</t>
  </si>
  <si>
    <t>2024053027262361</t>
  </si>
  <si>
    <t>2024053062887893</t>
  </si>
  <si>
    <t>최선용</t>
  </si>
  <si>
    <t>530211538526</t>
  </si>
  <si>
    <t>27100050255907</t>
  </si>
  <si>
    <t>이성희</t>
  </si>
  <si>
    <t>an*****@ha</t>
  </si>
  <si>
    <t>0502-4619-0245</t>
  </si>
  <si>
    <t>대구광역시 달성군 현풍읍 테크노북로 33-4 1층 서울떡집</t>
  </si>
  <si>
    <t>6698340819</t>
  </si>
  <si>
    <t>조선주</t>
  </si>
  <si>
    <t>SE.102(1000P12X26), 1개</t>
  </si>
  <si>
    <t>540210572073</t>
  </si>
  <si>
    <t>2100050428361</t>
  </si>
  <si>
    <t>11*****@da</t>
  </si>
  <si>
    <t>0502-1425-4833</t>
  </si>
  <si>
    <t>경기도 용인시 수지구 성복동 강남빌리지 104동 901호</t>
  </si>
  <si>
    <t>6702202692</t>
  </si>
  <si>
    <t>오윤이</t>
  </si>
  <si>
    <t>SE.103(1000P15X32), 1개</t>
  </si>
  <si>
    <t>540210665641</t>
  </si>
  <si>
    <t>10100050526476</t>
  </si>
  <si>
    <t>se*****@na</t>
  </si>
  <si>
    <t>0502-1316-5124</t>
  </si>
  <si>
    <t>충청북도 충주시 연수동 547-1 연수종합시장 연수시장떡방앗간</t>
  </si>
  <si>
    <t>6702699924</t>
  </si>
  <si>
    <t>강인석</t>
  </si>
  <si>
    <t>530211538213</t>
  </si>
  <si>
    <t>7100050532943</t>
  </si>
  <si>
    <t>ki*****@ha</t>
  </si>
  <si>
    <t>0502-5120-3674</t>
  </si>
  <si>
    <t>경기도 구리시 안골로103번길 30 1층 103호 온기담 ( 수택동 )</t>
  </si>
  <si>
    <t>6698459936</t>
  </si>
  <si>
    <t>굿푸드통상</t>
  </si>
  <si>
    <t>540210571756</t>
  </si>
  <si>
    <t>2100050381770</t>
  </si>
  <si>
    <t>엄기성</t>
  </si>
  <si>
    <t>wi*****@na</t>
  </si>
  <si>
    <t>0504-4985-1324</t>
  </si>
  <si>
    <t>경기도 하남시 초이동 266-2 왼쪽직진끝 정면창고</t>
  </si>
  <si>
    <t>정문안쪽에 넣어주세요</t>
  </si>
  <si>
    <t>6700723513</t>
  </si>
  <si>
    <t>백유리</t>
  </si>
  <si>
    <t>540210572272</t>
  </si>
  <si>
    <t>12100050430625</t>
  </si>
  <si>
    <t>ba*****@na</t>
  </si>
  <si>
    <t>0502-4703-9103</t>
  </si>
  <si>
    <t>전라북도 전주시 완산구 교동 68-1 1층 달당</t>
  </si>
  <si>
    <t>6701597529</t>
  </si>
  <si>
    <t>Duong Hanh</t>
  </si>
  <si>
    <t>530211538493</t>
  </si>
  <si>
    <t>29100050606795</t>
  </si>
  <si>
    <t>DUONG THANH HANH</t>
  </si>
  <si>
    <t>du*****@gm</t>
  </si>
  <si>
    <t>0502-4530-6882</t>
  </si>
  <si>
    <t>경상북도 경주시 한빛길6번길 47 1층. 아시안 마트 ( 성건동 )</t>
  </si>
  <si>
    <t>6702574973</t>
  </si>
  <si>
    <t>더누벨예약실</t>
  </si>
  <si>
    <t>떡비닐 롤 외겹 투명 떡집 음식 식품 포장 비닐 업소용 마끼 떡깔개 싸개지 LDPE</t>
  </si>
  <si>
    <t>떡집모음: 떡비닐(롤) 45x330m / SE.206</t>
  </si>
  <si>
    <t>540210578185</t>
  </si>
  <si>
    <t>2024053059382231</t>
  </si>
  <si>
    <t>2024053032136921</t>
  </si>
  <si>
    <t>정경진</t>
  </si>
  <si>
    <t>toto****</t>
  </si>
  <si>
    <t>010-3046-3334</t>
  </si>
  <si>
    <t>경상북도 포항시 남구 희망대로 805 (대도동) 더누벨예약실</t>
  </si>
  <si>
    <t>마끼비ㄴ닐 주방</t>
  </si>
  <si>
    <t>2024053063488108</t>
  </si>
  <si>
    <t>떡</t>
  </si>
  <si>
    <t>청도추어탕고디탕</t>
  </si>
  <si>
    <t>530213589552</t>
  </si>
  <si>
    <t>24060307</t>
  </si>
  <si>
    <t>010-8755-5098</t>
  </si>
  <si>
    <t>경북 청도군 청도읍 청화로 211 청도추어탕고디탕</t>
  </si>
  <si>
    <t>형제떡방앗간</t>
  </si>
  <si>
    <t>530213521733</t>
  </si>
  <si>
    <t>24060304</t>
  </si>
  <si>
    <t>010-6246-4029</t>
  </si>
  <si>
    <t>경북 청도군 청도읍 고수동4길 1 형제떡방앗간</t>
  </si>
  <si>
    <t>역전떡집</t>
  </si>
  <si>
    <t xml:space="preserve">떡외겹 25*25 </t>
  </si>
  <si>
    <t>대1</t>
  </si>
  <si>
    <t>530213372596</t>
  </si>
  <si>
    <t>24060302</t>
  </si>
  <si>
    <t>010-4106-0020</t>
  </si>
  <si>
    <t>경북 예천군 예천읍 대심로 134 역전떡집</t>
  </si>
  <si>
    <t>유승범</t>
  </si>
  <si>
    <t>SE201 떡비닐 20cmX400 투명</t>
  </si>
  <si>
    <t>530213305035</t>
  </si>
  <si>
    <t>2024060342949741</t>
  </si>
  <si>
    <t>2024060356409111</t>
  </si>
  <si>
    <t>ysb0****</t>
  </si>
  <si>
    <t>010-5268-9041</t>
  </si>
  <si>
    <t>서울특별시 송파구 양재대로 932 (가락동, 가락동 농수산물도매시장) 가락몰 축산부류 1층 51호 대명축산</t>
  </si>
  <si>
    <t>2024060377850476</t>
  </si>
  <si>
    <t>강정화</t>
  </si>
  <si>
    <t>530213305105</t>
  </si>
  <si>
    <t>2024060218233221</t>
  </si>
  <si>
    <t>2024060217398401</t>
  </si>
  <si>
    <t>bacc****</t>
  </si>
  <si>
    <t>010-2849-9914</t>
  </si>
  <si>
    <t>울산광역시 울주군 온양읍 터실3길 6 (온양읍) 1층</t>
  </si>
  <si>
    <t>2024060272969533</t>
  </si>
  <si>
    <t>윤춘자</t>
  </si>
  <si>
    <t>530213304965</t>
  </si>
  <si>
    <t>2024060191989501</t>
  </si>
  <si>
    <t>2024060182579771</t>
  </si>
  <si>
    <t>cnsw****</t>
  </si>
  <si>
    <t>010-5893-7530</t>
  </si>
  <si>
    <t>0502-3570-4749</t>
  </si>
  <si>
    <t>인천광역시 미추홀구 인하로183번길 34 (주안동) 인천광역시미추홀구인하로183번길34</t>
  </si>
  <si>
    <t>2024060169782810</t>
  </si>
  <si>
    <t>노민정</t>
  </si>
  <si>
    <t>떡집모음: 떡비닐(롤) 35x400m / SE.205</t>
  </si>
  <si>
    <t>530213304862</t>
  </si>
  <si>
    <t>2024060338818241</t>
  </si>
  <si>
    <t>2024060349869161</t>
  </si>
  <si>
    <t>mimi****</t>
  </si>
  <si>
    <t>010-2714-7704</t>
  </si>
  <si>
    <t>서울특별시 양천구 중앙로 224 (신정동) 102호</t>
  </si>
  <si>
    <t>2024060377034956</t>
  </si>
  <si>
    <t>한찬범</t>
  </si>
  <si>
    <t>떡집모음: 떡비닐(롤) 24x400m / SE.203</t>
  </si>
  <si>
    <t>530213304980</t>
  </si>
  <si>
    <t>2024060229417571</t>
  </si>
  <si>
    <t>2024060234540801</t>
  </si>
  <si>
    <t>gksq****</t>
  </si>
  <si>
    <t>010-9589-2203</t>
  </si>
  <si>
    <t>충청북도 청주시 서원구 장전로20번나길 8 (성화동) 1층 꿀꺽삼겹살</t>
  </si>
  <si>
    <t>2024060275184692</t>
  </si>
  <si>
    <t>김단혜</t>
  </si>
  <si>
    <t>떡집모음: 떡비닐(롤) 30x400m / SE.204</t>
  </si>
  <si>
    <t>530213304910</t>
  </si>
  <si>
    <t>2024060194773001</t>
  </si>
  <si>
    <t>2024060186841831</t>
  </si>
  <si>
    <t>JINXIANGHUA</t>
  </si>
  <si>
    <t>danh****</t>
  </si>
  <si>
    <t>010-5313-3880</t>
  </si>
  <si>
    <t>경기도 안양시 동안구 시민대로 180 (호계동, G.SQURE, 롯데백화점 평촌점) 지하1층 검품장</t>
  </si>
  <si>
    <t>2024060170335804</t>
  </si>
  <si>
    <t>하루정육</t>
  </si>
  <si>
    <t>손잡이봉투 장바구니 투명 검정 청백 빨강 분리수거 배접 비닐봉지 재활용 쓰레기봉투</t>
  </si>
  <si>
    <t>종류: 06. 무지봉투 2호 / 컬러: 청백</t>
  </si>
  <si>
    <t>530213304895</t>
  </si>
  <si>
    <t>2024060193562531</t>
  </si>
  <si>
    <t>2024060185000311</t>
  </si>
  <si>
    <t>정유연</t>
  </si>
  <si>
    <t>simi****</t>
  </si>
  <si>
    <t>010-9518-2588</t>
  </si>
  <si>
    <t>부산광역시 부산진구 동평로 173 (부암동, 협성휴포레 시티즌파크) 상가 1층 하루정육</t>
  </si>
  <si>
    <t>2024060170095325</t>
  </si>
  <si>
    <t>M</t>
  </si>
  <si>
    <t>종류: 03. 일반봉투 3호 / 컬러: 유백</t>
  </si>
  <si>
    <t>2024060185000301</t>
  </si>
  <si>
    <t>크린롤백 위생팩 위생비닐봉투 시장 마트 야채봉투</t>
  </si>
  <si>
    <t>투명: 롤백3호 35X50(200m) - 약400매</t>
  </si>
  <si>
    <t>2024060185000291</t>
  </si>
  <si>
    <t>SE406.407.408</t>
  </si>
  <si>
    <t>안태진</t>
  </si>
  <si>
    <t>떡비닐 30cmX400m 롤 마끼 음식 포장 투명 비닐 떡집 깔개 덮개 대용량 맞춤</t>
  </si>
  <si>
    <t>530213305013</t>
  </si>
  <si>
    <t>2024053183027511</t>
  </si>
  <si>
    <t>2024053168578671</t>
  </si>
  <si>
    <t>sdho****</t>
  </si>
  <si>
    <t>010-3096-4296</t>
  </si>
  <si>
    <t>충청북도 단양군 단양읍 도전5길 30 (단양읍) 주전부리</t>
  </si>
  <si>
    <t>2024053168055852</t>
  </si>
  <si>
    <t>손효정</t>
  </si>
  <si>
    <t>SE307 떡비닐(외겹) 30X30 1000매 투명</t>
  </si>
  <si>
    <t>1000개</t>
  </si>
  <si>
    <t>530213305120</t>
  </si>
  <si>
    <t>28100050592430</t>
  </si>
  <si>
    <t>손연주</t>
  </si>
  <si>
    <t>ka*****@na</t>
  </si>
  <si>
    <t>0502-4352-0407</t>
  </si>
  <si>
    <t>대구광역시 수성구 청호로 370 101동 307호 ( 범어동, 장원아파트 )</t>
  </si>
  <si>
    <t>6705899665</t>
  </si>
  <si>
    <t>정장숙</t>
  </si>
  <si>
    <t>530213304954</t>
  </si>
  <si>
    <t>6100050616121</t>
  </si>
  <si>
    <t>0502-4535-9645</t>
  </si>
  <si>
    <t>세종특별자치시 대평동 568-1 해들마을 6단지 상가동 B101호 해들떡마을</t>
  </si>
  <si>
    <t>6706500535</t>
  </si>
  <si>
    <t>박노홍</t>
  </si>
  <si>
    <t>530213305050</t>
  </si>
  <si>
    <t>27100050574722</t>
  </si>
  <si>
    <t>Kl*****@na</t>
  </si>
  <si>
    <t>0502-4696-9661</t>
  </si>
  <si>
    <t>충청북도 음성군 음성읍 시장로 123 치킨이호프를 만났을때</t>
  </si>
  <si>
    <t>6708525515</t>
  </si>
  <si>
    <t>원미경</t>
  </si>
  <si>
    <t>530213304932</t>
  </si>
  <si>
    <t>15100050838170</t>
  </si>
  <si>
    <t>om*****@na</t>
  </si>
  <si>
    <t>0504-4989-8106</t>
  </si>
  <si>
    <t>세종특별자치시 새롬동 373 새뜸마을4단지 417동1204호</t>
  </si>
  <si>
    <t>6709153928</t>
  </si>
  <si>
    <t>이연재</t>
  </si>
  <si>
    <t>SE108호 3.5x45x75 김장 고추 봉투 10매</t>
  </si>
  <si>
    <t>530213305083</t>
  </si>
  <si>
    <t>16100051423052</t>
  </si>
  <si>
    <t>ly*****@na</t>
  </si>
  <si>
    <t>0502-4953-1822</t>
  </si>
  <si>
    <t>전라북도 군산시 옥산면 접산길 22 주택</t>
  </si>
  <si>
    <t>6715179840</t>
  </si>
  <si>
    <t>이은주</t>
  </si>
  <si>
    <t>530213304840</t>
  </si>
  <si>
    <t>2100050628554</t>
  </si>
  <si>
    <t>en*****@gm</t>
  </si>
  <si>
    <t>0504-4916-6426</t>
  </si>
  <si>
    <t>대구광역시 북구 태전동 997-1 칠곡에덴타운 103동305호</t>
  </si>
  <si>
    <t>6708572951</t>
  </si>
  <si>
    <t>경북대 생활협동조합</t>
  </si>
  <si>
    <t>SE28호 65(85)X100 (이불봉투 - 대) 60p 유백 검정</t>
  </si>
  <si>
    <t>컬러: 유백</t>
  </si>
  <si>
    <t>530214528101</t>
  </si>
  <si>
    <t>24060408</t>
  </si>
  <si>
    <t>강정환</t>
  </si>
  <si>
    <t>ksl1****</t>
  </si>
  <si>
    <t>010-9226-2126</t>
  </si>
  <si>
    <t>대구광역시 북구 대학로 80 (산격동, 경북대학교) 복현회관 2층 생활협동조합</t>
  </si>
  <si>
    <t>문앞에 배송해주세요 감사합니다</t>
  </si>
  <si>
    <t>SE28</t>
  </si>
  <si>
    <t>SE27호 57(73)X90 (이불봉투 - 중) 60p  유백 검정</t>
  </si>
  <si>
    <t>540213347735</t>
  </si>
  <si>
    <t>2024060471087121</t>
  </si>
  <si>
    <t>2024060498971601</t>
  </si>
  <si>
    <t>2024060483102455</t>
  </si>
  <si>
    <t>SE27</t>
  </si>
  <si>
    <t>2024060470903831</t>
  </si>
  <si>
    <t>2024060498672261</t>
  </si>
  <si>
    <t>2024060483062362</t>
  </si>
  <si>
    <t>오충석</t>
  </si>
  <si>
    <t>530214334433</t>
  </si>
  <si>
    <t>2024060470453901</t>
  </si>
  <si>
    <t>2024060497952311</t>
  </si>
  <si>
    <t>ocs3****</t>
  </si>
  <si>
    <t>010-9873-1982</t>
  </si>
  <si>
    <t>02-2612-7094</t>
  </si>
  <si>
    <t>경기도 광명시 오리로964번길 5 (광명동) 세명수산</t>
  </si>
  <si>
    <t>2024060482969774</t>
  </si>
  <si>
    <t>정택균</t>
  </si>
  <si>
    <t>떡비닐(외겹) 20X20 3000p 투명 SE306</t>
  </si>
  <si>
    <t>530214334212</t>
  </si>
  <si>
    <t>2024060354563841</t>
  </si>
  <si>
    <t>2024060373094231</t>
  </si>
  <si>
    <t>xorr****</t>
  </si>
  <si>
    <t>010-7110-0757</t>
  </si>
  <si>
    <t>강원특별자치도 동해시 공단6로 67-17 (구호동) 주식회사 루트</t>
  </si>
  <si>
    <t>2층사무실로 배송부탁드려요</t>
  </si>
  <si>
    <t>2024060379870773</t>
  </si>
  <si>
    <t>방국희(부산집)</t>
  </si>
  <si>
    <t>540213347853</t>
  </si>
  <si>
    <t>7100051227112</t>
  </si>
  <si>
    <t>방국희</t>
  </si>
  <si>
    <t>sp*****@ho</t>
  </si>
  <si>
    <t>0502-1431-1508</t>
  </si>
  <si>
    <t>부산광역시 사하구 괴정동 427-68번지 14/2</t>
  </si>
  <si>
    <t xml:space="preserve"> 연락이 안될시 대영슈퍼에 맡겨주세요</t>
  </si>
  <si>
    <t>6720801409</t>
  </si>
  <si>
    <t>성준우</t>
  </si>
  <si>
    <t>540213347094</t>
  </si>
  <si>
    <t>21100051322437</t>
  </si>
  <si>
    <t>wa*****@na</t>
  </si>
  <si>
    <t>0502-1752-6141</t>
  </si>
  <si>
    <t>대전광역시 유성구 원내동 383 진잠타운아파트 207동1203호</t>
  </si>
  <si>
    <t>6723315885</t>
  </si>
  <si>
    <t>김범준</t>
  </si>
  <si>
    <t>530214334735</t>
  </si>
  <si>
    <t>11100051193765</t>
  </si>
  <si>
    <t>김명준</t>
  </si>
  <si>
    <t>wo*****@na</t>
  </si>
  <si>
    <t>0504-4953-1243</t>
  </si>
  <si>
    <t>인천광역시 서구 경서로31번길 15 단지내상가1층 웰니스카페 ( 경서동, 북청라하우스토리 )</t>
  </si>
  <si>
    <t>6724502066</t>
  </si>
  <si>
    <t>고종연</t>
  </si>
  <si>
    <t>투명 다용도 비닐 봉투 모음 100P 단무지 반찬 야채 가게 식당 시장 포장 보관 봉지</t>
  </si>
  <si>
    <t>선택1: 투명다용도봉투6호(24x38/SE.106)</t>
  </si>
  <si>
    <t>540213347831</t>
  </si>
  <si>
    <t>2024060471145001</t>
  </si>
  <si>
    <t>2024060499064921</t>
  </si>
  <si>
    <t>kjy6****</t>
  </si>
  <si>
    <t>010-3789-6659</t>
  </si>
  <si>
    <t>경기도 하남시 미사대로 380 (망월동) 농협하나로마트</t>
  </si>
  <si>
    <t>배송 전 미리 연락해 주세요</t>
  </si>
  <si>
    <t>2024060483106826</t>
  </si>
  <si>
    <t>투명다용도봉투 모음</t>
  </si>
  <si>
    <t>이은희</t>
  </si>
  <si>
    <t>540213347444</t>
  </si>
  <si>
    <t>2024060361008691</t>
  </si>
  <si>
    <t>2024060382796881</t>
  </si>
  <si>
    <t>cute****</t>
  </si>
  <si>
    <t>010-6321-3452</t>
  </si>
  <si>
    <t>경기도 하남시 초광산단서로16번길 30 (초이동) 이레 3층</t>
  </si>
  <si>
    <t>2024060381120671</t>
  </si>
  <si>
    <t>조선옥</t>
  </si>
  <si>
    <t>540213347002</t>
  </si>
  <si>
    <t>2024060355703071</t>
  </si>
  <si>
    <t>2024060374861381</t>
  </si>
  <si>
    <t>leec****</t>
  </si>
  <si>
    <t>010-7321-8989</t>
  </si>
  <si>
    <t>세종특별자치시 다정남로 123 가온마을 12단지 1206동 802호</t>
  </si>
  <si>
    <t>2024060380092092</t>
  </si>
  <si>
    <t>운문로컬푸드</t>
  </si>
  <si>
    <t>7호 노란끈 투명 2단</t>
  </si>
  <si>
    <t>540213347956</t>
  </si>
  <si>
    <t>24060405</t>
  </si>
  <si>
    <t>054-372-8181</t>
  </si>
  <si>
    <t>경북 청도군 운문면 운문사길 129-8 운문로컬푸드</t>
  </si>
  <si>
    <t xml:space="preserve"> 6호 유백  2단 </t>
  </si>
  <si>
    <t>530214334540</t>
  </si>
  <si>
    <t>24060404</t>
  </si>
  <si>
    <t xml:space="preserve">5호 투명 100P  2단   </t>
  </si>
  <si>
    <t>530214334643</t>
  </si>
  <si>
    <t>여나</t>
  </si>
  <si>
    <t>. 사이즈,수량,색상: 20ℓ(40x60) 100매 투명</t>
  </si>
  <si>
    <t>540213347260</t>
  </si>
  <si>
    <t>올웨이즈</t>
  </si>
  <si>
    <t>24060402</t>
  </si>
  <si>
    <t>010-2959-1232</t>
  </si>
  <si>
    <t>울산 북구 두부곡4길 8 2층</t>
  </si>
  <si>
    <t xml:space="preserve">김양순	</t>
  </si>
  <si>
    <t>사이즈,수량,색상: 60ℓ(63x90) 50매 검정</t>
  </si>
  <si>
    <t>530214334411</t>
  </si>
  <si>
    <t>24060401</t>
  </si>
  <si>
    <t>010-3637-9321</t>
  </si>
  <si>
    <t>경기 화성시 장안면 온수골1길 55-1</t>
  </si>
  <si>
    <t>김형희</t>
  </si>
  <si>
    <t>떡롤 떡외겹 [모음]</t>
  </si>
  <si>
    <t>떡비닐 5호(35x400), 1개</t>
  </si>
  <si>
    <t>530214334702</t>
  </si>
  <si>
    <t>25100051185893</t>
  </si>
  <si>
    <t>gu*****@ha</t>
  </si>
  <si>
    <t>0502-4733-5563</t>
  </si>
  <si>
    <t>전라남도 강진군 군동면 호계리 호계길5 떡마루</t>
  </si>
  <si>
    <t>6719385394</t>
  </si>
  <si>
    <t>김지언</t>
  </si>
  <si>
    <t>떡롤 떡깔개 떡집 [모음] 떡제조 전문집 약과 투명한 포장 떡외겹 싸게지 떡싸게지 롤마끼 마끼롤 떡집전문 떡봉지 떡봉투 떡비닐, 떡비닐 1호, 1개</t>
  </si>
  <si>
    <t>540213351456</t>
  </si>
  <si>
    <t>26100051000988</t>
  </si>
  <si>
    <t>박인섭</t>
  </si>
  <si>
    <t>kj*****@na</t>
  </si>
  <si>
    <t>0502-4802-6019</t>
  </si>
  <si>
    <t>경기도 성남시 분당구 백현동 535 크래프톤타워 3층 서울강정형외과</t>
  </si>
  <si>
    <t>6719496620</t>
  </si>
  <si>
    <t>이동한</t>
  </si>
  <si>
    <t>과일봉지</t>
  </si>
  <si>
    <t>530215380023</t>
  </si>
  <si>
    <t>24060503</t>
  </si>
  <si>
    <t>010-4902-5844</t>
  </si>
  <si>
    <t>경북 성주군 월항면 안포1길 34</t>
  </si>
  <si>
    <t>530215380001</t>
  </si>
  <si>
    <t>24060502</t>
  </si>
  <si>
    <t>풍년농약사</t>
  </si>
  <si>
    <t>540214280603</t>
  </si>
  <si>
    <t>24060501</t>
  </si>
  <si>
    <t>010-2049-5007</t>
  </si>
  <si>
    <t>경북 포항시 남구 오천읍 장기로 1688-1 풍년농약사</t>
  </si>
  <si>
    <t>카페모들</t>
  </si>
  <si>
    <t>530215355501</t>
  </si>
  <si>
    <t>2024060599594501</t>
  </si>
  <si>
    <t>2024060553504051</t>
  </si>
  <si>
    <t>이상숙</t>
  </si>
  <si>
    <t>sang****</t>
  </si>
  <si>
    <t>010-7458-6672</t>
  </si>
  <si>
    <t>경기도 화성시 동탄기흥로 393-20 (오산동, 동탄역 파라곤) 1층190호 내측상가(선명희피자맞은편</t>
  </si>
  <si>
    <t>2024060588626233</t>
  </si>
  <si>
    <t>이레떡방</t>
  </si>
  <si>
    <t>떡비닐 1롤 30cmX400M 투명 롤마끼 떡깔개 일타 떡집 타갬비닐 떡포장 SE204</t>
  </si>
  <si>
    <t>530215273800</t>
  </si>
  <si>
    <t>2024060591696621</t>
  </si>
  <si>
    <t>2024060541249481</t>
  </si>
  <si>
    <t>송순희</t>
  </si>
  <si>
    <t>sshh****</t>
  </si>
  <si>
    <t>010-4118-9402</t>
  </si>
  <si>
    <t>010-3706-7755</t>
  </si>
  <si>
    <t>서울특별시 강서구 허준로 121 (가양동, 대림경동아파트) 대림경동상가 114호</t>
  </si>
  <si>
    <t>문 앞에 놓아주세요</t>
  </si>
  <si>
    <t>2024060587093706</t>
  </si>
  <si>
    <t>박경숙</t>
  </si>
  <si>
    <t>SE22호 37(51)x60 (왕특A) 60p 투명 검정 빨강 보라</t>
  </si>
  <si>
    <t>컬러: 검정</t>
  </si>
  <si>
    <t>530215273892</t>
  </si>
  <si>
    <t>2024060482864011</t>
  </si>
  <si>
    <t>2024060427503191</t>
  </si>
  <si>
    <t>bobd****</t>
  </si>
  <si>
    <t>010-2684-8642</t>
  </si>
  <si>
    <t>경기도 파주시 책향기로 439 (동패동, 책향기마을동문굿모닝힐) 10단지 1016동1106</t>
  </si>
  <si>
    <t>2024060485377990</t>
  </si>
  <si>
    <t>SE22</t>
  </si>
  <si>
    <t>장미미</t>
  </si>
  <si>
    <t>떡비닐(외겹) 25X25 3000p 투명 SE303</t>
  </si>
  <si>
    <t>540214280673</t>
  </si>
  <si>
    <t>2024060474353791</t>
  </si>
  <si>
    <t>2024060414211401</t>
  </si>
  <si>
    <t>alal****</t>
  </si>
  <si>
    <t>010-9415-1378</t>
  </si>
  <si>
    <t>경기도 양평군 양동면 양동역길 9 (양동면) 역전방앗간</t>
  </si>
  <si>
    <t>2024060483730332</t>
  </si>
  <si>
    <t>방현진</t>
  </si>
  <si>
    <t>540214302620</t>
  </si>
  <si>
    <t>2024060598991351</t>
  </si>
  <si>
    <t>2024060552559121</t>
  </si>
  <si>
    <t>litt****</t>
  </si>
  <si>
    <t>010-8671-1750</t>
  </si>
  <si>
    <t>041-632-9497</t>
  </si>
  <si>
    <t>충청남도 홍성군 홍북면 내용길275번길 9 내덕리 564-2</t>
  </si>
  <si>
    <t>2024060588507852</t>
  </si>
  <si>
    <t>신성자</t>
  </si>
  <si>
    <t>530215273844</t>
  </si>
  <si>
    <t>2024060597591311</t>
  </si>
  <si>
    <t>2024060550366461</t>
  </si>
  <si>
    <t>mipe****</t>
  </si>
  <si>
    <t>010-4806-1561</t>
  </si>
  <si>
    <t>서울특별시 양천구 목동동로8길 33 (신정동) 1층</t>
  </si>
  <si>
    <t>1층가게 문앞에 두고가세여</t>
  </si>
  <si>
    <t>2024060588235126</t>
  </si>
  <si>
    <t>황용해</t>
  </si>
  <si>
    <t>떡비닐 외겹 7호 30x30 1000장 떡집 음식 포장 비닐 SE.307</t>
  </si>
  <si>
    <t>530215273870</t>
  </si>
  <si>
    <t>29100051408736</t>
  </si>
  <si>
    <t>PIAO SHUNDAO</t>
  </si>
  <si>
    <t>pi*****@na</t>
  </si>
  <si>
    <t>0502-4630-5725</t>
  </si>
  <si>
    <t>충청남도 천안시 동남구 천중3길 3 2층미스터용 ( 문화동 )</t>
  </si>
  <si>
    <t>6728486440</t>
  </si>
  <si>
    <t>유윤정</t>
  </si>
  <si>
    <t>540214280640</t>
  </si>
  <si>
    <t>17100051349040</t>
  </si>
  <si>
    <t>bu*****@ka</t>
  </si>
  <si>
    <t>0504-4333-5093</t>
  </si>
  <si>
    <t>경기도 안양시 만안구 안양동 190-6 광신프로그레스리버뷰203동702호</t>
  </si>
  <si>
    <t>6727291417</t>
  </si>
  <si>
    <t>을찌로떡볶이</t>
  </si>
  <si>
    <t>530215273796</t>
  </si>
  <si>
    <t>24100051338432</t>
  </si>
  <si>
    <t>고성관</t>
  </si>
  <si>
    <t>dk*****@na</t>
  </si>
  <si>
    <t>0502-4654-2053</t>
  </si>
  <si>
    <t>경기도 광명시 안재로6번길 24 1층 을찌로떡볶이 ( 하안동 )</t>
  </si>
  <si>
    <t>6728377024</t>
  </si>
  <si>
    <t>효떡집</t>
  </si>
  <si>
    <t>540215666102</t>
  </si>
  <si>
    <t>24060704</t>
  </si>
  <si>
    <t>010-2104-9556</t>
  </si>
  <si>
    <t>인천 남동구 논현동 771-7 1층 효떡집</t>
  </si>
  <si>
    <t>530216665551</t>
  </si>
  <si>
    <t>24060703</t>
  </si>
  <si>
    <t>김필순</t>
  </si>
  <si>
    <t>540215527244</t>
  </si>
  <si>
    <t>24060709</t>
  </si>
  <si>
    <t>010-6590-0696</t>
  </si>
  <si>
    <t>경남 창원시 마산합포구 현동3길 1 (창원현동엘에이치아파트) 102동 201호</t>
  </si>
  <si>
    <t>540215666216</t>
  </si>
  <si>
    <t>24060701</t>
  </si>
  <si>
    <t>김영희</t>
  </si>
  <si>
    <t>540215483284</t>
  </si>
  <si>
    <t>2024060746329091</t>
  </si>
  <si>
    <t>2024060720131911</t>
  </si>
  <si>
    <t>hapt****</t>
  </si>
  <si>
    <t>010-8563-3273</t>
  </si>
  <si>
    <t>0502-3778-2814</t>
  </si>
  <si>
    <t>경기도 남양주시 와부읍 수레로 88 (와부읍, 강산빌딩) 코너 103호 인생떡집</t>
  </si>
  <si>
    <t>2024060795883754</t>
  </si>
  <si>
    <t>기찬수제돈까스</t>
  </si>
  <si>
    <t>540215391691</t>
  </si>
  <si>
    <t>2024060622414621</t>
  </si>
  <si>
    <t>2024060673126881</t>
  </si>
  <si>
    <t>한은혜</t>
  </si>
  <si>
    <t>lili****</t>
  </si>
  <si>
    <t>010-7444-5029</t>
  </si>
  <si>
    <t>010-7704-5638</t>
  </si>
  <si>
    <t>서울특별시 도봉구 도봉로153길 63 (방학동) 1층 좌측</t>
  </si>
  <si>
    <t>2024060691125747</t>
  </si>
  <si>
    <t>종류: 05. 무지봉투 1호 / 컬러: 검정</t>
  </si>
  <si>
    <t>2024060673126871</t>
  </si>
  <si>
    <t>선택1: 투명다용도봉투7호(30x51/SE.107)</t>
  </si>
  <si>
    <t>2024060673126861</t>
  </si>
  <si>
    <t>더리터 경산 사동점</t>
  </si>
  <si>
    <t>SE21호 37(51)x59 (왕특B) 70p 유백 검정 빨강 오랜지</t>
  </si>
  <si>
    <t>540215391525</t>
  </si>
  <si>
    <t>2024060745906321</t>
  </si>
  <si>
    <t>2024060719461551</t>
  </si>
  <si>
    <t>이재영</t>
  </si>
  <si>
    <t>usal****</t>
  </si>
  <si>
    <t>010-9358-1362</t>
  </si>
  <si>
    <t>053-814-3337</t>
  </si>
  <si>
    <t>경상북도 경산시 백자로 61 (사동) 106호(더리터 경산 사동점)</t>
  </si>
  <si>
    <t>2024060795799911</t>
  </si>
  <si>
    <t>SE21</t>
  </si>
  <si>
    <t>최동호</t>
  </si>
  <si>
    <t>540215391433</t>
  </si>
  <si>
    <t>2024060743562221</t>
  </si>
  <si>
    <t>2024060715739931</t>
  </si>
  <si>
    <t>hoeh****</t>
  </si>
  <si>
    <t>010-3465-3768</t>
  </si>
  <si>
    <t>충청북도 청주시 상당구 남일면 단재로 469 (남일면) 효자촌묵집</t>
  </si>
  <si>
    <t>2024060795334746</t>
  </si>
  <si>
    <t>이정민</t>
  </si>
  <si>
    <t>SE18호 33(46)x53 (왕대) 60p 투명,청백,검정,빨강</t>
  </si>
  <si>
    <t>컬러: 청백</t>
  </si>
  <si>
    <t>540215391746</t>
  </si>
  <si>
    <t>2024060633446981</t>
  </si>
  <si>
    <t>2024060689730391</t>
  </si>
  <si>
    <t>leij****</t>
  </si>
  <si>
    <t>010-3712-4033</t>
  </si>
  <si>
    <t>전라북도 부안군 부안읍 선돌로 208-8 (부안읍) 신흥리 741번지 두레골가든</t>
  </si>
  <si>
    <t>2024060693335282</t>
  </si>
  <si>
    <t>SE18</t>
  </si>
  <si>
    <t>임선화</t>
  </si>
  <si>
    <t>540215391643</t>
  </si>
  <si>
    <t>2024060511363221</t>
  </si>
  <si>
    <t>2024060556292961</t>
  </si>
  <si>
    <t>ssou****</t>
  </si>
  <si>
    <t>010-8991-4862</t>
  </si>
  <si>
    <t>010-4696-2023</t>
  </si>
  <si>
    <t>경상남도 양산시 동면 금오3길 12-1 (동면) 1층 상가</t>
  </si>
  <si>
    <t>2024060588970657</t>
  </si>
  <si>
    <t>SE107호 투명 LDPE 30X51 100p</t>
  </si>
  <si>
    <t>2024060556292951</t>
  </si>
  <si>
    <t>SE107</t>
  </si>
  <si>
    <t>SE108호 3.5x45x75 (김장봉투) 10매 2근</t>
  </si>
  <si>
    <t>2024060556292941</t>
  </si>
  <si>
    <t>SE108</t>
  </si>
  <si>
    <t>SE103호 투명 LDPE 15X32 100p</t>
  </si>
  <si>
    <t>2024060556292931</t>
  </si>
  <si>
    <t>SE103</t>
  </si>
  <si>
    <t>김서영</t>
  </si>
  <si>
    <t>떡비닐 떡롤 5호 35cmX400m 떡집 음식 다용도 포장 비닐 SE.205</t>
  </si>
  <si>
    <t>540215391573</t>
  </si>
  <si>
    <t>5100051437810</t>
  </si>
  <si>
    <t>vv*****@na</t>
  </si>
  <si>
    <t>0502-4860-8914</t>
  </si>
  <si>
    <t>부산광역시 부산진구 성지로 37 연지 래미안어반파크 101동 102호 ( 연지동 )</t>
  </si>
  <si>
    <t>6732038696</t>
  </si>
  <si>
    <t>김기옥</t>
  </si>
  <si>
    <t>540215391374</t>
  </si>
  <si>
    <t>13100051693704</t>
  </si>
  <si>
    <t>0502-4592-1021</t>
  </si>
  <si>
    <t>서울특별시 은평구 구산동 16-85 1층 왼쪽</t>
  </si>
  <si>
    <t>6736787431</t>
  </si>
  <si>
    <t>다다하다장산점</t>
  </si>
  <si>
    <t>540215391470</t>
  </si>
  <si>
    <t>25100051580368</t>
  </si>
  <si>
    <t>권유진</t>
  </si>
  <si>
    <t>lo*****@ho</t>
  </si>
  <si>
    <t>0502-1654-1737</t>
  </si>
  <si>
    <t>부산광역시 해운대구 좌동로 105 1층 ( 좌동 )</t>
  </si>
  <si>
    <t>매장안에 부탁드립니다</t>
  </si>
  <si>
    <t>6732101443</t>
  </si>
  <si>
    <t>임무열</t>
  </si>
  <si>
    <t>SE305호 떡비닐(외겹) 39x40 1000매 투명</t>
  </si>
  <si>
    <t>540215391632</t>
  </si>
  <si>
    <t>21100051630553</t>
  </si>
  <si>
    <t>gg*****@na</t>
  </si>
  <si>
    <t>0502-1744-6419</t>
  </si>
  <si>
    <t>경상북도 영천시 시장로 47-2 조은밥상 ( 완산동 )</t>
  </si>
  <si>
    <t>6733215606</t>
  </si>
  <si>
    <t>동해수산</t>
  </si>
  <si>
    <t>530218428490</t>
  </si>
  <si>
    <t>24061003</t>
  </si>
  <si>
    <t>010-6313-8011</t>
  </si>
  <si>
    <t>대구 동구 아양로37길 31 동서시장내 동해수산</t>
  </si>
  <si>
    <t>530218428431</t>
  </si>
  <si>
    <t>24061002</t>
  </si>
  <si>
    <t>박명미란</t>
  </si>
  <si>
    <t>SE204호 (떡비닐 1롤) 30cmX400M</t>
  </si>
  <si>
    <t>SE204 (떡비닐 1롤) 30cmX400M 투명 떡 롤 마끼 깔개 떡집 전용, 1개</t>
  </si>
  <si>
    <t>540216967170</t>
  </si>
  <si>
    <t>16100052233808</t>
  </si>
  <si>
    <t>to*****@ha</t>
  </si>
  <si>
    <t>0502-1675-6673</t>
  </si>
  <si>
    <t>전라남도 나주시 다시면 문동리 770 지엘</t>
  </si>
  <si>
    <t>지엘 창고 안에 넣어주세요.</t>
  </si>
  <si>
    <t>6741524152</t>
  </si>
  <si>
    <t>SE205호 (떡비닐 1롤) 35cmX400M</t>
  </si>
  <si>
    <t xml:space="preserve"> 투명 떡 롤 마끼 깔개 떡집 전용, 1개</t>
  </si>
  <si>
    <t>류용재</t>
  </si>
  <si>
    <t>540216957786</t>
  </si>
  <si>
    <t>16100052244396</t>
  </si>
  <si>
    <t>ry*****@ha</t>
  </si>
  <si>
    <t>0502-1241-0308</t>
  </si>
  <si>
    <t>경상북도 구미시 수출대로21길 4 107호 동구미떡집 ( 황상동, 신화오페라하우스 )</t>
  </si>
  <si>
    <t>6741864358</t>
  </si>
  <si>
    <t>해피앤댕</t>
  </si>
  <si>
    <t>530217935675</t>
  </si>
  <si>
    <t>8100051985118</t>
  </si>
  <si>
    <t>권보민</t>
  </si>
  <si>
    <t>sk*****@na</t>
  </si>
  <si>
    <t>0502-1253-6938</t>
  </si>
  <si>
    <t>충청북도 청주시 청원구 율봉로116번길 24 102호 해피앤댕 ( 율량동 )</t>
  </si>
  <si>
    <t>6744153179</t>
  </si>
  <si>
    <t>부평집</t>
  </si>
  <si>
    <t>540216957602</t>
  </si>
  <si>
    <t>3100052051031</t>
  </si>
  <si>
    <t>김유리</t>
  </si>
  <si>
    <t>ky*****@na</t>
  </si>
  <si>
    <t>0502-1492-5252</t>
  </si>
  <si>
    <t>인천광역시 부평구 길주남로10번길 21 105동 1803호 ( 부평동, 래미안부평 )</t>
  </si>
  <si>
    <t>6744562999</t>
  </si>
  <si>
    <t>이향수</t>
  </si>
  <si>
    <t>SE306 떡비닐(외겹) 20X20 3000매 투명</t>
  </si>
  <si>
    <t>540216957624</t>
  </si>
  <si>
    <t>29100051943650</t>
  </si>
  <si>
    <t>36*****@gm</t>
  </si>
  <si>
    <t>0502-1355-3176</t>
  </si>
  <si>
    <t>전라북도 정읍시 산내면 태산로 683-18 스테이옥정</t>
  </si>
  <si>
    <t>6745647661</t>
  </si>
  <si>
    <t>이혜영</t>
  </si>
  <si>
    <t>SE111호 4x70x110 김장 고추 10근 봉투 10매</t>
  </si>
  <si>
    <t>540216957565</t>
  </si>
  <si>
    <t>2100051837419</t>
  </si>
  <si>
    <t>0502-1490-2390</t>
  </si>
  <si>
    <t>경기도 고양시 일산서구 후곡로 10 905동 304호 ( 일산동, 후곡마을9단지아파트 )</t>
  </si>
  <si>
    <t>6747857301</t>
  </si>
  <si>
    <t>SE114호 6x90x130 김장 고추 20근 봉투 10매</t>
  </si>
  <si>
    <t>SE115호 7x100x150 김장 고추 30근 봉투 5매</t>
  </si>
  <si>
    <t>540216957672</t>
  </si>
  <si>
    <t>21100052102927</t>
  </si>
  <si>
    <t>0502-5189-7894</t>
  </si>
  <si>
    <t>6748386882</t>
  </si>
  <si>
    <t>박창보</t>
  </si>
  <si>
    <t>SE201호 (떡비닐 1롤) 20cmX400M</t>
  </si>
  <si>
    <t>SE201 (떡비닐 1롤) 20cmX400M 투명 투명 떡 롤 마끼 깔개 떡집 전용, 1개</t>
  </si>
  <si>
    <t>540216957543</t>
  </si>
  <si>
    <t>22100051795908</t>
  </si>
  <si>
    <t>c8*****@na</t>
  </si>
  <si>
    <t>0504-4963-2948</t>
  </si>
  <si>
    <t>경기도 안양시 동안구 호계동 555-2 지하1층 b122, 123, 124호 하루,한끼</t>
  </si>
  <si>
    <t>6750436360</t>
  </si>
  <si>
    <t>하노이맥주밤거리</t>
  </si>
  <si>
    <t>SE122 막지 75x100 50p</t>
  </si>
  <si>
    <t>75L, 50개, 청색</t>
  </si>
  <si>
    <t>540216957451</t>
  </si>
  <si>
    <t>13100052165268</t>
  </si>
  <si>
    <t>한동현</t>
  </si>
  <si>
    <t>ha*****@na</t>
  </si>
  <si>
    <t>0502-4368-8242</t>
  </si>
  <si>
    <t>경기도 부천시 역곡동 78-7 1층 하노이맥주</t>
  </si>
  <si>
    <t>6751961463</t>
  </si>
  <si>
    <t>김은희</t>
  </si>
  <si>
    <t>530217935815</t>
  </si>
  <si>
    <t>23100052114583</t>
  </si>
  <si>
    <t>mi*****@da</t>
  </si>
  <si>
    <t>0502-4284-9467</t>
  </si>
  <si>
    <t>충청북도 청주시 흥덕구 오송읍 봉산2길 16 OK타워 203호 살롱 마인</t>
  </si>
  <si>
    <t>6752128839</t>
  </si>
  <si>
    <t>최희지</t>
  </si>
  <si>
    <t>530217935760</t>
  </si>
  <si>
    <t>13100052294586</t>
  </si>
  <si>
    <t>0502-4218-4060</t>
  </si>
  <si>
    <t>경기도 화성시 남양읍 남양로 671 더굿메이트빌딩 110호 (정직유부 화성시청점)</t>
  </si>
  <si>
    <t>살살 다뤄주세요!! 뒷문에(상가 안) 놔두고 연락주세요</t>
  </si>
  <si>
    <t>6756235018</t>
  </si>
  <si>
    <t>김종욱</t>
  </si>
  <si>
    <t>530217935804</t>
  </si>
  <si>
    <t>24061001</t>
  </si>
  <si>
    <t>모응순</t>
  </si>
  <si>
    <t>es*****@na</t>
  </si>
  <si>
    <t>0502-4691-3281</t>
  </si>
  <si>
    <t>경기도 과천시 별양로 11 203동 801호 ( 원문동, 과천 위버필드 )</t>
  </si>
  <si>
    <t>권세희</t>
  </si>
  <si>
    <t>떡비닐 외겹 5호 39x40 1000장 떡집 음식 포장 비닐 SE.305</t>
  </si>
  <si>
    <t>540216957661</t>
  </si>
  <si>
    <t>29100051972880</t>
  </si>
  <si>
    <t>이유미</t>
  </si>
  <si>
    <t>yu*****@ha</t>
  </si>
  <si>
    <t>0502-4626-7359</t>
  </si>
  <si>
    <t>부산광역시 연제구 연산동 1310-73 캐슬빌리지 204호</t>
  </si>
  <si>
    <t>6746590399</t>
  </si>
  <si>
    <t>530217935734</t>
  </si>
  <si>
    <t>6100052038770</t>
  </si>
  <si>
    <t>6752275714</t>
  </si>
  <si>
    <t>유금숙</t>
  </si>
  <si>
    <t>540216957716</t>
  </si>
  <si>
    <t>2024060992696311</t>
  </si>
  <si>
    <t>2024060990524471</t>
  </si>
  <si>
    <t>koak****</t>
  </si>
  <si>
    <t>010-8636-4037</t>
  </si>
  <si>
    <t>경상북도 경주시 금성로395번길 15 (성건동) 고산숯불</t>
  </si>
  <si>
    <t>2024060915016792</t>
  </si>
  <si>
    <t>2024060990524461</t>
  </si>
  <si>
    <t>윤혜영</t>
  </si>
  <si>
    <t>540216957801</t>
  </si>
  <si>
    <t>2024060979511031</t>
  </si>
  <si>
    <t>2024060970463081</t>
  </si>
  <si>
    <t>chac****</t>
  </si>
  <si>
    <t>010-4599-0208</t>
  </si>
  <si>
    <t>경기도 구리시 아치울길 34-9 (아천동) 호성아트빌 301호</t>
  </si>
  <si>
    <t>2024060912419436</t>
  </si>
  <si>
    <t>김영균</t>
  </si>
  <si>
    <t>540216957510</t>
  </si>
  <si>
    <t>2024060979465641</t>
  </si>
  <si>
    <t>2024060970394221</t>
  </si>
  <si>
    <t>kyg7****</t>
  </si>
  <si>
    <t>010-3481-7254</t>
  </si>
  <si>
    <t>세종특별자치시 금남면 성강길 35 서가네떡방</t>
  </si>
  <si>
    <t>2024060912409612</t>
  </si>
  <si>
    <t>소풍가다</t>
  </si>
  <si>
    <t>530217935701</t>
  </si>
  <si>
    <t>2024060861330961</t>
  </si>
  <si>
    <t>2024060843149951</t>
  </si>
  <si>
    <t>박일섭</t>
  </si>
  <si>
    <t>hggd****</t>
  </si>
  <si>
    <t>010-4812-3989</t>
  </si>
  <si>
    <t>경상북도 경주시 양남면 다래길 15 (양남면) 소풍가다</t>
  </si>
  <si>
    <t>2024060898818086</t>
  </si>
  <si>
    <t>심정훈</t>
  </si>
  <si>
    <t>떡집모음: 떡외겹30x30 / 1000장 / SE.307</t>
  </si>
  <si>
    <t>540216957580</t>
  </si>
  <si>
    <t>2024060982004891</t>
  </si>
  <si>
    <t>2024060974196421</t>
  </si>
  <si>
    <t>sien****</t>
  </si>
  <si>
    <t>010-9011-7913</t>
  </si>
  <si>
    <t>서울특별시 강동구 천호대로 991 (천호동) 1층 시에나블루</t>
  </si>
  <si>
    <t>2024060912920888</t>
  </si>
  <si>
    <t>이호준</t>
  </si>
  <si>
    <t>떡비닐 외겹 20X20cm 떡집 포장 투명 비닐 음식 식품 선물 답례품 공장직영 LDPE</t>
  </si>
  <si>
    <t>540216957753</t>
  </si>
  <si>
    <t>2024060751990221</t>
  </si>
  <si>
    <t>2024060728991501</t>
  </si>
  <si>
    <t>morn****</t>
  </si>
  <si>
    <t>010-2665-5633</t>
  </si>
  <si>
    <t>경기도 평택시 고덕면 방축4길 22-6 (고덕면) 1동 1층</t>
  </si>
  <si>
    <t>2024060797031207</t>
  </si>
  <si>
    <t>경북고추방앗간</t>
  </si>
  <si>
    <t>540218460281</t>
  </si>
  <si>
    <t>24051121</t>
  </si>
  <si>
    <t>010-3539-1432</t>
  </si>
  <si>
    <t>대구 달성군 유가읍 유가길 5 경북고추방앗간</t>
  </si>
  <si>
    <t>진흥자재백화점</t>
  </si>
  <si>
    <t>540218448646</t>
  </si>
  <si>
    <t>24051120</t>
  </si>
  <si>
    <t>010-7511-6954</t>
  </si>
  <si>
    <t>경북 경주시 산내면 의곡중앙길 6</t>
  </si>
  <si>
    <t>알프스채소</t>
  </si>
  <si>
    <t>540218442066</t>
  </si>
  <si>
    <t>24061116</t>
  </si>
  <si>
    <t>010-9321-7001</t>
  </si>
  <si>
    <t>울산 울주군 언양읍 남부리 336-14 공설시장안쪽</t>
  </si>
  <si>
    <t>540218442103</t>
  </si>
  <si>
    <t>24061113</t>
  </si>
  <si>
    <t>7호 빨 2단 /5호 검 1단 /3호 흰10개 검 10개</t>
  </si>
  <si>
    <t>540218442173</t>
  </si>
  <si>
    <t>24061112</t>
  </si>
  <si>
    <t>제일농수산(만대로)</t>
  </si>
  <si>
    <t>530219497014</t>
  </si>
  <si>
    <t>24061104</t>
  </si>
  <si>
    <t>010-4194-9303</t>
  </si>
  <si>
    <t>강원특별자치도 원주시 만대로 119 (원주무실6단지휴먼시아) 604동 101호</t>
  </si>
  <si>
    <t>540218431920</t>
  </si>
  <si>
    <t>24061103</t>
  </si>
  <si>
    <t>540218431964</t>
  </si>
  <si>
    <t>24061102</t>
  </si>
  <si>
    <t>장철호</t>
  </si>
  <si>
    <t>끈속지 25x35 다용도 속지 막지 100매 투명 SE137</t>
  </si>
  <si>
    <t>530219199805</t>
  </si>
  <si>
    <t>2024061139997381</t>
  </si>
  <si>
    <t>2024061159500781</t>
  </si>
  <si>
    <t>futu****</t>
  </si>
  <si>
    <t>010-5241-9516</t>
  </si>
  <si>
    <t>010-5580-5662</t>
  </si>
  <si>
    <t>인천광역시 서구 검단천로356번길 30 (오류동, 승일금속(주)) 주식회사비에스씨</t>
  </si>
  <si>
    <t>2024061122315844</t>
  </si>
  <si>
    <t>이승미(누피케이크)</t>
  </si>
  <si>
    <t>530219199794</t>
  </si>
  <si>
    <t>2024061135522471</t>
  </si>
  <si>
    <t>2024061152406471</t>
  </si>
  <si>
    <t>이승미</t>
  </si>
  <si>
    <t>a900****</t>
  </si>
  <si>
    <t>010-8996-6731</t>
  </si>
  <si>
    <t>경기도 부천시 부천로 25 (심곡동, 노블레스부천) 307호 NOOPCAKE</t>
  </si>
  <si>
    <t>2024061121444125</t>
  </si>
  <si>
    <t>리미</t>
  </si>
  <si>
    <t>530219199886</t>
  </si>
  <si>
    <t>2024061133618511</t>
  </si>
  <si>
    <t>2024061149499101</t>
  </si>
  <si>
    <t>주경림</t>
  </si>
  <si>
    <t>sosl****</t>
  </si>
  <si>
    <t>010-5155-4619</t>
  </si>
  <si>
    <t>010-3168-6006</t>
  </si>
  <si>
    <t>경상남도 함안군 칠원읍 용산2길 40 (칠원읍) 1층 떡마당</t>
  </si>
  <si>
    <t>2024061121071697</t>
  </si>
  <si>
    <t>쓰레기 봉투 4호 63x90 50매 투명 청색 (파랑) 검정 비닐 막지 SE121 60L</t>
  </si>
  <si>
    <t>2024061149499091</t>
  </si>
  <si>
    <t>SE.121 (쓰레기)</t>
  </si>
  <si>
    <t>2024061149499081</t>
  </si>
  <si>
    <t>제주한울에프앤비</t>
  </si>
  <si>
    <t>530219199816</t>
  </si>
  <si>
    <t>2024061021934911</t>
  </si>
  <si>
    <t>2024061031222111</t>
  </si>
  <si>
    <t>고정아</t>
  </si>
  <si>
    <t>hanu****</t>
  </si>
  <si>
    <t>010-4784-8940</t>
  </si>
  <si>
    <t>제주특별자치도 제주시 한림읍 누운오름로 4 (한림읍)</t>
  </si>
  <si>
    <t>부재시 건물 뒤쪽 회색컨테이너안에 넣어주세요</t>
  </si>
  <si>
    <t>2024061018792483</t>
  </si>
  <si>
    <t>2024061031222101</t>
  </si>
  <si>
    <t>김지혜</t>
  </si>
  <si>
    <t>SE14호 29(41)x47 (특대B) 70p 유백 청백 검정 오랜지 보라</t>
  </si>
  <si>
    <t>540215391551</t>
  </si>
  <si>
    <t>2024060624280791</t>
  </si>
  <si>
    <t>2024060675963021</t>
  </si>
  <si>
    <t>jihy****</t>
  </si>
  <si>
    <t>010-3999-4733</t>
  </si>
  <si>
    <t>대구광역시 달서구 한들로 36 (장기동, 영남네오빌파크) 상가4호 농촌사람들</t>
  </si>
  <si>
    <t>2024060691504666</t>
  </si>
  <si>
    <t>SE14</t>
  </si>
  <si>
    <t>2024060675963011</t>
  </si>
  <si>
    <t>지연호</t>
  </si>
  <si>
    <t>530219199864</t>
  </si>
  <si>
    <t>10100052200112</t>
  </si>
  <si>
    <t>dp*****@na</t>
  </si>
  <si>
    <t>0502-4967-1112</t>
  </si>
  <si>
    <t>경기도 화성시 반송동 23-6 1층 104호 돈까스파는메밀집</t>
  </si>
  <si>
    <t>6756722511</t>
  </si>
  <si>
    <t>한은희</t>
  </si>
  <si>
    <t>530219199842</t>
  </si>
  <si>
    <t>3100052473841</t>
  </si>
  <si>
    <t>gk*****@gm</t>
  </si>
  <si>
    <t>0502-1701-0094</t>
  </si>
  <si>
    <t>전라남도 함평군 신광면 삼무길 6-5 두배로영농</t>
  </si>
  <si>
    <t>6758188008</t>
  </si>
  <si>
    <t>김성주</t>
  </si>
  <si>
    <t>540218123780</t>
  </si>
  <si>
    <t>23100052328356</t>
  </si>
  <si>
    <t>ks*****@ha</t>
  </si>
  <si>
    <t>0502-4991-1148</t>
  </si>
  <si>
    <t>부산광역시 강서구 명지동 3350 중흥S-클래스 에듀오션 202동 901호</t>
  </si>
  <si>
    <t>6759169429</t>
  </si>
  <si>
    <t>박용곤</t>
  </si>
  <si>
    <t>530219199901</t>
  </si>
  <si>
    <t>9100052293792</t>
  </si>
  <si>
    <t>dy*****@na</t>
  </si>
  <si>
    <t>0502-4178-9340</t>
  </si>
  <si>
    <t>경기도 하남시 망월동 1096-2 우성르보아리버 1층 104호</t>
  </si>
  <si>
    <t>6760554827</t>
  </si>
  <si>
    <t>손현주</t>
  </si>
  <si>
    <t>떡집모음: 떡외겹25x25 / 3000장 / SE.303</t>
  </si>
  <si>
    <t>540218123824</t>
  </si>
  <si>
    <t>2024061017295381</t>
  </si>
  <si>
    <t>2024061023906341</t>
  </si>
  <si>
    <t>boy8****</t>
  </si>
  <si>
    <t>010-9558-1417</t>
  </si>
  <si>
    <t>경상북도 청도군 풍각면 송서로 63 (풍각면) 손가네식품</t>
  </si>
  <si>
    <t>2024061017886450</t>
  </si>
  <si>
    <t>윌로우(주)</t>
  </si>
  <si>
    <t>떡비닐 35cmX400m 롤 마끼 음식 식품 포장 투명 비닐 떡집 깔개 덮개 대용량 맞춤</t>
  </si>
  <si>
    <t>530219199912</t>
  </si>
  <si>
    <t>2024061016001981</t>
  </si>
  <si>
    <t>2024061021846441</t>
  </si>
  <si>
    <t>김성엽</t>
  </si>
  <si>
    <t>yeop****</t>
  </si>
  <si>
    <t>010-9372-6698</t>
  </si>
  <si>
    <t>경기도 수원시 장안구 수성로261번길 16 (정자동, 정자종합시장) 제 4층 409호 윌로우(주)</t>
  </si>
  <si>
    <t>2024061017632503</t>
  </si>
  <si>
    <t>최슬기</t>
  </si>
  <si>
    <t>530219199831</t>
  </si>
  <si>
    <t>2024061013568101</t>
  </si>
  <si>
    <t>2024061017985051</t>
  </si>
  <si>
    <t>seul****</t>
  </si>
  <si>
    <t>010-8420-5958</t>
  </si>
  <si>
    <t>경상남도 진주시 가호방아길43번길 32 (호탄동) 진주 금곡농협 로컬푸드 안 반찬가게</t>
  </si>
  <si>
    <t>2024061017151667</t>
  </si>
  <si>
    <t>최윤애</t>
  </si>
  <si>
    <t>530220372843</t>
  </si>
  <si>
    <t>24061203</t>
  </si>
  <si>
    <t>010-3358-2715</t>
  </si>
  <si>
    <t>강원특별자치도 원주시 지정면 신지정로 153-2</t>
  </si>
  <si>
    <t>박희종</t>
  </si>
  <si>
    <t>540219104841</t>
  </si>
  <si>
    <t>15100052626789</t>
  </si>
  <si>
    <t>qg*****@na</t>
  </si>
  <si>
    <t>0504-4978-6969</t>
  </si>
  <si>
    <t>서울특별시 용산구 이태원동 127-1 1층 피자레볼루션</t>
  </si>
  <si>
    <t>6767267005</t>
  </si>
  <si>
    <t>김혜진</t>
  </si>
  <si>
    <t>540219105143</t>
  </si>
  <si>
    <t>7100052575971</t>
  </si>
  <si>
    <t>gr*****@na</t>
  </si>
  <si>
    <t>0502-5080-8204</t>
  </si>
  <si>
    <t>인천광역시 부평구 부평동 134-23 승림아파트7차 101동302호</t>
  </si>
  <si>
    <t>6764458020</t>
  </si>
  <si>
    <t>김소희</t>
  </si>
  <si>
    <t>540219104804</t>
  </si>
  <si>
    <t>2024061147312061</t>
  </si>
  <si>
    <t>2024061171125061</t>
  </si>
  <si>
    <t>fung****</t>
  </si>
  <si>
    <t>010-2254-5827</t>
  </si>
  <si>
    <t>경기도 광명시 범안로 1050 (하안동) 성보빌딩 202호</t>
  </si>
  <si>
    <t>2024061123740468</t>
  </si>
  <si>
    <t>김태희</t>
  </si>
  <si>
    <t>SE13호 29(41)x45 (특대A60) 60p 투명,검정,빨강</t>
  </si>
  <si>
    <t>530220193050</t>
  </si>
  <si>
    <t>2024061146002961</t>
  </si>
  <si>
    <t>2024061169075231</t>
  </si>
  <si>
    <t>kth9****</t>
  </si>
  <si>
    <t>010-5652-5279</t>
  </si>
  <si>
    <t>055-533-5288</t>
  </si>
  <si>
    <t>경상남도 창녕군 창녕읍 초막1길 2 (창녕읍) 영도축산</t>
  </si>
  <si>
    <t>2024061123489307</t>
  </si>
  <si>
    <t>SE13</t>
  </si>
  <si>
    <t>빅팜 주식회사</t>
  </si>
  <si>
    <t>왕왕 유백 1단 /왕대 유백 1단 /특대 유백1딘</t>
  </si>
  <si>
    <t>530220762684</t>
  </si>
  <si>
    <t>24061301</t>
  </si>
  <si>
    <t>053-795-8868</t>
  </si>
  <si>
    <t>대구 수성구 달구벌대로568길 6</t>
  </si>
  <si>
    <t>서유승</t>
  </si>
  <si>
    <t>떡집모음: 떡외겹39x40 / 1000장 / SE.305</t>
  </si>
  <si>
    <t>540220887192</t>
  </si>
  <si>
    <t>2024061426118371</t>
  </si>
  <si>
    <t>2024061488329411</t>
  </si>
  <si>
    <t>서치식</t>
  </si>
  <si>
    <t>tjcl****</t>
  </si>
  <si>
    <t>010-5367-6762</t>
  </si>
  <si>
    <t>055-283-0006</t>
  </si>
  <si>
    <t>경상남도 창원시 성산구 상남동 16 상남재래시장 3층 C361호 3대할매충무김밥</t>
  </si>
  <si>
    <t>2024061436929739</t>
  </si>
  <si>
    <t>떡집모음: 떡외겹15x20 / 3000장 / SE.301</t>
  </si>
  <si>
    <t>2024061488329401</t>
  </si>
  <si>
    <t>2024061488329391</t>
  </si>
  <si>
    <t>정은혜</t>
  </si>
  <si>
    <t>530221962053</t>
  </si>
  <si>
    <t>2024061311915071</t>
  </si>
  <si>
    <t>2024061366372881</t>
  </si>
  <si>
    <t>kdjl****</t>
  </si>
  <si>
    <t>010-3652-1436</t>
  </si>
  <si>
    <t>경상남도 진주시 사들로123번길 16 (충무공동) 휴니온팝 201호 사천형제국밥</t>
  </si>
  <si>
    <t>2024061334230765</t>
  </si>
  <si>
    <t>이혜원</t>
  </si>
  <si>
    <t>530221956313</t>
  </si>
  <si>
    <t>15100052913982</t>
  </si>
  <si>
    <t>pt*****@na</t>
  </si>
  <si>
    <t>0502-1243-1345</t>
  </si>
  <si>
    <t>경기도 안양시 만안구 안양로 307 금상타워 9층 더원바리스타제과제빵학원 ( 안양동 )</t>
  </si>
  <si>
    <t>6776916588</t>
  </si>
  <si>
    <t>이경근</t>
  </si>
  <si>
    <t>SE137호 25x35 ( 끈속지 / 다용도 ) 100매</t>
  </si>
  <si>
    <t>530221956405</t>
  </si>
  <si>
    <t>3100053050540</t>
  </si>
  <si>
    <t>ru*****@na</t>
  </si>
  <si>
    <t>0502-4691-6905</t>
  </si>
  <si>
    <t>인천광역시 남동구 문화서로4번길 25-4 보노통닭 ( 구월동 )</t>
  </si>
  <si>
    <t>6777013014</t>
  </si>
  <si>
    <t>SE5호 24(34)x37 (대70) 140매 투명 검정 빨강 연두</t>
  </si>
  <si>
    <t>아시아마트</t>
  </si>
  <si>
    <t>530221956324</t>
  </si>
  <si>
    <t>5100052864365</t>
  </si>
  <si>
    <t>김창우</t>
  </si>
  <si>
    <t>vu*****@na</t>
  </si>
  <si>
    <t>0504-4976-4213</t>
  </si>
  <si>
    <t>경상남도 창녕군 남지읍 동포옛길 13 경상남도 창녕군 남지읍 동포옛 길13</t>
  </si>
  <si>
    <t>6778635144</t>
  </si>
  <si>
    <t>김명석</t>
  </si>
  <si>
    <t>530221956346</t>
  </si>
  <si>
    <t>1100052867012</t>
  </si>
  <si>
    <t>gm*****@na</t>
  </si>
  <si>
    <t>0502-1771-0620</t>
  </si>
  <si>
    <t>경기도 성남시 중원구 상대원동 333-7 금강펜테리움IT타워 B동 702호</t>
  </si>
  <si>
    <t>6780078226</t>
  </si>
  <si>
    <t>노현주</t>
  </si>
  <si>
    <t>SE102호 투명 LDPE 12X26 100p</t>
  </si>
  <si>
    <t>530221956291</t>
  </si>
  <si>
    <t>2024061422384521</t>
  </si>
  <si>
    <t>2024061482493251</t>
  </si>
  <si>
    <t>bm02****</t>
  </si>
  <si>
    <t>010-5624-9942</t>
  </si>
  <si>
    <t>경기도 광주시 도척면 국사봉로 121-47 (도척면) 진우리</t>
  </si>
  <si>
    <t>2024061436221127</t>
  </si>
  <si>
    <t>SE102</t>
  </si>
  <si>
    <t>박지숙</t>
  </si>
  <si>
    <t>540220887284</t>
  </si>
  <si>
    <t>2024061421604441</t>
  </si>
  <si>
    <t>2024061481330401</t>
  </si>
  <si>
    <t>choc****</t>
  </si>
  <si>
    <t>010-7933-1436</t>
  </si>
  <si>
    <t>인천광역시 부평구 안남로 260 (산곡동, 현대아파트) 506동 1516호</t>
  </si>
  <si>
    <t>2024061436072113</t>
  </si>
  <si>
    <t>2024061481330391</t>
  </si>
  <si>
    <t>안민호</t>
  </si>
  <si>
    <t>540220887015</t>
  </si>
  <si>
    <t>2024061310230351</t>
  </si>
  <si>
    <t>2024061363875971</t>
  </si>
  <si>
    <t>dark****</t>
  </si>
  <si>
    <t>010-4184-2843</t>
  </si>
  <si>
    <t>경상북도 김천시 용전1로 9 (율곡동, 힐스테이트 율곡) 112동 501호</t>
  </si>
  <si>
    <t>2024061333919012</t>
  </si>
  <si>
    <t>2024061363875961</t>
  </si>
  <si>
    <t>전경숙</t>
  </si>
  <si>
    <t>540220887030</t>
  </si>
  <si>
    <t>8100053068945</t>
  </si>
  <si>
    <t>bi*****@na</t>
  </si>
  <si>
    <t>0504-4937-7658</t>
  </si>
  <si>
    <t>경기도 광주시 중앙로335번길 42 104동102호 ( 송정동, 송정동 대주파크빌 )</t>
  </si>
  <si>
    <t>6779349406</t>
  </si>
  <si>
    <t>관반</t>
  </si>
  <si>
    <t>왕대A</t>
  </si>
  <si>
    <t>고추 45*75</t>
  </si>
  <si>
    <t>이불대</t>
  </si>
  <si>
    <t>이불중</t>
  </si>
  <si>
    <t xml:space="preserve">왕특A </t>
  </si>
  <si>
    <t>고추 70*110</t>
  </si>
  <si>
    <t>고추 90*130</t>
  </si>
  <si>
    <t>고추 100*150</t>
  </si>
  <si>
    <t>x</t>
  </si>
  <si>
    <t>특대C</t>
  </si>
  <si>
    <t>대A</t>
  </si>
  <si>
    <t>합</t>
  </si>
  <si>
    <t xml:space="preserve">비닐  </t>
  </si>
  <si>
    <t>떡비닐 1롤 35cmX400M 투명 롤마끼 떡깔개 일타 떡집 타갬비닐 떡포장 SE205  SE.205</t>
  </si>
  <si>
    <t>떡비닐 1롤 45cmX330M 투명 롤마끼 떡깔개 일타 떡집 타갬비닐 떡포장 SE206  SE.206</t>
  </si>
  <si>
    <t>SE9호 27(38)x43 (관반70) 70p 투명 유백 검정 노랑 오랜지 보라 컬러: 보라 SE9</t>
  </si>
  <si>
    <t>떡비닐(외겹) 30X30 1000p 투명 SE307  SE.307</t>
  </si>
  <si>
    <t>떡비닐(외겹) 39x40 1000p 투명 SE305  SE.305</t>
  </si>
  <si>
    <t>떡비닐(외겹) 30x38 1000p 투명 SE304  SE.304</t>
  </si>
  <si>
    <t xml:space="preserve">떡비닐 떡롤 6호 45cmX330m 떡집 식품 다용도 포장 비닐 SE.206 1개, 1롤 </t>
  </si>
  <si>
    <t>SE101 - SE107,1000P), ***1단*** SE.102(1000P12X26), 1개 묶음</t>
  </si>
  <si>
    <t>SE101 - SE107,1000P), ***1단*** SE.103(1000P15X32), 1개 묶음</t>
  </si>
  <si>
    <t>SE206호 (떡비닐 1롤) 45cmX330M  투명 떡 롤 마끼 깔개 떡집 전용 일타 타개형, 1개 세은 010-8498-0064</t>
  </si>
  <si>
    <t>SE105 소폭 20X38 100p 1개 세은 010-8498-0064</t>
  </si>
  <si>
    <t>SE138호 30x45 ( 끈속지 / 다용도 ) 100매 단일상품 세은 010-8498-0064</t>
  </si>
  <si>
    <t>떡비닐 롤 외겹 투명 떡집 음식 식품 포장 비닐 업소용 마끼 떡깔개 싸개지 LDPE 떡집모음: 떡비닐(롤) 45x330m / SE.206 떡</t>
  </si>
  <si>
    <t xml:space="preserve">떡외겹 25*25   </t>
  </si>
  <si>
    <t>SE201 떡비닐 20cmX400 투명  SE.201</t>
  </si>
  <si>
    <t>떡비닐 롤 외겹 투명 떡집 음식 식품 포장 비닐 업소용 마끼 떡깔개 싸개지 LDPE 떡집모음: 떡비닐(롤) 35x400m / SE.205 떡</t>
  </si>
  <si>
    <t>떡비닐 롤 외겹 투명 떡집 음식 식품 포장 비닐 업소용 마끼 떡깔개 싸개지 LDPE 떡집모음: 떡비닐(롤) 24x400m / SE.203 떡</t>
  </si>
  <si>
    <t>떡비닐 롤 외겹 투명 떡집 음식 식품 포장 비닐 업소용 마끼 떡깔개 싸개지 LDPE 떡집모음: 떡비닐(롤) 30x400m / SE.204 떡</t>
  </si>
  <si>
    <t>손잡이봉투 장바구니 투명 검정 청백 빨강 분리수거 배접 비닐봉지 재활용 쓰레기봉투 종류: 06. 무지봉투 2호 / 컬러: 청백 M</t>
  </si>
  <si>
    <t>손잡이봉투 장바구니 투명 검정 청백 빨강 분리수거 배접 비닐봉지 재활용 쓰레기봉투 종류: 03. 일반봉투 3호 / 컬러: 유백 M</t>
  </si>
  <si>
    <t>크린롤백 위생팩 위생비닐봉투 시장 마트 야채봉투 투명: 롤백3호 35X50(200m) - 약400매 SE406.407.408</t>
  </si>
  <si>
    <t>떡비닐 30cmX400m 롤 마끼 음식 포장 투명 비닐 떡집 깔개 덮개 대용량 맞춤  SE.204</t>
  </si>
  <si>
    <t>SE307 떡비닐(외겹) 30X30 1000매 투명 1000개 세은 010-8498-0064</t>
  </si>
  <si>
    <t>SE102 소폭 12X26 100p 1개 세은 010-8498-0064</t>
  </si>
  <si>
    <t>SE101 소폭 10X26 100p 1개 세은 010-8498-0064</t>
  </si>
  <si>
    <t>SE108호 3.5x45x75 김장 고추 봉투 10매 단일상품 세은 010-8498-0064</t>
  </si>
  <si>
    <t>SE28호 65(85)X100 (이불봉투 - 대) 60p 유백 검정 컬러: 유백 SE28</t>
  </si>
  <si>
    <t>SE27호 57(73)X90 (이불봉투 - 중) 60p  유백 검정 컬러: 유백 SE27</t>
  </si>
  <si>
    <t>SE105호 투명 LDPE 20X38 100p 단무지 (100매) 봉지 식당 비닐 김밥 포장 반찬 국 양념 다용도 PE봉투  SE105</t>
  </si>
  <si>
    <t>떡비닐(외겹) 20X20 3000p 투명 SE306  SE.306</t>
  </si>
  <si>
    <t>투명 다용도 비닐 봉투 모음 100P 단무지 반찬 야채 가게 식당 시장 포장 보관 봉지 선택1: 투명다용도봉투6호(24x38/SE.106) 투명다용도봉투 모음</t>
  </si>
  <si>
    <t xml:space="preserve">7호 노란끈 투명 2단  </t>
  </si>
  <si>
    <t xml:space="preserve"> 6호 유백  2단   </t>
  </si>
  <si>
    <t xml:space="preserve">5호 투명 100P  2단     </t>
  </si>
  <si>
    <t xml:space="preserve">. 사이즈,수량,색상: 20ℓ(40x60) 100매 투명  </t>
  </si>
  <si>
    <t xml:space="preserve">사이즈,수량,색상: 60ℓ(63x90) 50매 검정  </t>
  </si>
  <si>
    <t xml:space="preserve">떡롤 떡외겹 [모음] 떡비닐 5호(35x400), 1개 </t>
  </si>
  <si>
    <t xml:space="preserve">떡롤 떡외겹 [모음] 떡롤 떡깔개 떡집 [모음] 떡제조 전문집 약과 투명한 포장 떡외겹 싸게지 떡싸게지 롤마끼 마끼롤 떡집전문 떡봉지 떡봉투 떡비닐, 떡비닐 1호, 1개 </t>
  </si>
  <si>
    <t xml:space="preserve">과일봉지  </t>
  </si>
  <si>
    <t>떡비닐 1롤 30cmX400M 투명 롤마끼 떡깔개 일타 떡집 타갬비닐 떡포장 SE204  SE.204</t>
  </si>
  <si>
    <t>SE22호 37(51)x60 (왕특A) 60p 투명 검정 빨강 보라 컬러: 검정 SE22</t>
  </si>
  <si>
    <t>떡비닐(외겹) 25X25 3000p 투명 SE303  SE.303</t>
  </si>
  <si>
    <t xml:space="preserve">떡비닐 외겹 7호 30x30 1000장 떡집 음식 포장 비닐 SE.307 1묶음 </t>
  </si>
  <si>
    <t xml:space="preserve">떡비닐  </t>
  </si>
  <si>
    <t>떡비닐 외겹 30X30cm 떡집 포장 투명 비닐 음식 식품 선물 답례품 공장직영 LDPE  SE.307</t>
  </si>
  <si>
    <t>손잡이봉투 장바구니 투명 검정 청백 빨강 분리수거 배접 비닐봉지 재활용 쓰레기봉투 종류: 05. 무지봉투 1호 / 컬러: 검정 M</t>
  </si>
  <si>
    <t>투명 다용도 비닐 봉투 모음 100P 단무지 반찬 야채 가게 식당 시장 포장 보관 봉지 선택1: 투명다용도봉투7호(30x51/SE.107) 투명다용도봉투 모음</t>
  </si>
  <si>
    <t>SE21호 37(51)x59 (왕특B) 70p 유백 검정 빨강 오랜지 컬러: 유백 SE21</t>
  </si>
  <si>
    <t>SE18호 33(46)x53 (왕대) 60p 투명,청백,검정,빨강 컬러: 청백 SE18</t>
  </si>
  <si>
    <t>SE107호 투명 LDPE 30X51 100p  SE107</t>
  </si>
  <si>
    <t>SE108호 3.5x45x75 (김장봉투) 10매 2근  SE108</t>
  </si>
  <si>
    <t>SE103호 투명 LDPE 15X32 100p  SE103</t>
  </si>
  <si>
    <t xml:space="preserve">떡비닐 떡롤 5호 35cmX400m 떡집 음식 다용도 포장 비닐 SE.205 1개, 1롤 </t>
  </si>
  <si>
    <t>SE305호 떡비닐(외겹) 39x40 1000매 투명 1000개 세은 010-8498-0064</t>
  </si>
  <si>
    <t>SE204호 (떡비닐 1롤) 30cmX400M SE204 (떡비닐 1롤) 30cmX400M 투명 떡 롤 마끼 깔개 떡집 전용, 1개 세은 010-8498-0064</t>
  </si>
  <si>
    <t>SE205호 (떡비닐 1롤) 35cmX400M  투명 떡 롤 마끼 깔개 떡집 전용, 1개 세은 010-8498-0064</t>
  </si>
  <si>
    <t>SE306 떡비닐(외겹) 20X20 3000매 투명 단일상품 세은 010-8498-0064</t>
  </si>
  <si>
    <t>SE111호 4x70x110 김장 고추 10근 봉투 10매 단일상품 세은 010-8498-0064</t>
  </si>
  <si>
    <t>SE114호 6x90x130 김장 고추 20근 봉투 10매 1개 세은 010-8498-0064</t>
  </si>
  <si>
    <t>SE115호 7x100x150 김장 고추 30근 봉투 5매 5개 세은 010-8498-0064</t>
  </si>
  <si>
    <t>SE201호 (떡비닐 1롤) 20cmX400M SE201 (떡비닐 1롤) 20cmX400M 투명 투명 떡 롤 마끼 깔개 떡집 전용, 1개 세은 010-8498-0064</t>
  </si>
  <si>
    <t>SE122 막지 75x100 50p 75L, 50개, 청색 세은 010-8498-0064</t>
  </si>
  <si>
    <t>떡비닐 외겹 3호 25x25 3000장 떡집 음식 포장 비닐 SE.303 1묶음 떡비닐 외겹 3호 25x25 3000장 떡집 음식 포장 비닐 SE.303</t>
  </si>
  <si>
    <t xml:space="preserve">떡비닐 외겹 5호 39x40 1000장 떡집 음식 포장 비닐 SE.305 1묶음 </t>
  </si>
  <si>
    <t xml:space="preserve">떡비닐 외겹 3호 25x25 3000장 떡집 음식 포장 비닐 SE.303 1묶음 </t>
  </si>
  <si>
    <t>떡비닐 롤 외겹 투명 떡집 음식 식품 포장 비닐 업소용 마끼 떡깔개 싸개지 LDPE 떡집모음: 떡외겹30x30 / 1000장 / SE.307 떡</t>
  </si>
  <si>
    <t>떡비닐 외겹 20X20cm 떡집 포장 투명 비닐 음식 식품 선물 답례품 공장직영 LDPE  SE.306</t>
  </si>
  <si>
    <t xml:space="preserve">7호 빨 2단 /5호 검 1단 /3호 흰10개 검 10개  </t>
  </si>
  <si>
    <t>끈속지 25x35 다용도 속지 막지 100매 투명 SE137  SE.137</t>
  </si>
  <si>
    <t>쓰레기 봉투 4호 63x90 50매 투명 청색 (파랑) 검정 비닐 막지 SE121 60L 컬러: 검정 SE.121 (쓰레기)</t>
  </si>
  <si>
    <t>SE14호 29(41)x47 (특대B) 70p 유백 청백 검정 오랜지 보라 컬러: 보라 SE14</t>
  </si>
  <si>
    <t>SE22호 37(51)x60 (왕특A) 60p 투명 검정 빨강 보라 컬러: 보라 SE22</t>
  </si>
  <si>
    <t>떡비닐 롤 외겹 투명 떡집 음식 식품 포장 비닐 업소용 마끼 떡깔개 싸개지 LDPE 떡집모음: 떡외겹25x25 / 3000장 / SE.303 떡</t>
  </si>
  <si>
    <t>떡비닐 35cmX400m 롤 마끼 음식 식품 포장 투명 비닐 떡집 깔개 덮개 대용량 맞춤  SE.205</t>
  </si>
  <si>
    <t>SE13호 29(41)x45 (특대A60) 60p 투명,검정,빨강 컬러: 검정 SE13</t>
  </si>
  <si>
    <t>쓰레기 봉투 모음 20L 110L 대형 비닐 재활용 분리수거 봉지 이불 이사 다용도 포장 모델: 쓰레기봉투 1호 20L (SE.118) / 색상: 투명 쓰레기봉투</t>
  </si>
  <si>
    <t>SE101 - SE107,1000P), ***1단*** SE101 - SE107 LDPE(100PX10=1000P) 투명 단무지봉지 일반 비닐봉투 음식전용 다용도 분리수거 반찬용 포장 단무지, SE.107(1000P30X51), 1개 묶음</t>
  </si>
  <si>
    <t xml:space="preserve">왕왕 유백 1단 /왕대 유백 1단 /특대 유백1딘  </t>
  </si>
  <si>
    <t>SE116호 7x120x170 김장 고추 50근 봉투 5매 5개 세은 010-8498-0064</t>
  </si>
  <si>
    <t>SE103 소폭 15X32 100p 1개 세은 010-8498-0064</t>
  </si>
  <si>
    <t>SE104 소폭 18X36 100p 1개 세은 010-8498-0064</t>
  </si>
  <si>
    <t>떡비닐 1롤 22cmX400M 투명 롤마끼 떡깔개 일타 떡집 타갬비닐 떡포장 SE202  SE.202</t>
  </si>
  <si>
    <t>떡비닐 롤 외겹 투명 떡집 음식 식품 포장 비닐 업소용 마끼 떡깔개 싸개지 LDPE 떡집모음: 떡외겹39x40 / 1000장 / SE.305 떡</t>
  </si>
  <si>
    <t>떡비닐 롤 외겹 투명 떡집 음식 식품 포장 비닐 업소용 마끼 떡깔개 싸개지 LDPE 떡집모음: 떡외겹15x20 / 3000장 / SE.301 떡</t>
  </si>
  <si>
    <t>SE137호 25x35 ( 끈속지 / 다용도 ) 100매 단일상품 세은 010-8498-0064</t>
  </si>
  <si>
    <t>SE5호 24(34)x37 (대70) 140매 투명 검정 빨강 연두 투명 세은 010-8498-0064</t>
  </si>
  <si>
    <t>SE102호 투명 LDPE 12X26 100p  SE102</t>
  </si>
  <si>
    <t>0</t>
  </si>
  <si>
    <t>45470338</t>
  </si>
  <si>
    <t>45470689</t>
  </si>
  <si>
    <t>45470286</t>
  </si>
  <si>
    <t>45470237</t>
  </si>
  <si>
    <t>45470899</t>
  </si>
  <si>
    <t>45470995</t>
  </si>
  <si>
    <t>45470394</t>
  </si>
  <si>
    <t>45470734</t>
  </si>
  <si>
    <t>45470770</t>
  </si>
  <si>
    <t>45470535</t>
  </si>
  <si>
    <t>45470453</t>
  </si>
  <si>
    <t>45470870</t>
  </si>
  <si>
    <t>45470585</t>
  </si>
  <si>
    <t>45470121</t>
  </si>
  <si>
    <t>45470272</t>
  </si>
  <si>
    <t>45470646</t>
  </si>
  <si>
    <t>45470688</t>
  </si>
  <si>
    <t>45470625</t>
  </si>
  <si>
    <t>45470670</t>
  </si>
  <si>
    <t>45470736</t>
  </si>
  <si>
    <t>45470376</t>
  </si>
  <si>
    <t>45470581</t>
  </si>
  <si>
    <t>45470139</t>
  </si>
  <si>
    <t>45470873</t>
  </si>
  <si>
    <t>45470966</t>
  </si>
  <si>
    <t>45470808</t>
  </si>
  <si>
    <t>45470469</t>
  </si>
  <si>
    <t>Fee포함</t>
    <phoneticPr fontId="4" type="noConversion"/>
  </si>
  <si>
    <t>CJ배송비</t>
    <phoneticPr fontId="4" type="noConversion"/>
  </si>
  <si>
    <t>배송</t>
    <phoneticPr fontId="4" type="noConversion"/>
  </si>
  <si>
    <t>모두적용
검색</t>
    <phoneticPr fontId="4" type="noConversion"/>
  </si>
  <si>
    <t>총 배송 개수</t>
    <phoneticPr fontId="4" type="noConversion"/>
  </si>
  <si>
    <t>8.0.3</t>
    <phoneticPr fontId="26" type="noConversion"/>
  </si>
  <si>
    <t>https://innks.github.io/asset/8.0.5.xlsm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</si>
</sst>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-* #,##0_-;\-* #,##0_-;_-* &quot;-&quot;_-;_-@_-"/>
    <numFmt numFmtId="176" formatCode="#,##0_ "/>
    <numFmt numFmtId="177" formatCode="0.0%"/>
    <numFmt numFmtId="178" formatCode="0_);[Red]\(0\)"/>
    <numFmt numFmtId="179" formatCode="yy&quot;-&quot;m&quot;-&quot;d;@"/>
    <numFmt numFmtId="180" formatCode="#,##0_);[Red]\(#,##0\)"/>
    <numFmt numFmtId="181" formatCode="yy/mm/dd\ \(aaa\);;"/>
    <numFmt numFmtId="182" formatCode="yy/mm/dd\ \(aaa\)"/>
    <numFmt numFmtId="183" formatCode="General;;"/>
    <numFmt numFmtId="184" formatCode="yyyy/mm/dd;;"/>
    <numFmt numFmtId="185" formatCode="yy/mm/dd"/>
    <numFmt numFmtId="186" formatCode="0_ "/>
    <numFmt numFmtId="187" formatCode="yy/mm/dd;;"/>
    <numFmt numFmtId="188" formatCode="0_);[Red]\(0\);;"/>
    <numFmt numFmtId="189" formatCode="#,##0_ ;[Red]\-#,##0\ "/>
    <numFmt numFmtId="190" formatCode="0_);[Red]\(0\);"/>
    <numFmt numFmtId="191" formatCode="00"/>
  </numFmts>
  <fonts count="86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Calibri"/>
      <family val="2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8"/>
      <name val="맑은 고딕"/>
      <family val="2"/>
      <charset val="129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666666"/>
      <name val="나눔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2"/>
      <color rgb="FF000000"/>
      <name val="나눔고딕"/>
      <family val="3"/>
      <charset val="129"/>
    </font>
    <font>
      <sz val="9"/>
      <color rgb="FF414141"/>
      <name val="나눔고딕"/>
      <family val="3"/>
      <charset val="129"/>
    </font>
    <font>
      <sz val="9"/>
      <color rgb="FF777777"/>
      <name val="나눔고딕"/>
      <family val="3"/>
      <charset val="129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Calibri"/>
      <family val="2"/>
    </font>
    <font>
      <sz val="11"/>
      <color theme="1" tint="0.499984740745262"/>
      <name val="Calibri"/>
      <family val="2"/>
    </font>
    <font>
      <sz val="10"/>
      <color theme="1" tint="0.499984740745262"/>
      <name val="Calibri"/>
      <family val="2"/>
    </font>
    <font>
      <sz val="8"/>
      <name val="돋움"/>
      <family val="3"/>
      <charset val="129"/>
    </font>
    <font>
      <sz val="11"/>
      <name val="Calibri"/>
      <family val="2"/>
    </font>
    <font>
      <sz val="10"/>
      <name val="Calibri"/>
      <family val="2"/>
    </font>
    <font>
      <sz val="10"/>
      <color theme="1"/>
      <name val="맑은 고딕"/>
      <family val="2"/>
      <charset val="129"/>
    </font>
    <font>
      <strike/>
      <sz val="1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color theme="0"/>
      <name val="돋움"/>
      <family val="3"/>
      <charset val="129"/>
    </font>
    <font>
      <u/>
      <sz val="11"/>
      <color theme="10"/>
      <name val="맑은 고딕"/>
      <family val="2"/>
      <charset val="129"/>
    </font>
    <font>
      <sz val="10"/>
      <name val="Calibri"/>
      <family val="2"/>
      <charset val="129"/>
    </font>
    <font>
      <sz val="10"/>
      <name val="맑은 고딕"/>
      <family val="2"/>
      <charset val="129"/>
    </font>
    <font>
      <sz val="10"/>
      <name val="Arial Unicode MS"/>
      <family val="2"/>
      <charset val="129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9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2"/>
      <charset val="129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</font>
    <font>
      <u/>
      <sz val="10"/>
      <color theme="1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 tint="0.34998626667073579"/>
      <name val="맑은 고딕"/>
      <family val="3"/>
      <charset val="129"/>
      <scheme val="minor"/>
    </font>
    <font>
      <sz val="11"/>
      <color theme="1" tint="0.3499862666707357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0"/>
      <color theme="1"/>
      <name val="Montserrat SemiBold"/>
    </font>
    <font>
      <sz val="60"/>
      <color theme="1"/>
      <name val="Montserrat ExtraBold"/>
    </font>
    <font>
      <sz val="10"/>
      <color rgb="FFFF2F2F"/>
      <name val="Montserrat SemiBold"/>
    </font>
    <font>
      <sz val="11"/>
      <color theme="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8"/>
      <color theme="0"/>
      <name val="맑은 고딕"/>
      <family val="2"/>
      <charset val="129"/>
      <scheme val="minor"/>
    </font>
    <font>
      <sz val="8"/>
      <color theme="0"/>
      <name val="맑은 고딕"/>
      <family val="3"/>
      <charset val="129"/>
      <scheme val="minor"/>
    </font>
    <font>
      <sz val="9"/>
      <color theme="1"/>
      <name val="Montserrat SemiBold"/>
    </font>
    <font>
      <sz val="8"/>
      <color theme="1"/>
      <name val="맑은 고딕"/>
      <family val="3"/>
      <charset val="129"/>
      <scheme val="minor"/>
    </font>
    <font>
      <sz val="22"/>
      <color theme="1"/>
      <name val="Montserrat ExtraBold"/>
    </font>
    <font>
      <b/>
      <sz val="9"/>
      <color theme="1"/>
      <name val="맑은 고딕"/>
      <family val="3"/>
      <charset val="129"/>
      <scheme val="minor"/>
    </font>
    <font>
      <sz val="8"/>
      <name val="Montserrat"/>
    </font>
    <font>
      <sz val="8"/>
      <name val="맑은 고딕"/>
      <family val="3"/>
      <charset val="129"/>
    </font>
    <font>
      <b/>
      <sz val="26"/>
      <name val="Montserrat"/>
    </font>
    <font>
      <sz val="8"/>
      <color theme="0" tint="-0.499984740745262"/>
      <name val="맑은 고딕"/>
      <family val="3"/>
      <charset val="129"/>
    </font>
    <font>
      <b/>
      <sz val="10"/>
      <color theme="0" tint="-0.34998626667073579"/>
      <name val="Montserrat"/>
    </font>
    <font>
      <b/>
      <sz val="9"/>
      <name val="Montserrat"/>
    </font>
    <font>
      <sz val="8"/>
      <color theme="0"/>
      <name val="Montserrat"/>
    </font>
    <font>
      <b/>
      <sz val="9"/>
      <color theme="0" tint="-0.34998626667073579"/>
      <name val="Montserrat"/>
    </font>
    <font>
      <b/>
      <sz val="22"/>
      <name val="Montserrat"/>
    </font>
    <font>
      <b/>
      <sz val="12"/>
      <color theme="0" tint="-0.34998626667073579"/>
      <name val="Montserrat"/>
    </font>
    <font>
      <b/>
      <sz val="16"/>
      <color theme="0" tint="-0.249977111117893"/>
      <name val="Montserrat"/>
    </font>
    <font>
      <b/>
      <sz val="12"/>
      <color theme="0" tint="-0.499984740745262"/>
      <name val="Montserrat"/>
    </font>
    <font>
      <b/>
      <sz val="16"/>
      <color theme="0" tint="-0.34998626667073579"/>
      <name val="Montserrat"/>
    </font>
    <font>
      <b/>
      <sz val="8"/>
      <name val="Montserrat"/>
    </font>
    <font>
      <b/>
      <sz val="11"/>
      <color rgb="FF1678F2"/>
      <name val="맑은 고딕"/>
      <family val="3"/>
      <charset val="129"/>
      <scheme val="minor"/>
    </font>
    <font>
      <b/>
      <sz val="9"/>
      <color rgb="FFF35467"/>
      <name val="Montserrat"/>
    </font>
    <font>
      <sz val="8"/>
      <color theme="0" tint="-0.34998626667073579"/>
      <name val="맑은 고딕"/>
      <family val="3"/>
      <charset val="129"/>
    </font>
    <font>
      <b/>
      <sz val="8"/>
      <color theme="0" tint="-0.499984740745262"/>
      <name val="Montserrat"/>
    </font>
    <font>
      <b/>
      <sz val="8"/>
      <color theme="0" tint="-0.34998626667073579"/>
      <name val="Montserrat"/>
    </font>
    <font>
      <sz val="8"/>
      <color rgb="FF00C73C"/>
      <name val="맑은 고딕"/>
      <family val="3"/>
      <charset val="129"/>
    </font>
    <font>
      <sz val="8"/>
      <color rgb="FFF35467"/>
      <name val="맑은 고딕"/>
      <family val="3"/>
      <charset val="129"/>
    </font>
    <font>
      <sz val="8"/>
      <color theme="0" tint="-0.34998626667073579"/>
      <name val="맑은 고딕"/>
      <family val="3"/>
      <charset val="129"/>
      <scheme val="minor"/>
    </font>
    <font>
      <b/>
      <sz val="9"/>
      <color theme="1"/>
      <name val="Montserrat SemiBold"/>
    </font>
    <font>
      <sz val="9"/>
      <color rgb="FFFF0000"/>
      <name val="Montserrat SemiBold"/>
    </font>
    <font>
      <sz val="24"/>
      <color theme="0"/>
      <name val="Montserrat ExtraBold"/>
    </font>
  </fonts>
  <fills count="29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211A1A"/>
        <bgColor indexed="64"/>
      </patternFill>
    </fill>
    <fill>
      <patternFill patternType="solid">
        <fgColor rgb="FFFFDC47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/>
        <bgColor theme="4"/>
      </patternFill>
    </fill>
    <fill>
      <patternFill patternType="solid">
        <fgColor rgb="FF2ABF77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35467"/>
        <bgColor indexed="64"/>
      </patternFill>
    </fill>
    <fill>
      <patternFill patternType="solid">
        <fgColor rgb="FFE622D8"/>
        <bgColor indexed="64"/>
      </patternFill>
    </fill>
    <fill>
      <patternFill patternType="solid">
        <fgColor rgb="FF6941C6"/>
        <bgColor indexed="64"/>
      </patternFill>
    </fill>
    <fill>
      <patternFill patternType="solid">
        <fgColor rgb="FFE96D8D"/>
        <bgColor indexed="64"/>
      </patternFill>
    </fill>
    <fill>
      <patternFill patternType="solid">
        <fgColor rgb="FFC81D4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CCCD2"/>
        <bgColor theme="4"/>
      </patternFill>
    </fill>
    <fill>
      <patternFill patternType="solid">
        <fgColor rgb="FFBAE2F4"/>
        <bgColor theme="4"/>
      </patternFill>
    </fill>
    <fill>
      <patternFill patternType="solid">
        <fgColor rgb="FFF7F7FA"/>
        <bgColor indexed="64"/>
      </patternFill>
    </fill>
    <fill>
      <patternFill patternType="solid">
        <fgColor rgb="FF56565A"/>
        <bgColor indexed="64"/>
      </patternFill>
    </fill>
    <fill>
      <patternFill patternType="solid">
        <fgColor rgb="FF31313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2F2F"/>
        <bgColor indexed="64"/>
      </patternFill>
    </fill>
  </fills>
  <borders count="26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hair">
        <color rgb="FFC7C7C7"/>
      </left>
      <right/>
      <top/>
      <bottom/>
      <diagonal/>
    </border>
    <border>
      <left style="hair">
        <color rgb="FFC7C7C7"/>
      </left>
      <right style="hair">
        <color rgb="FFC7C7C7"/>
      </right>
      <top style="hair">
        <color rgb="FFC7C7C7"/>
      </top>
      <bottom style="hair">
        <color rgb="FFC7C7C7"/>
      </bottom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 tint="0.39997558519241921"/>
      </left>
      <right style="thin">
        <color theme="4" tint="0.39997558519241921"/>
      </right>
      <top style="thin">
        <color theme="6" tint="0.39997558519241921"/>
      </top>
      <bottom style="thin">
        <color theme="6" tint="0.39997558519241921"/>
      </bottom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theme="4" tint="0.39991454817346722"/>
      </bottom>
      <diagonal/>
    </border>
    <border>
      <left style="hair">
        <color rgb="FFB2B2B2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</borders>
  <cellStyleXfs count="1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7" fillId="3" borderId="0" applyNumberFormat="0" applyBorder="0" applyAlignment="0" applyProtection="0">
      <alignment vertical="center"/>
    </xf>
    <xf numFmtId="0" fontId="37" fillId="2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45" fillId="4" borderId="0" applyNumberFormat="0" applyBorder="0" applyAlignment="0" applyProtection="0">
      <alignment vertical="center"/>
    </xf>
  </cellStyleXfs>
  <cellXfs count="322">
    <xf numFmtId="0" fontId="0" fillId="0" borderId="0" xfId="0">
      <alignment vertical="center"/>
    </xf>
    <xf numFmtId="0" fontId="3" fillId="0" borderId="0" xfId="3" applyFont="1">
      <alignment vertical="center"/>
    </xf>
    <xf numFmtId="0" fontId="2" fillId="0" borderId="0" xfId="3">
      <alignment vertical="center"/>
    </xf>
    <xf numFmtId="0" fontId="5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5" fillId="0" borderId="2" xfId="3" applyFont="1" applyBorder="1" applyAlignment="1">
      <alignment horizontal="center" vertical="center"/>
    </xf>
    <xf numFmtId="176" fontId="5" fillId="0" borderId="2" xfId="3" applyNumberFormat="1" applyFont="1" applyBorder="1" applyAlignment="1">
      <alignment horizontal="center" vertical="center"/>
    </xf>
    <xf numFmtId="0" fontId="9" fillId="0" borderId="0" xfId="3" applyFont="1" applyAlignment="1">
      <alignment horizontal="center" vertical="center"/>
    </xf>
    <xf numFmtId="49" fontId="3" fillId="0" borderId="0" xfId="3" applyNumberFormat="1" applyFont="1">
      <alignment vertical="center"/>
    </xf>
    <xf numFmtId="0" fontId="12" fillId="5" borderId="4" xfId="3" applyFont="1" applyFill="1" applyBorder="1" applyAlignment="1">
      <alignment horizontal="center" vertical="center"/>
    </xf>
    <xf numFmtId="0" fontId="13" fillId="5" borderId="4" xfId="3" applyFont="1" applyFill="1" applyBorder="1" applyAlignment="1">
      <alignment horizontal="center" vertical="center" wrapText="1"/>
    </xf>
    <xf numFmtId="0" fontId="10" fillId="0" borderId="0" xfId="3" applyFont="1" applyAlignment="1">
      <alignment horizontal="center" vertical="center"/>
    </xf>
    <xf numFmtId="0" fontId="10" fillId="7" borderId="0" xfId="3" applyFont="1" applyFill="1" applyAlignment="1">
      <alignment horizontal="center" vertical="center"/>
    </xf>
    <xf numFmtId="0" fontId="10" fillId="7" borderId="5" xfId="3" applyFont="1" applyFill="1" applyBorder="1" applyAlignment="1">
      <alignment horizontal="center" vertical="center"/>
    </xf>
    <xf numFmtId="0" fontId="10" fillId="0" borderId="0" xfId="3" applyFont="1" applyAlignment="1">
      <alignment horizontal="left" vertical="center"/>
    </xf>
    <xf numFmtId="0" fontId="14" fillId="0" borderId="0" xfId="3" applyFont="1" applyAlignment="1">
      <alignment vertical="center" wrapText="1"/>
    </xf>
    <xf numFmtId="0" fontId="16" fillId="0" borderId="0" xfId="3" applyFont="1" applyAlignment="1">
      <alignment horizontal="left" vertical="center"/>
    </xf>
    <xf numFmtId="0" fontId="16" fillId="9" borderId="0" xfId="3" applyFont="1" applyFill="1" applyAlignment="1">
      <alignment horizontal="center" vertical="center"/>
    </xf>
    <xf numFmtId="0" fontId="18" fillId="0" borderId="0" xfId="3" applyFont="1">
      <alignment vertical="center"/>
    </xf>
    <xf numFmtId="178" fontId="10" fillId="0" borderId="0" xfId="3" applyNumberFormat="1" applyFont="1" applyAlignment="1">
      <alignment horizontal="center" vertical="center"/>
    </xf>
    <xf numFmtId="0" fontId="19" fillId="0" borderId="0" xfId="3" applyFont="1">
      <alignment vertical="center"/>
    </xf>
    <xf numFmtId="0" fontId="20" fillId="0" borderId="0" xfId="3" applyFont="1">
      <alignment vertical="center"/>
    </xf>
    <xf numFmtId="0" fontId="2" fillId="0" borderId="0" xfId="3" applyAlignment="1">
      <alignment horizontal="center" vertical="center"/>
    </xf>
    <xf numFmtId="0" fontId="22" fillId="0" borderId="0" xfId="3" applyFont="1">
      <alignment vertical="center"/>
    </xf>
    <xf numFmtId="0" fontId="23" fillId="0" borderId="0" xfId="3" applyFont="1">
      <alignment vertical="center"/>
    </xf>
    <xf numFmtId="178" fontId="16" fillId="0" borderId="0" xfId="3" applyNumberFormat="1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9" fontId="16" fillId="0" borderId="0" xfId="3" applyNumberFormat="1" applyFont="1" applyAlignment="1">
      <alignment horizontal="center" vertical="center"/>
    </xf>
    <xf numFmtId="0" fontId="3" fillId="0" borderId="9" xfId="3" applyFont="1" applyBorder="1">
      <alignment vertical="center"/>
    </xf>
    <xf numFmtId="0" fontId="19" fillId="0" borderId="9" xfId="3" applyFont="1" applyBorder="1">
      <alignment vertical="center"/>
    </xf>
    <xf numFmtId="0" fontId="24" fillId="0" borderId="0" xfId="3" applyFont="1" applyAlignment="1">
      <alignment horizontal="center" vertical="center"/>
    </xf>
    <xf numFmtId="176" fontId="10" fillId="0" borderId="0" xfId="3" applyNumberFormat="1" applyFont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18" fillId="0" borderId="9" xfId="3" applyFont="1" applyBorder="1">
      <alignment vertical="center"/>
    </xf>
    <xf numFmtId="0" fontId="18" fillId="0" borderId="9" xfId="3" applyFont="1" applyBorder="1" applyAlignment="1">
      <alignment horizontal="center" vertical="center"/>
    </xf>
    <xf numFmtId="0" fontId="25" fillId="0" borderId="0" xfId="3" applyFont="1" applyAlignment="1">
      <alignment horizontal="center" vertical="center"/>
    </xf>
    <xf numFmtId="0" fontId="25" fillId="10" borderId="0" xfId="3" applyFont="1" applyFill="1" applyAlignment="1">
      <alignment horizontal="center" vertical="center"/>
    </xf>
    <xf numFmtId="0" fontId="23" fillId="0" borderId="0" xfId="3" applyFont="1" applyAlignment="1">
      <alignment vertical="top"/>
    </xf>
    <xf numFmtId="0" fontId="23" fillId="0" borderId="0" xfId="3" applyFont="1" applyAlignment="1">
      <alignment horizontal="center" vertical="center"/>
    </xf>
    <xf numFmtId="180" fontId="10" fillId="0" borderId="0" xfId="5" applyNumberFormat="1" applyFont="1" applyAlignment="1">
      <alignment horizontal="center" vertical="center"/>
    </xf>
    <xf numFmtId="0" fontId="23" fillId="0" borderId="10" xfId="3" applyFont="1" applyBorder="1" applyAlignment="1">
      <alignment horizontal="left" vertical="top"/>
    </xf>
    <xf numFmtId="0" fontId="23" fillId="0" borderId="10" xfId="3" applyFont="1" applyBorder="1" applyAlignment="1">
      <alignment vertical="top"/>
    </xf>
    <xf numFmtId="0" fontId="23" fillId="0" borderId="0" xfId="3" applyFont="1" applyAlignment="1">
      <alignment horizontal="left" vertical="top"/>
    </xf>
    <xf numFmtId="14" fontId="23" fillId="0" borderId="0" xfId="3" applyNumberFormat="1" applyFont="1" applyAlignment="1">
      <alignment horizontal="left" vertical="top"/>
    </xf>
    <xf numFmtId="49" fontId="23" fillId="0" borderId="0" xfId="3" quotePrefix="1" applyNumberFormat="1" applyFont="1" applyAlignment="1">
      <alignment horizontal="left" vertical="top"/>
    </xf>
    <xf numFmtId="0" fontId="27" fillId="11" borderId="11" xfId="3" applyFont="1" applyFill="1" applyBorder="1" applyAlignment="1">
      <alignment horizontal="center" vertical="center"/>
    </xf>
    <xf numFmtId="0" fontId="29" fillId="0" borderId="0" xfId="3" applyFont="1" applyAlignment="1">
      <alignment horizontal="left" vertical="top"/>
    </xf>
    <xf numFmtId="181" fontId="27" fillId="11" borderId="11" xfId="3" applyNumberFormat="1" applyFont="1" applyFill="1" applyBorder="1" applyAlignment="1">
      <alignment horizontal="center" vertical="center"/>
    </xf>
    <xf numFmtId="0" fontId="7" fillId="0" borderId="12" xfId="3" applyFont="1" applyBorder="1" applyAlignment="1">
      <alignment horizontal="center" vertical="center"/>
    </xf>
    <xf numFmtId="0" fontId="27" fillId="12" borderId="11" xfId="3" applyFont="1" applyFill="1" applyBorder="1" applyAlignment="1">
      <alignment horizontal="center" vertical="center"/>
    </xf>
    <xf numFmtId="0" fontId="16" fillId="0" borderId="13" xfId="3" applyFont="1" applyBorder="1" applyAlignment="1">
      <alignment horizontal="center" vertical="center"/>
    </xf>
    <xf numFmtId="0" fontId="16" fillId="0" borderId="12" xfId="3" applyFont="1" applyBorder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 wrapText="1"/>
    </xf>
    <xf numFmtId="0" fontId="34" fillId="0" borderId="0" xfId="3" applyFont="1" applyAlignment="1">
      <alignment horizontal="center" vertical="center"/>
    </xf>
    <xf numFmtId="0" fontId="33" fillId="0" borderId="0" xfId="3" applyFont="1">
      <alignment vertical="center"/>
    </xf>
    <xf numFmtId="14" fontId="0" fillId="0" borderId="0" xfId="0" applyNumberFormat="1">
      <alignment vertical="center"/>
    </xf>
    <xf numFmtId="41" fontId="33" fillId="0" borderId="0" xfId="3" applyNumberFormat="1" applyFont="1" applyAlignment="1">
      <alignment horizontal="center" vertical="center"/>
    </xf>
    <xf numFmtId="10" fontId="33" fillId="0" borderId="0" xfId="3" applyNumberFormat="1" applyFont="1" applyAlignment="1">
      <alignment horizontal="center" vertical="center"/>
    </xf>
    <xf numFmtId="41" fontId="33" fillId="0" borderId="16" xfId="3" applyNumberFormat="1" applyFont="1" applyBorder="1" applyAlignment="1">
      <alignment horizontal="center" vertical="center"/>
    </xf>
    <xf numFmtId="182" fontId="33" fillId="0" borderId="0" xfId="3" applyNumberFormat="1" applyFont="1" applyAlignment="1">
      <alignment horizontal="center" vertical="center"/>
    </xf>
    <xf numFmtId="49" fontId="33" fillId="0" borderId="0" xfId="3" applyNumberFormat="1" applyFont="1" applyAlignment="1">
      <alignment horizontal="center" vertical="center"/>
    </xf>
    <xf numFmtId="0" fontId="36" fillId="0" borderId="0" xfId="3" applyFont="1">
      <alignment vertical="center"/>
    </xf>
    <xf numFmtId="41" fontId="38" fillId="0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Alignment="1">
      <alignment horizontal="center" vertical="center"/>
    </xf>
    <xf numFmtId="41" fontId="39" fillId="16" borderId="0" xfId="7" applyNumberFormat="1" applyFont="1" applyFill="1" applyBorder="1" applyAlignment="1">
      <alignment horizontal="center" vertical="center"/>
    </xf>
    <xf numFmtId="41" fontId="39" fillId="16" borderId="16" xfId="7" applyNumberFormat="1" applyFont="1" applyFill="1" applyBorder="1" applyAlignment="1">
      <alignment horizontal="center" vertical="center"/>
    </xf>
    <xf numFmtId="41" fontId="39" fillId="17" borderId="0" xfId="7" applyNumberFormat="1" applyFont="1" applyFill="1" applyAlignment="1">
      <alignment horizontal="center" vertical="center"/>
    </xf>
    <xf numFmtId="41" fontId="39" fillId="17" borderId="0" xfId="8" applyNumberFormat="1" applyFont="1" applyFill="1" applyBorder="1" applyAlignment="1">
      <alignment horizontal="center" vertical="center"/>
    </xf>
    <xf numFmtId="41" fontId="39" fillId="17" borderId="0" xfId="9" applyNumberFormat="1" applyFont="1" applyFill="1" applyBorder="1" applyAlignment="1">
      <alignment horizontal="center" vertical="center"/>
    </xf>
    <xf numFmtId="0" fontId="39" fillId="17" borderId="0" xfId="9" applyFont="1" applyFill="1" applyAlignment="1">
      <alignment horizontal="center" vertical="center"/>
    </xf>
    <xf numFmtId="10" fontId="39" fillId="17" borderId="0" xfId="4" applyNumberFormat="1" applyFont="1" applyFill="1" applyAlignment="1">
      <alignment horizontal="center" vertical="center"/>
    </xf>
    <xf numFmtId="41" fontId="39" fillId="18" borderId="0" xfId="5" applyFont="1" applyFill="1" applyBorder="1" applyAlignment="1">
      <alignment horizontal="center" vertical="center"/>
    </xf>
    <xf numFmtId="41" fontId="39" fillId="18" borderId="0" xfId="5" applyFont="1" applyFill="1" applyAlignment="1">
      <alignment horizontal="center" vertical="center"/>
    </xf>
    <xf numFmtId="41" fontId="39" fillId="19" borderId="0" xfId="5" applyFont="1" applyFill="1" applyAlignment="1">
      <alignment horizontal="center" vertical="center"/>
    </xf>
    <xf numFmtId="41" fontId="39" fillId="2" borderId="0" xfId="5" applyFont="1" applyFill="1" applyBorder="1" applyAlignment="1">
      <alignment horizontal="center" vertical="center"/>
    </xf>
    <xf numFmtId="41" fontId="39" fillId="17" borderId="0" xfId="5" applyFont="1" applyFill="1" applyBorder="1" applyAlignment="1">
      <alignment horizontal="center" vertical="center"/>
    </xf>
    <xf numFmtId="41" fontId="39" fillId="18" borderId="0" xfId="9" applyNumberFormat="1" applyFont="1" applyFill="1" applyBorder="1" applyAlignment="1">
      <alignment horizontal="center" vertical="center"/>
    </xf>
    <xf numFmtId="183" fontId="39" fillId="18" borderId="0" xfId="9" applyNumberFormat="1" applyFont="1" applyFill="1" applyBorder="1" applyAlignment="1">
      <alignment horizontal="center" vertical="center"/>
    </xf>
    <xf numFmtId="0" fontId="39" fillId="18" borderId="0" xfId="9" applyFont="1" applyFill="1" applyBorder="1" applyAlignment="1">
      <alignment horizontal="center" vertical="center"/>
    </xf>
    <xf numFmtId="0" fontId="39" fillId="19" borderId="0" xfId="9" applyFont="1" applyFill="1" applyBorder="1" applyAlignment="1">
      <alignment horizontal="center" vertical="center"/>
    </xf>
    <xf numFmtId="182" fontId="39" fillId="20" borderId="0" xfId="9" applyNumberFormat="1" applyFont="1" applyFill="1" applyBorder="1" applyAlignment="1">
      <alignment horizontal="center" vertical="center"/>
    </xf>
    <xf numFmtId="49" fontId="39" fillId="20" borderId="0" xfId="9" applyNumberFormat="1" applyFont="1" applyFill="1" applyBorder="1" applyAlignment="1">
      <alignment horizontal="center" vertical="center"/>
    </xf>
    <xf numFmtId="0" fontId="39" fillId="20" borderId="0" xfId="9" applyFont="1" applyFill="1" applyBorder="1" applyAlignment="1">
      <alignment horizontal="center" vertical="center"/>
    </xf>
    <xf numFmtId="182" fontId="39" fillId="19" borderId="0" xfId="9" applyNumberFormat="1" applyFont="1" applyFill="1" applyBorder="1" applyAlignment="1">
      <alignment horizontal="center" vertical="center"/>
    </xf>
    <xf numFmtId="182" fontId="39" fillId="21" borderId="0" xfId="9" applyNumberFormat="1" applyFont="1" applyFill="1" applyBorder="1" applyAlignment="1">
      <alignment horizontal="center" vertical="center"/>
    </xf>
    <xf numFmtId="49" fontId="39" fillId="21" borderId="0" xfId="9" applyNumberFormat="1" applyFont="1" applyFill="1" applyBorder="1" applyAlignment="1">
      <alignment horizontal="center" vertical="center"/>
    </xf>
    <xf numFmtId="49" fontId="39" fillId="18" borderId="0" xfId="9" applyNumberFormat="1" applyFont="1" applyFill="1" applyBorder="1" applyAlignment="1">
      <alignment horizontal="center" vertical="center"/>
    </xf>
    <xf numFmtId="0" fontId="36" fillId="0" borderId="0" xfId="3" applyFont="1" applyAlignment="1">
      <alignment horizontal="center" vertical="center"/>
    </xf>
    <xf numFmtId="0" fontId="33" fillId="0" borderId="0" xfId="3" applyFont="1" applyAlignment="1">
      <alignment horizontal="left" vertical="center"/>
    </xf>
    <xf numFmtId="0" fontId="33" fillId="0" borderId="0" xfId="3" applyFont="1" applyAlignment="1">
      <alignment horizontal="left" vertical="center" wrapText="1"/>
    </xf>
    <xf numFmtId="0" fontId="35" fillId="0" borderId="0" xfId="3" applyFont="1" applyAlignment="1">
      <alignment horizontal="center" vertical="center"/>
    </xf>
    <xf numFmtId="49" fontId="0" fillId="0" borderId="0" xfId="0" applyNumberFormat="1">
      <alignment vertical="center"/>
    </xf>
    <xf numFmtId="41" fontId="40" fillId="15" borderId="0" xfId="1" applyFont="1" applyFill="1" applyAlignment="1">
      <alignment horizontal="center" vertical="center"/>
    </xf>
    <xf numFmtId="41" fontId="41" fillId="0" borderId="0" xfId="1" applyFont="1" applyAlignment="1">
      <alignment horizontal="center" vertical="center"/>
    </xf>
    <xf numFmtId="0" fontId="40" fillId="15" borderId="0" xfId="0" applyFont="1" applyFill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13" borderId="0" xfId="0" applyFont="1" applyFill="1" applyAlignment="1">
      <alignment horizontal="center" vertical="center"/>
    </xf>
    <xf numFmtId="0" fontId="42" fillId="14" borderId="14" xfId="0" applyFont="1" applyFill="1" applyBorder="1" applyAlignment="1">
      <alignment horizontal="center" vertical="center"/>
    </xf>
    <xf numFmtId="0" fontId="42" fillId="14" borderId="15" xfId="0" applyFont="1" applyFill="1" applyBorder="1" applyAlignment="1">
      <alignment horizontal="center" vertical="center"/>
    </xf>
    <xf numFmtId="9" fontId="40" fillId="15" borderId="0" xfId="2" applyFont="1" applyFill="1" applyAlignment="1">
      <alignment horizontal="center" vertical="center"/>
    </xf>
    <xf numFmtId="9" fontId="41" fillId="0" borderId="0" xfId="2" applyFont="1" applyAlignment="1">
      <alignment horizontal="center" vertical="center"/>
    </xf>
    <xf numFmtId="178" fontId="40" fillId="15" borderId="0" xfId="2" applyNumberFormat="1" applyFont="1" applyFill="1" applyAlignment="1">
      <alignment horizontal="center" vertical="center"/>
    </xf>
    <xf numFmtId="178" fontId="41" fillId="0" borderId="0" xfId="2" applyNumberFormat="1" applyFont="1" applyAlignment="1">
      <alignment horizontal="center" vertical="center"/>
    </xf>
    <xf numFmtId="0" fontId="5" fillId="0" borderId="0" xfId="3" applyFont="1" applyAlignment="1">
      <alignment vertical="top"/>
    </xf>
    <xf numFmtId="183" fontId="40" fillId="13" borderId="0" xfId="0" applyNumberFormat="1" applyFont="1" applyFill="1" applyAlignment="1">
      <alignment horizontal="center" vertical="center"/>
    </xf>
    <xf numFmtId="183" fontId="41" fillId="0" borderId="0" xfId="0" applyNumberFormat="1" applyFont="1" applyAlignment="1">
      <alignment horizontal="center" vertical="center"/>
    </xf>
    <xf numFmtId="41" fontId="40" fillId="13" borderId="0" xfId="1" applyFont="1" applyFill="1" applyAlignment="1">
      <alignment horizontal="center" vertical="center"/>
    </xf>
    <xf numFmtId="0" fontId="41" fillId="0" borderId="0" xfId="3" applyFont="1" applyAlignment="1">
      <alignment horizontal="center" vertical="center"/>
    </xf>
    <xf numFmtId="10" fontId="10" fillId="0" borderId="0" xfId="4" applyNumberFormat="1" applyFont="1" applyFill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10" fontId="17" fillId="0" borderId="0" xfId="4" applyNumberFormat="1" applyFont="1" applyFill="1" applyBorder="1" applyAlignment="1">
      <alignment horizontal="center" vertical="center"/>
    </xf>
    <xf numFmtId="177" fontId="17" fillId="0" borderId="0" xfId="4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41" fillId="0" borderId="0" xfId="2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41" fontId="7" fillId="7" borderId="0" xfId="0" applyNumberFormat="1" applyFont="1" applyFill="1" applyAlignment="1">
      <alignment horizontal="center" vertical="center"/>
    </xf>
    <xf numFmtId="181" fontId="7" fillId="7" borderId="0" xfId="0" applyNumberFormat="1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/>
    </xf>
    <xf numFmtId="0" fontId="35" fillId="7" borderId="0" xfId="0" applyFont="1" applyFill="1" applyAlignment="1">
      <alignment horizontal="center" vertical="center"/>
    </xf>
    <xf numFmtId="0" fontId="46" fillId="23" borderId="17" xfId="0" applyFont="1" applyFill="1" applyBorder="1" applyAlignment="1">
      <alignment horizontal="center" vertical="center"/>
    </xf>
    <xf numFmtId="181" fontId="46" fillId="22" borderId="17" xfId="0" applyNumberFormat="1" applyFont="1" applyFill="1" applyBorder="1" applyAlignment="1">
      <alignment horizontal="center" vertical="center"/>
    </xf>
    <xf numFmtId="0" fontId="46" fillId="22" borderId="17" xfId="0" applyFont="1" applyFill="1" applyBorder="1" applyAlignment="1">
      <alignment horizontal="center" vertical="center"/>
    </xf>
    <xf numFmtId="41" fontId="46" fillId="22" borderId="17" xfId="0" applyNumberFormat="1" applyFont="1" applyFill="1" applyBorder="1" applyAlignment="1">
      <alignment horizontal="center" vertical="center"/>
    </xf>
    <xf numFmtId="181" fontId="46" fillId="23" borderId="17" xfId="0" applyNumberFormat="1" applyFont="1" applyFill="1" applyBorder="1" applyAlignment="1">
      <alignment horizontal="center" vertical="center"/>
    </xf>
    <xf numFmtId="183" fontId="46" fillId="23" borderId="17" xfId="0" applyNumberFormat="1" applyFont="1" applyFill="1" applyBorder="1" applyAlignment="1">
      <alignment horizontal="center" vertical="center"/>
    </xf>
    <xf numFmtId="41" fontId="46" fillId="23" borderId="17" xfId="0" applyNumberFormat="1" applyFont="1" applyFill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14" fontId="35" fillId="0" borderId="0" xfId="0" applyNumberFormat="1" applyFont="1" applyAlignment="1">
      <alignment horizontal="center" vertical="center"/>
    </xf>
    <xf numFmtId="183" fontId="35" fillId="7" borderId="0" xfId="0" applyNumberFormat="1" applyFont="1" applyFill="1" applyAlignment="1">
      <alignment horizontal="center" vertical="center"/>
    </xf>
    <xf numFmtId="183" fontId="35" fillId="0" borderId="0" xfId="0" applyNumberFormat="1" applyFont="1" applyAlignment="1">
      <alignment horizontal="center" vertical="center"/>
    </xf>
    <xf numFmtId="41" fontId="7" fillId="7" borderId="0" xfId="1" applyFont="1" applyFill="1" applyBorder="1" applyAlignment="1">
      <alignment horizontal="center" vertical="center"/>
    </xf>
    <xf numFmtId="41" fontId="35" fillId="7" borderId="0" xfId="1" applyFont="1" applyFill="1" applyBorder="1" applyAlignment="1">
      <alignment horizontal="center" vertical="center"/>
    </xf>
    <xf numFmtId="41" fontId="46" fillId="22" borderId="17" xfId="1" applyFont="1" applyFill="1" applyBorder="1" applyAlignment="1">
      <alignment horizontal="center" vertical="center"/>
    </xf>
    <xf numFmtId="41" fontId="35" fillId="0" borderId="0" xfId="1" applyFont="1" applyAlignment="1">
      <alignment horizontal="center" vertical="center"/>
    </xf>
    <xf numFmtId="184" fontId="35" fillId="0" borderId="0" xfId="0" applyNumberFormat="1" applyFont="1" applyAlignment="1">
      <alignment horizontal="center" vertical="center"/>
    </xf>
    <xf numFmtId="41" fontId="38" fillId="7" borderId="0" xfId="1" applyFont="1" applyFill="1" applyBorder="1" applyAlignment="1">
      <alignment horizontal="center" vertical="center"/>
    </xf>
    <xf numFmtId="41" fontId="46" fillId="23" borderId="17" xfId="1" applyFont="1" applyFill="1" applyBorder="1" applyAlignment="1">
      <alignment horizontal="center" vertical="center"/>
    </xf>
    <xf numFmtId="183" fontId="38" fillId="7" borderId="0" xfId="1" applyNumberFormat="1" applyFont="1" applyFill="1" applyBorder="1" applyAlignment="1">
      <alignment horizontal="center" vertical="center"/>
    </xf>
    <xf numFmtId="183" fontId="35" fillId="7" borderId="0" xfId="1" applyNumberFormat="1" applyFont="1" applyFill="1" applyBorder="1" applyAlignment="1">
      <alignment horizontal="center" vertical="center"/>
    </xf>
    <xf numFmtId="183" fontId="46" fillId="23" borderId="17" xfId="1" applyNumberFormat="1" applyFont="1" applyFill="1" applyBorder="1" applyAlignment="1">
      <alignment horizontal="center" vertical="center"/>
    </xf>
    <xf numFmtId="183" fontId="35" fillId="0" borderId="0" xfId="1" applyNumberFormat="1" applyFont="1" applyAlignment="1">
      <alignment horizontal="center" vertical="center"/>
    </xf>
    <xf numFmtId="41" fontId="38" fillId="7" borderId="0" xfId="0" applyNumberFormat="1" applyFont="1" applyFill="1" applyAlignment="1">
      <alignment horizontal="center" vertical="center"/>
    </xf>
    <xf numFmtId="41" fontId="35" fillId="7" borderId="0" xfId="0" applyNumberFormat="1" applyFont="1" applyFill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183" fontId="38" fillId="7" borderId="0" xfId="0" applyNumberFormat="1" applyFont="1" applyFill="1" applyAlignment="1">
      <alignment horizontal="center" vertical="center"/>
    </xf>
    <xf numFmtId="0" fontId="7" fillId="7" borderId="0" xfId="0" applyFont="1" applyFill="1">
      <alignment vertical="center"/>
    </xf>
    <xf numFmtId="0" fontId="35" fillId="0" borderId="0" xfId="3" applyFont="1" applyAlignment="1">
      <alignment horizontal="center" vertical="center" wrapText="1"/>
    </xf>
    <xf numFmtId="0" fontId="35" fillId="0" borderId="0" xfId="3" applyFont="1" applyAlignment="1">
      <alignment horizontal="left" vertical="center"/>
    </xf>
    <xf numFmtId="41" fontId="35" fillId="0" borderId="0" xfId="3" applyNumberFormat="1" applyFont="1" applyAlignment="1">
      <alignment horizontal="center" vertical="center"/>
    </xf>
    <xf numFmtId="0" fontId="49" fillId="24" borderId="0" xfId="0" applyFont="1" applyFill="1">
      <alignment vertical="center"/>
    </xf>
    <xf numFmtId="0" fontId="49" fillId="7" borderId="0" xfId="0" applyFont="1" applyFill="1">
      <alignment vertical="center"/>
    </xf>
    <xf numFmtId="0" fontId="49" fillId="7" borderId="18" xfId="0" applyFont="1" applyFill="1" applyBorder="1">
      <alignment vertical="center"/>
    </xf>
    <xf numFmtId="0" fontId="54" fillId="26" borderId="0" xfId="0" applyFont="1" applyFill="1" applyAlignment="1">
      <alignment horizontal="center" vertical="center"/>
    </xf>
    <xf numFmtId="0" fontId="32" fillId="25" borderId="0" xfId="0" applyFont="1" applyFill="1" applyAlignment="1">
      <alignment horizontal="center" vertical="center"/>
    </xf>
    <xf numFmtId="0" fontId="53" fillId="25" borderId="0" xfId="0" applyFont="1" applyFill="1" applyAlignment="1">
      <alignment horizontal="center" vertical="center"/>
    </xf>
    <xf numFmtId="41" fontId="49" fillId="24" borderId="20" xfId="1" applyFont="1" applyFill="1" applyBorder="1">
      <alignment vertical="center"/>
    </xf>
    <xf numFmtId="0" fontId="49" fillId="24" borderId="0" xfId="0" applyFont="1" applyFill="1" applyAlignment="1">
      <alignment horizontal="center"/>
    </xf>
    <xf numFmtId="0" fontId="49" fillId="24" borderId="0" xfId="0" applyFont="1" applyFill="1" applyAlignment="1">
      <alignment horizontal="center" vertical="top"/>
    </xf>
    <xf numFmtId="49" fontId="56" fillId="25" borderId="21" xfId="10" applyNumberFormat="1" applyFont="1" applyFill="1" applyBorder="1" applyAlignment="1">
      <alignment horizontal="center" vertical="center"/>
    </xf>
    <xf numFmtId="0" fontId="56" fillId="25" borderId="21" xfId="10" applyFont="1" applyFill="1" applyBorder="1" applyAlignment="1">
      <alignment horizontal="center" vertical="center"/>
    </xf>
    <xf numFmtId="49" fontId="56" fillId="26" borderId="21" xfId="10" applyNumberFormat="1" applyFont="1" applyFill="1" applyBorder="1" applyAlignment="1">
      <alignment horizontal="center" vertical="center"/>
    </xf>
    <xf numFmtId="0" fontId="56" fillId="26" borderId="21" xfId="10" applyFont="1" applyFill="1" applyBorder="1" applyAlignment="1">
      <alignment horizontal="center" vertical="center"/>
    </xf>
    <xf numFmtId="0" fontId="56" fillId="26" borderId="21" xfId="10" applyNumberFormat="1" applyFont="1" applyFill="1" applyBorder="1" applyAlignment="1">
      <alignment horizontal="center" vertical="center"/>
    </xf>
    <xf numFmtId="41" fontId="56" fillId="26" borderId="21" xfId="1" applyFont="1" applyFill="1" applyBorder="1" applyAlignment="1">
      <alignment horizontal="center" vertical="center"/>
    </xf>
    <xf numFmtId="41" fontId="56" fillId="25" borderId="21" xfId="1" applyFont="1" applyFill="1" applyBorder="1" applyAlignment="1">
      <alignment horizontal="center" vertical="center"/>
    </xf>
    <xf numFmtId="0" fontId="48" fillId="7" borderId="0" xfId="10" applyFont="1" applyFill="1" applyBorder="1" applyAlignment="1">
      <alignment horizontal="center" vertical="center"/>
    </xf>
    <xf numFmtId="0" fontId="55" fillId="25" borderId="0" xfId="0" applyFont="1" applyFill="1" applyAlignment="1">
      <alignment horizontal="center" vertical="center"/>
    </xf>
    <xf numFmtId="0" fontId="49" fillId="7" borderId="0" xfId="0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center" vertical="center"/>
    </xf>
    <xf numFmtId="179" fontId="32" fillId="25" borderId="0" xfId="0" applyNumberFormat="1" applyFont="1" applyFill="1" applyAlignment="1">
      <alignment horizontal="center" vertical="center"/>
    </xf>
    <xf numFmtId="0" fontId="41" fillId="7" borderId="20" xfId="0" applyFont="1" applyFill="1" applyBorder="1" applyAlignment="1">
      <alignment horizontal="center" vertical="center"/>
    </xf>
    <xf numFmtId="179" fontId="41" fillId="7" borderId="20" xfId="0" applyNumberFormat="1" applyFont="1" applyFill="1" applyBorder="1" applyAlignment="1">
      <alignment horizontal="center" vertical="center"/>
    </xf>
    <xf numFmtId="14" fontId="41" fillId="7" borderId="20" xfId="0" applyNumberFormat="1" applyFont="1" applyFill="1" applyBorder="1" applyAlignment="1">
      <alignment horizontal="center" vertical="center"/>
    </xf>
    <xf numFmtId="0" fontId="41" fillId="7" borderId="22" xfId="0" applyFont="1" applyFill="1" applyBorder="1" applyAlignment="1">
      <alignment horizontal="center" vertical="center"/>
    </xf>
    <xf numFmtId="179" fontId="41" fillId="7" borderId="22" xfId="0" applyNumberFormat="1" applyFont="1" applyFill="1" applyBorder="1" applyAlignment="1">
      <alignment horizontal="center" vertical="center"/>
    </xf>
    <xf numFmtId="14" fontId="41" fillId="7" borderId="22" xfId="0" applyNumberFormat="1" applyFont="1" applyFill="1" applyBorder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14" fontId="41" fillId="7" borderId="0" xfId="0" applyNumberFormat="1" applyFont="1" applyFill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14" fontId="32" fillId="26" borderId="0" xfId="0" applyNumberFormat="1" applyFont="1" applyFill="1" applyAlignment="1">
      <alignment horizontal="center" vertical="center"/>
    </xf>
    <xf numFmtId="41" fontId="41" fillId="7" borderId="0" xfId="1" applyFont="1" applyFill="1" applyBorder="1" applyAlignment="1">
      <alignment horizontal="center" vertical="center"/>
    </xf>
    <xf numFmtId="41" fontId="32" fillId="25" borderId="0" xfId="1" applyFont="1" applyFill="1" applyBorder="1" applyAlignment="1">
      <alignment horizontal="center" vertical="center"/>
    </xf>
    <xf numFmtId="41" fontId="32" fillId="26" borderId="0" xfId="1" applyFont="1" applyFill="1" applyBorder="1" applyAlignment="1">
      <alignment horizontal="center" vertical="center"/>
    </xf>
    <xf numFmtId="41" fontId="41" fillId="7" borderId="22" xfId="1" applyFont="1" applyFill="1" applyBorder="1" applyAlignment="1">
      <alignment horizontal="center" vertical="center"/>
    </xf>
    <xf numFmtId="41" fontId="41" fillId="7" borderId="20" xfId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left" vertical="center"/>
    </xf>
    <xf numFmtId="0" fontId="41" fillId="7" borderId="0" xfId="0" applyFont="1" applyFill="1">
      <alignment vertical="center"/>
    </xf>
    <xf numFmtId="179" fontId="49" fillId="7" borderId="0" xfId="0" applyNumberFormat="1" applyFont="1" applyFill="1" applyAlignment="1">
      <alignment horizontal="center" vertical="center"/>
    </xf>
    <xf numFmtId="179" fontId="56" fillId="25" borderId="21" xfId="10" applyNumberFormat="1" applyFont="1" applyFill="1" applyBorder="1" applyAlignment="1">
      <alignment horizontal="center" vertical="center"/>
    </xf>
    <xf numFmtId="41" fontId="49" fillId="7" borderId="0" xfId="1" applyFont="1" applyFill="1" applyAlignment="1">
      <alignment horizontal="center" vertical="center"/>
    </xf>
    <xf numFmtId="179" fontId="49" fillId="7" borderId="25" xfId="0" applyNumberFormat="1" applyFont="1" applyFill="1" applyBorder="1" applyAlignment="1">
      <alignment horizontal="center" vertical="center"/>
    </xf>
    <xf numFmtId="0" fontId="49" fillId="7" borderId="25" xfId="0" applyFont="1" applyFill="1" applyBorder="1" applyAlignment="1">
      <alignment horizontal="center" vertical="center"/>
    </xf>
    <xf numFmtId="41" fontId="49" fillId="7" borderId="25" xfId="1" applyFont="1" applyFill="1" applyBorder="1" applyAlignment="1">
      <alignment horizontal="center" vertical="center"/>
    </xf>
    <xf numFmtId="0" fontId="41" fillId="27" borderId="0" xfId="0" applyFont="1" applyFill="1">
      <alignment vertical="center"/>
    </xf>
    <xf numFmtId="179" fontId="56" fillId="28" borderId="21" xfId="10" applyNumberFormat="1" applyFont="1" applyFill="1" applyBorder="1" applyAlignment="1">
      <alignment horizontal="center" vertical="center"/>
    </xf>
    <xf numFmtId="179" fontId="32" fillId="28" borderId="0" xfId="0" applyNumberFormat="1" applyFont="1" applyFill="1" applyAlignment="1">
      <alignment horizontal="center" vertical="center"/>
    </xf>
    <xf numFmtId="0" fontId="59" fillId="7" borderId="0" xfId="0" applyFont="1" applyFill="1">
      <alignment vertical="center"/>
    </xf>
    <xf numFmtId="0" fontId="58" fillId="7" borderId="0" xfId="0" applyFont="1" applyFill="1">
      <alignment vertical="center"/>
    </xf>
    <xf numFmtId="41" fontId="49" fillId="7" borderId="20" xfId="1" applyFont="1" applyFill="1" applyBorder="1" applyAlignment="1">
      <alignment horizontal="center" vertical="center"/>
    </xf>
    <xf numFmtId="183" fontId="56" fillId="26" borderId="21" xfId="10" applyNumberFormat="1" applyFont="1" applyFill="1" applyBorder="1" applyAlignment="1">
      <alignment horizontal="center" vertical="center"/>
    </xf>
    <xf numFmtId="186" fontId="56" fillId="26" borderId="21" xfId="10" applyNumberFormat="1" applyFont="1" applyFill="1" applyBorder="1" applyAlignment="1">
      <alignment horizontal="center" vertical="center"/>
    </xf>
    <xf numFmtId="41" fontId="55" fillId="26" borderId="0" xfId="1" applyFont="1" applyFill="1" applyAlignment="1">
      <alignment horizontal="center" vertical="center"/>
    </xf>
    <xf numFmtId="187" fontId="39" fillId="20" borderId="0" xfId="9" applyNumberFormat="1" applyFont="1" applyFill="1" applyBorder="1" applyAlignment="1">
      <alignment horizontal="center" vertical="center"/>
    </xf>
    <xf numFmtId="187" fontId="0" fillId="0" borderId="0" xfId="0" applyNumberFormat="1" applyAlignment="1">
      <alignment horizontal="center" vertical="center"/>
    </xf>
    <xf numFmtId="187" fontId="39" fillId="19" borderId="0" xfId="9" applyNumberFormat="1" applyFont="1" applyFill="1" applyBorder="1" applyAlignment="1">
      <alignment horizontal="center" vertical="center"/>
    </xf>
    <xf numFmtId="187" fontId="39" fillId="18" borderId="0" xfId="9" applyNumberFormat="1" applyFont="1" applyFill="1" applyBorder="1" applyAlignment="1">
      <alignment horizontal="center" vertical="center"/>
    </xf>
    <xf numFmtId="41" fontId="39" fillId="16" borderId="16" xfId="1" applyFont="1" applyFill="1" applyBorder="1" applyAlignment="1">
      <alignment horizontal="center" vertical="center"/>
    </xf>
    <xf numFmtId="41" fontId="39" fillId="16" borderId="0" xfId="1" applyFont="1" applyFill="1" applyAlignment="1">
      <alignment horizontal="center" vertical="center"/>
    </xf>
    <xf numFmtId="41" fontId="39" fillId="16" borderId="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39" fillId="18" borderId="0" xfId="1" applyFont="1" applyFill="1" applyAlignment="1">
      <alignment horizontal="center" vertical="center"/>
    </xf>
    <xf numFmtId="41" fontId="39" fillId="18" borderId="0" xfId="1" applyFont="1" applyFill="1" applyBorder="1" applyAlignment="1">
      <alignment horizontal="center" vertical="center"/>
    </xf>
    <xf numFmtId="41" fontId="39" fillId="17" borderId="0" xfId="1" applyFont="1" applyFill="1" applyAlignment="1">
      <alignment horizontal="center" vertical="center"/>
    </xf>
    <xf numFmtId="41" fontId="39" fillId="17" borderId="0" xfId="1" applyFont="1" applyFill="1" applyBorder="1" applyAlignment="1">
      <alignment horizontal="center" vertical="center"/>
    </xf>
    <xf numFmtId="41" fontId="39" fillId="2" borderId="0" xfId="1" applyFont="1" applyFill="1" applyBorder="1" applyAlignment="1">
      <alignment horizontal="center" vertical="center"/>
    </xf>
    <xf numFmtId="183" fontId="39" fillId="17" borderId="0" xfId="5" applyNumberFormat="1" applyFont="1" applyFill="1" applyBorder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39" fillId="19" borderId="0" xfId="5" applyNumberFormat="1" applyFont="1" applyFill="1" applyAlignment="1">
      <alignment horizontal="center" vertical="center"/>
    </xf>
    <xf numFmtId="9" fontId="39" fillId="17" borderId="0" xfId="8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39" fillId="16" borderId="0" xfId="7" applyNumberFormat="1" applyFont="1" applyFill="1" applyAlignment="1">
      <alignment horizontal="center" vertical="center"/>
    </xf>
    <xf numFmtId="188" fontId="0" fillId="0" borderId="0" xfId="0" applyNumberFormat="1" applyAlignment="1">
      <alignment horizontal="center" vertical="center"/>
    </xf>
    <xf numFmtId="183" fontId="39" fillId="16" borderId="0" xfId="7" applyNumberFormat="1" applyFont="1" applyFill="1" applyBorder="1" applyAlignment="1">
      <alignment horizontal="center" vertical="center"/>
    </xf>
    <xf numFmtId="183" fontId="39" fillId="17" borderId="0" xfId="8" applyNumberFormat="1" applyFont="1" applyFill="1" applyBorder="1" applyAlignment="1">
      <alignment horizontal="center" vertical="center"/>
    </xf>
    <xf numFmtId="185" fontId="61" fillId="7" borderId="0" xfId="0" applyNumberFormat="1" applyFont="1" applyFill="1" applyAlignment="1">
      <alignment horizontal="center" vertical="center"/>
    </xf>
    <xf numFmtId="0" fontId="61" fillId="7" borderId="0" xfId="0" applyFont="1" applyFill="1" applyAlignment="1">
      <alignment horizontal="center" vertical="center"/>
    </xf>
    <xf numFmtId="0" fontId="62" fillId="7" borderId="0" xfId="0" applyFont="1" applyFill="1" applyAlignment="1">
      <alignment horizontal="center" vertical="center"/>
    </xf>
    <xf numFmtId="0" fontId="64" fillId="7" borderId="0" xfId="0" applyFont="1" applyFill="1" applyAlignment="1">
      <alignment horizontal="center" vertical="center"/>
    </xf>
    <xf numFmtId="185" fontId="64" fillId="7" borderId="0" xfId="0" applyNumberFormat="1" applyFont="1" applyFill="1" applyAlignment="1">
      <alignment horizontal="center" vertical="center"/>
    </xf>
    <xf numFmtId="176" fontId="65" fillId="7" borderId="0" xfId="0" applyNumberFormat="1" applyFont="1" applyFill="1" applyAlignment="1">
      <alignment horizontal="center" vertical="center"/>
    </xf>
    <xf numFmtId="0" fontId="66" fillId="7" borderId="0" xfId="0" applyFont="1" applyFill="1" applyAlignment="1">
      <alignment vertical="top"/>
    </xf>
    <xf numFmtId="0" fontId="61" fillId="7" borderId="0" xfId="0" applyFont="1" applyFill="1">
      <alignment vertical="center"/>
    </xf>
    <xf numFmtId="0" fontId="67" fillId="7" borderId="0" xfId="0" applyFont="1" applyFill="1" applyAlignment="1">
      <alignment horizontal="center" vertical="center"/>
    </xf>
    <xf numFmtId="41" fontId="67" fillId="7" borderId="0" xfId="0" applyNumberFormat="1" applyFont="1" applyFill="1" applyAlignment="1">
      <alignment horizontal="center" vertical="center"/>
    </xf>
    <xf numFmtId="185" fontId="61" fillId="7" borderId="0" xfId="0" applyNumberFormat="1" applyFont="1" applyFill="1" applyAlignment="1">
      <alignment horizontal="right" vertical="center"/>
    </xf>
    <xf numFmtId="189" fontId="68" fillId="7" borderId="0" xfId="0" applyNumberFormat="1" applyFont="1" applyFill="1" applyAlignment="1">
      <alignment horizontal="left" vertical="center"/>
    </xf>
    <xf numFmtId="0" fontId="10" fillId="7" borderId="0" xfId="0" applyFont="1" applyFill="1">
      <alignment vertical="center"/>
    </xf>
    <xf numFmtId="10" fontId="41" fillId="7" borderId="0" xfId="0" applyNumberFormat="1" applyFont="1" applyFill="1" applyAlignment="1">
      <alignment horizontal="left" vertical="center"/>
    </xf>
    <xf numFmtId="10" fontId="61" fillId="7" borderId="0" xfId="0" applyNumberFormat="1" applyFont="1" applyFill="1" applyAlignment="1">
      <alignment horizontal="left" vertical="center"/>
    </xf>
    <xf numFmtId="10" fontId="70" fillId="7" borderId="0" xfId="0" applyNumberFormat="1" applyFont="1" applyFill="1" applyAlignment="1">
      <alignment horizontal="center" vertical="center"/>
    </xf>
    <xf numFmtId="185" fontId="74" fillId="7" borderId="0" xfId="0" applyNumberFormat="1" applyFont="1" applyFill="1" applyAlignment="1">
      <alignment horizontal="right" vertical="center"/>
    </xf>
    <xf numFmtId="0" fontId="67" fillId="7" borderId="0" xfId="0" applyFont="1" applyFill="1" applyAlignment="1">
      <alignment horizontal="right" vertical="center"/>
    </xf>
    <xf numFmtId="0" fontId="75" fillId="7" borderId="0" xfId="0" applyFont="1" applyFill="1" applyAlignment="1">
      <alignment horizontal="left" vertical="center"/>
    </xf>
    <xf numFmtId="0" fontId="76" fillId="7" borderId="0" xfId="0" applyFont="1" applyFill="1" applyAlignment="1">
      <alignment horizontal="left" vertical="center"/>
    </xf>
    <xf numFmtId="0" fontId="34" fillId="7" borderId="0" xfId="0" applyFont="1" applyFill="1" applyAlignment="1">
      <alignment horizontal="center" vertical="center"/>
    </xf>
    <xf numFmtId="185" fontId="34" fillId="7" borderId="0" xfId="0" applyNumberFormat="1" applyFont="1" applyFill="1" applyAlignment="1">
      <alignment horizontal="center" vertical="center"/>
    </xf>
    <xf numFmtId="185" fontId="77" fillId="7" borderId="0" xfId="0" applyNumberFormat="1" applyFont="1" applyFill="1" applyAlignment="1">
      <alignment horizontal="right" vertical="center"/>
    </xf>
    <xf numFmtId="0" fontId="74" fillId="7" borderId="0" xfId="0" applyFont="1" applyFill="1" applyAlignment="1">
      <alignment horizontal="left" vertical="top"/>
    </xf>
    <xf numFmtId="0" fontId="74" fillId="7" borderId="0" xfId="0" applyFont="1" applyFill="1" applyAlignment="1">
      <alignment vertical="top"/>
    </xf>
    <xf numFmtId="0" fontId="78" fillId="7" borderId="0" xfId="0" applyFont="1" applyFill="1" applyAlignment="1">
      <alignment horizontal="center" vertical="center"/>
    </xf>
    <xf numFmtId="0" fontId="79" fillId="7" borderId="0" xfId="0" applyFont="1" applyFill="1">
      <alignment vertical="center"/>
    </xf>
    <xf numFmtId="0" fontId="80" fillId="7" borderId="0" xfId="0" applyFont="1" applyFill="1" applyAlignment="1">
      <alignment horizontal="center" vertical="top" wrapText="1"/>
    </xf>
    <xf numFmtId="185" fontId="81" fillId="7" borderId="0" xfId="0" applyNumberFormat="1" applyFont="1" applyFill="1" applyAlignment="1">
      <alignment horizontal="center" vertical="top"/>
    </xf>
    <xf numFmtId="0" fontId="50" fillId="24" borderId="10" xfId="0" applyFont="1" applyFill="1" applyBorder="1" applyAlignment="1">
      <alignment horizontal="center" vertical="center"/>
    </xf>
    <xf numFmtId="190" fontId="39" fillId="16" borderId="0" xfId="7" applyNumberFormat="1" applyFont="1" applyFill="1" applyAlignment="1">
      <alignment horizontal="center" vertical="center"/>
    </xf>
    <xf numFmtId="190" fontId="39" fillId="17" borderId="0" xfId="7" applyNumberFormat="1" applyFont="1" applyFill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191" fontId="24" fillId="0" borderId="0" xfId="3" applyNumberFormat="1" applyFont="1" applyAlignment="1">
      <alignment horizontal="center" vertical="center"/>
    </xf>
    <xf numFmtId="191" fontId="8" fillId="0" borderId="0" xfId="3" applyNumberFormat="1" applyFont="1" applyAlignment="1">
      <alignment horizontal="center" vertical="center"/>
    </xf>
    <xf numFmtId="191" fontId="2" fillId="0" borderId="0" xfId="3" applyNumberFormat="1">
      <alignment vertical="center"/>
    </xf>
    <xf numFmtId="41" fontId="24" fillId="0" borderId="0" xfId="3" applyNumberFormat="1" applyFont="1" applyAlignment="1">
      <alignment horizontal="center" vertical="center"/>
    </xf>
    <xf numFmtId="41" fontId="8" fillId="0" borderId="0" xfId="3" applyNumberFormat="1" applyFont="1" applyAlignment="1">
      <alignment horizontal="center" vertical="center"/>
    </xf>
    <xf numFmtId="41" fontId="2" fillId="0" borderId="0" xfId="3" applyNumberFormat="1">
      <alignment vertical="center"/>
    </xf>
    <xf numFmtId="183" fontId="49" fillId="7" borderId="0" xfId="0" applyNumberFormat="1" applyFont="1" applyFill="1" applyAlignment="1">
      <alignment horizontal="center" vertical="center"/>
    </xf>
    <xf numFmtId="183" fontId="56" fillId="28" borderId="21" xfId="10" applyNumberFormat="1" applyFont="1" applyFill="1" applyBorder="1" applyAlignment="1">
      <alignment horizontal="center" vertical="center"/>
    </xf>
    <xf numFmtId="183" fontId="49" fillId="7" borderId="25" xfId="0" applyNumberFormat="1" applyFont="1" applyFill="1" applyBorder="1" applyAlignment="1">
      <alignment horizontal="center" vertical="center"/>
    </xf>
    <xf numFmtId="183" fontId="41" fillId="7" borderId="0" xfId="1" applyNumberFormat="1" applyFont="1" applyFill="1" applyBorder="1" applyAlignment="1">
      <alignment horizontal="center" vertical="center"/>
    </xf>
    <xf numFmtId="183" fontId="32" fillId="28" borderId="0" xfId="1" applyNumberFormat="1" applyFont="1" applyFill="1" applyBorder="1" applyAlignment="1">
      <alignment horizontal="center" vertical="center"/>
    </xf>
    <xf numFmtId="183" fontId="41" fillId="7" borderId="22" xfId="1" applyNumberFormat="1" applyFont="1" applyFill="1" applyBorder="1" applyAlignment="1">
      <alignment horizontal="center" vertical="center"/>
    </xf>
    <xf numFmtId="183" fontId="41" fillId="7" borderId="20" xfId="1" applyNumberFormat="1" applyFont="1" applyFill="1" applyBorder="1" applyAlignment="1">
      <alignment horizontal="center" vertical="center"/>
    </xf>
    <xf numFmtId="41" fontId="41" fillId="7" borderId="0" xfId="1" applyFont="1" applyFill="1" applyBorder="1" applyAlignment="1">
      <alignment horizontal="center" vertical="center"/>
    </xf>
    <xf numFmtId="41" fontId="83" fillId="27" borderId="0" xfId="1" applyFont="1" applyFill="1" applyBorder="1" applyAlignment="1">
      <alignment horizontal="center" vertical="center"/>
    </xf>
    <xf numFmtId="41" fontId="84" fillId="27" borderId="0" xfId="1" applyFont="1" applyFill="1" applyBorder="1" applyAlignment="1">
      <alignment horizontal="center" vertical="center"/>
    </xf>
    <xf numFmtId="0" fontId="50" fillId="24" borderId="8" xfId="0" applyFont="1" applyFill="1" applyBorder="1" applyAlignment="1">
      <alignment horizontal="center" vertical="center"/>
    </xf>
    <xf numFmtId="0" fontId="51" fillId="24" borderId="19" xfId="0" applyFont="1" applyFill="1" applyBorder="1" applyAlignment="1">
      <alignment horizontal="center" vertical="center"/>
    </xf>
    <xf numFmtId="0" fontId="51" fillId="24" borderId="0" xfId="0" applyFont="1" applyFill="1" applyAlignment="1">
      <alignment horizontal="center" vertical="center"/>
    </xf>
    <xf numFmtId="0" fontId="52" fillId="24" borderId="0" xfId="0" applyFont="1" applyFill="1" applyAlignment="1">
      <alignment horizontal="right" vertical="center" indent="1"/>
    </xf>
    <xf numFmtId="0" fontId="54" fillId="26" borderId="0" xfId="0" applyFont="1" applyFill="1" applyAlignment="1">
      <alignment horizontal="center" vertical="center"/>
    </xf>
    <xf numFmtId="0" fontId="33" fillId="7" borderId="0" xfId="0" applyFont="1" applyFill="1" applyAlignment="1">
      <alignment horizontal="center" vertical="top" wrapText="1"/>
    </xf>
    <xf numFmtId="0" fontId="33" fillId="7" borderId="0" xfId="0" applyFont="1" applyFill="1" applyAlignment="1">
      <alignment horizontal="center" vertical="top"/>
    </xf>
    <xf numFmtId="179" fontId="41" fillId="7" borderId="0" xfId="0" applyNumberFormat="1" applyFont="1" applyFill="1" applyAlignment="1">
      <alignment horizontal="center"/>
    </xf>
    <xf numFmtId="0" fontId="59" fillId="27" borderId="0" xfId="0" applyFont="1" applyFill="1" applyAlignment="1">
      <alignment horizontal="center" vertical="center"/>
    </xf>
    <xf numFmtId="179" fontId="41" fillId="7" borderId="0" xfId="0" applyNumberFormat="1" applyFont="1" applyFill="1" applyAlignment="1">
      <alignment horizontal="center" vertical="center" wrapText="1"/>
    </xf>
    <xf numFmtId="179" fontId="41" fillId="7" borderId="0" xfId="0" applyNumberFormat="1" applyFont="1" applyFill="1" applyAlignment="1">
      <alignment horizontal="center" vertical="center"/>
    </xf>
    <xf numFmtId="0" fontId="58" fillId="7" borderId="0" xfId="0" applyFont="1" applyFill="1" applyAlignment="1">
      <alignment horizontal="right" vertical="center"/>
    </xf>
    <xf numFmtId="41" fontId="57" fillId="27" borderId="0" xfId="1" applyFont="1" applyFill="1" applyBorder="1" applyAlignment="1">
      <alignment horizontal="center" vertical="center"/>
    </xf>
    <xf numFmtId="0" fontId="41" fillId="7" borderId="0" xfId="0" applyFont="1" applyFill="1" applyAlignment="1">
      <alignment horizontal="right" vertical="center"/>
    </xf>
    <xf numFmtId="41" fontId="57" fillId="27" borderId="23" xfId="1" applyFont="1" applyFill="1" applyBorder="1" applyAlignment="1">
      <alignment horizontal="center" vertical="center"/>
    </xf>
    <xf numFmtId="41" fontId="57" fillId="27" borderId="24" xfId="1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0" fillId="8" borderId="7" xfId="3" applyFont="1" applyFill="1" applyBorder="1" applyAlignment="1">
      <alignment horizontal="center" vertical="center"/>
    </xf>
    <xf numFmtId="0" fontId="10" fillId="8" borderId="6" xfId="3" applyFont="1" applyFill="1" applyBorder="1" applyAlignment="1">
      <alignment horizontal="center" vertical="center"/>
    </xf>
    <xf numFmtId="0" fontId="14" fillId="0" borderId="0" xfId="3" applyFont="1" applyAlignment="1">
      <alignment horizontal="left" vertical="center" wrapText="1"/>
    </xf>
    <xf numFmtId="0" fontId="41" fillId="0" borderId="0" xfId="3" applyFont="1" applyAlignment="1">
      <alignment horizontal="center" vertical="center" wrapText="1"/>
    </xf>
    <xf numFmtId="0" fontId="41" fillId="0" borderId="0" xfId="3" applyFont="1" applyAlignment="1">
      <alignment horizontal="center" vertical="center"/>
    </xf>
    <xf numFmtId="0" fontId="10" fillId="5" borderId="3" xfId="3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center" vertical="center" wrapText="1"/>
    </xf>
    <xf numFmtId="0" fontId="11" fillId="6" borderId="4" xfId="3" applyFont="1" applyFill="1" applyBorder="1" applyAlignment="1">
      <alignment horizontal="center" vertical="center" wrapText="1"/>
    </xf>
    <xf numFmtId="0" fontId="10" fillId="0" borderId="4" xfId="3" applyFont="1" applyBorder="1" applyAlignment="1">
      <alignment horizontal="center" vertical="center"/>
    </xf>
    <xf numFmtId="0" fontId="11" fillId="6" borderId="3" xfId="3" applyFont="1" applyFill="1" applyBorder="1" applyAlignment="1">
      <alignment horizontal="center" vertical="center" wrapText="1"/>
    </xf>
    <xf numFmtId="0" fontId="11" fillId="6" borderId="0" xfId="3" applyFont="1" applyFill="1" applyAlignment="1">
      <alignment horizontal="center" vertical="center" wrapText="1"/>
    </xf>
    <xf numFmtId="0" fontId="12" fillId="5" borderId="3" xfId="3" applyFont="1" applyFill="1" applyBorder="1" applyAlignment="1">
      <alignment horizontal="center" vertical="center"/>
    </xf>
    <xf numFmtId="0" fontId="12" fillId="5" borderId="0" xfId="3" applyFont="1" applyFill="1" applyAlignment="1">
      <alignment horizontal="center" vertical="center"/>
    </xf>
    <xf numFmtId="0" fontId="43" fillId="0" borderId="0" xfId="6" applyFont="1" applyAlignment="1">
      <alignment horizontal="right" vertical="center"/>
    </xf>
    <xf numFmtId="0" fontId="82" fillId="7" borderId="0" xfId="0" applyFont="1" applyFill="1" applyAlignment="1">
      <alignment horizontal="left" vertical="center"/>
    </xf>
    <xf numFmtId="189" fontId="73" fillId="7" borderId="0" xfId="0" applyNumberFormat="1" applyFont="1" applyFill="1" applyAlignment="1">
      <alignment horizontal="center" vertical="center"/>
    </xf>
    <xf numFmtId="0" fontId="63" fillId="7" borderId="0" xfId="0" applyFont="1" applyFill="1" applyAlignment="1">
      <alignment horizontal="left" vertical="center"/>
    </xf>
    <xf numFmtId="189" fontId="69" fillId="7" borderId="0" xfId="0" applyNumberFormat="1" applyFont="1" applyFill="1" applyAlignment="1">
      <alignment horizontal="left" vertical="center"/>
    </xf>
    <xf numFmtId="189" fontId="71" fillId="7" borderId="0" xfId="0" applyNumberFormat="1" applyFont="1" applyFill="1" applyAlignment="1">
      <alignment horizontal="center" vertical="center"/>
    </xf>
    <xf numFmtId="10" fontId="72" fillId="7" borderId="0" xfId="0" applyNumberFormat="1" applyFont="1" applyFill="1" applyAlignment="1">
      <alignment horizontal="left" vertical="center"/>
    </xf>
    <xf numFmtId="0" fontId="85" fillId="26" borderId="0" xfId="0" applyFont="1" applyFill="1" applyAlignment="1">
      <alignment horizontal="center" vertical="center"/>
    </xf>
    <xf numFmtId="41" fontId="85" fillId="26" borderId="0" xfId="0" applyNumberFormat="1" applyFont="1" applyFill="1" applyAlignment="1">
      <alignment horizontal="center" vertical="center"/>
    </xf>
    <xf numFmtId="179" fontId="49" fillId="7" borderId="0" xfId="0" applyNumberFormat="1" applyFont="1" applyFill="1" applyAlignment="1">
      <alignment horizontal="left"/>
    </xf>
    <xf numFmtId="0" fontId="18" fillId="0" borderId="0" xfId="0" applyFont="1" applyFill="1">
      <alignment vertical="center"/>
    </xf>
  </cellXfs>
  <cellStyles count="11">
    <cellStyle name="강조색3 2" xfId="8" xr:uid="{68F57F07-271F-4A3C-BBE8-074C4617B3CD}"/>
    <cellStyle name="강조색5 2" xfId="7" xr:uid="{44215B80-9320-4BF6-9670-C4230DEFCE9F}"/>
    <cellStyle name="강조색6" xfId="10" builtinId="49"/>
    <cellStyle name="강조색6 2" xfId="9" xr:uid="{70EE998F-9B73-4533-AE55-4BDFCA4B1636}"/>
    <cellStyle name="백분율" xfId="2" builtinId="5"/>
    <cellStyle name="백분율 2" xfId="4" xr:uid="{EE9BA9E1-A408-44F6-B32D-F7E20E40F940}"/>
    <cellStyle name="쉼표 [0]" xfId="1" builtinId="6"/>
    <cellStyle name="쉼표 [0] 2" xfId="5" xr:uid="{14A8FE8F-72BD-4695-8703-02A1734FB2E3}"/>
    <cellStyle name="표준" xfId="0" builtinId="0"/>
    <cellStyle name="표준 2" xfId="3" xr:uid="{72AC31B5-5E92-4540-8F64-080B0B6D1F1C}"/>
    <cellStyle name="하이퍼링크" xfId="6" builtinId="8"/>
  </cellStyles>
  <dxfs count="2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numFmt numFmtId="179" formatCode="yy&quot;-&quot;m&quot;-&quot;d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돋움"/>
        <family val="3"/>
        <charset val="129"/>
        <scheme val="none"/>
      </font>
      <fill>
        <patternFill patternType="solid">
          <fgColor theme="4"/>
          <bgColor rgb="FFFF00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border outline="0"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left style="hair">
          <color theme="1" tint="0.499984740745262"/>
        </left>
      </border>
    </dxf>
    <dxf>
      <font>
        <b val="0"/>
        <outline val="0"/>
        <shadow val="0"/>
        <u val="none"/>
        <vertAlign val="baseline"/>
        <sz val="10"/>
        <color auto="1"/>
        <name val="맑은 고딕"/>
        <family val="3"/>
        <charset val="129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numFmt numFmtId="191" formatCode="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8" formatCode="0_);[Red]\(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76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80" formatCode="#,##0_);[Red]\(#,##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8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맑은 고딕"/>
        <family val="3"/>
        <charset val="129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F35467"/>
      </font>
    </dxf>
    <dxf>
      <font>
        <b/>
        <i val="0"/>
        <color rgb="FF2ABF77"/>
      </font>
    </dxf>
    <dxf>
      <font>
        <b/>
        <i val="0"/>
        <color rgb="FFF35467"/>
      </font>
    </dxf>
    <dxf>
      <font>
        <b/>
        <i val="0"/>
        <color rgb="FF2ABF77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3" formatCode="_-* #,##0_-;\-* #,##0_-;_-* &quot;-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182" formatCode="yy/mm/dd\ \(aaa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border outline="0">
        <right style="medium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numFmt numFmtId="33" formatCode="_-* #,##0_-;\-* #,##0_-;_-* &quot;-&quot;_-;_-@_-"/>
      <fill>
        <patternFill patternType="solid">
          <fgColor indexed="64"/>
          <bgColor rgb="FF6941C6"/>
        </patternFill>
      </fill>
      <alignment horizontal="center" vertical="center" textRotation="0" wrapText="0" indent="0" justifyLastLine="0" shrinkToFit="0" readingOrder="0"/>
    </dxf>
    <dxf>
      <font>
        <color theme="2" tint="-9.9948118533890809E-2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</font>
      <fill>
        <patternFill>
          <bgColor rgb="FFF49F70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0000"/>
      </font>
    </dxf>
    <dxf>
      <fill>
        <patternFill>
          <bgColor rgb="FFF6C2D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rgb="FFFFD5D5"/>
        </patternFill>
      </fill>
    </dxf>
    <dxf>
      <fill>
        <patternFill>
          <bgColor theme="8" tint="0.79998168889431442"/>
        </patternFill>
      </fill>
    </dxf>
    <dxf>
      <fill>
        <patternFill>
          <bgColor rgb="FFFFF7E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313133"/>
      <color rgb="FFFF3938"/>
      <color rgb="FFFF2F2F"/>
      <color rgb="FFE622D8"/>
      <color rgb="FF56565A"/>
      <color rgb="FFB2B2B2"/>
      <color rgb="FF808080"/>
      <color rgb="FFEFEFF5"/>
      <color rgb="FFF7F7FA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C$1" fmlaRange="Settings!$H$2:$H$6" noThreeD="1" sel="1" val="0"/>
</file>

<file path=xl/ctrlProps/ctrlProp2.xml><?xml version="1.0" encoding="utf-8"?>
<formControlPr xmlns="http://schemas.microsoft.com/office/spreadsheetml/2009/9/main" objectType="Drop" dropStyle="combo" dx="22" fmlaLink="$E$1" fmlaRange="Settings!$H$19:$H$20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png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image" Target="../media/image11.jpg"/><Relationship Id="rId1" Type="http://schemas.openxmlformats.org/officeDocument/2006/relationships/image" Target="../media/image10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</xdr:row>
      <xdr:rowOff>28575</xdr:rowOff>
    </xdr:from>
    <xdr:to>
      <xdr:col>4</xdr:col>
      <xdr:colOff>533400</xdr:colOff>
      <xdr:row>4</xdr:row>
      <xdr:rowOff>123825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5" y="257175"/>
          <a:ext cx="1905000" cy="781050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8</xdr:row>
      <xdr:rowOff>152400</xdr:rowOff>
    </xdr:from>
    <xdr:to>
      <xdr:col>9</xdr:col>
      <xdr:colOff>209576</xdr:colOff>
      <xdr:row>10</xdr:row>
      <xdr:rowOff>26</xdr:rowOff>
    </xdr:to>
    <xdr:pic macro="[0]!대시보드_검색초기화"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43150" y="1981200"/>
          <a:ext cx="304826" cy="30482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0</xdr:row>
          <xdr:rowOff>180975</xdr:rowOff>
        </xdr:from>
        <xdr:to>
          <xdr:col>40</xdr:col>
          <xdr:colOff>485775</xdr:colOff>
          <xdr:row>9</xdr:row>
          <xdr:rowOff>76200</xdr:rowOff>
        </xdr:to>
        <xdr:pic>
          <xdr:nvPicPr>
            <xdr:cNvPr id="13" name="그림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ettings!$AH$117:$AQ$124" spid="_x0000_s113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733675" y="180975"/>
              <a:ext cx="6724650" cy="19526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352425</xdr:colOff>
          <xdr:row>0</xdr:row>
          <xdr:rowOff>190500</xdr:rowOff>
        </xdr:from>
        <xdr:to>
          <xdr:col>85</xdr:col>
          <xdr:colOff>104775</xdr:colOff>
          <xdr:row>9</xdr:row>
          <xdr:rowOff>76200</xdr:rowOff>
        </xdr:to>
        <xdr:pic>
          <xdr:nvPicPr>
            <xdr:cNvPr id="14" name="그림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ettings!$AR$117:$AY$124" spid="_x0000_s113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0553700" y="190500"/>
              <a:ext cx="5934075" cy="19431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19</xdr:col>
      <xdr:colOff>323150</xdr:colOff>
      <xdr:row>0</xdr:row>
      <xdr:rowOff>28575</xdr:rowOff>
    </xdr:from>
    <xdr:to>
      <xdr:col>22</xdr:col>
      <xdr:colOff>18244</xdr:colOff>
      <xdr:row>1</xdr:row>
      <xdr:rowOff>95213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0475" y="28575"/>
          <a:ext cx="847619" cy="295238"/>
        </a:xfrm>
        <a:prstGeom prst="rect">
          <a:avLst/>
        </a:prstGeom>
      </xdr:spPr>
    </xdr:pic>
    <xdr:clientData/>
  </xdr:twoCellAnchor>
  <xdr:twoCellAnchor editAs="oneCell">
    <xdr:from>
      <xdr:col>17</xdr:col>
      <xdr:colOff>552450</xdr:colOff>
      <xdr:row>0</xdr:row>
      <xdr:rowOff>28575</xdr:rowOff>
    </xdr:from>
    <xdr:to>
      <xdr:col>19</xdr:col>
      <xdr:colOff>304800</xdr:colOff>
      <xdr:row>1</xdr:row>
      <xdr:rowOff>95250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943475" y="28575"/>
          <a:ext cx="628650" cy="295275"/>
        </a:xfrm>
        <a:prstGeom prst="rect">
          <a:avLst/>
        </a:prstGeom>
      </xdr:spPr>
    </xdr:pic>
    <xdr:clientData/>
  </xdr:twoCellAnchor>
  <xdr:twoCellAnchor editAs="oneCell">
    <xdr:from>
      <xdr:col>70</xdr:col>
      <xdr:colOff>304100</xdr:colOff>
      <xdr:row>0</xdr:row>
      <xdr:rowOff>28575</xdr:rowOff>
    </xdr:from>
    <xdr:to>
      <xdr:col>72</xdr:col>
      <xdr:colOff>523069</xdr:colOff>
      <xdr:row>1</xdr:row>
      <xdr:rowOff>95213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20075" y="28575"/>
          <a:ext cx="847619" cy="295238"/>
        </a:xfrm>
        <a:prstGeom prst="rect">
          <a:avLst/>
        </a:prstGeom>
      </xdr:spPr>
    </xdr:pic>
    <xdr:clientData/>
  </xdr:twoCellAnchor>
  <xdr:twoCellAnchor editAs="oneCell">
    <xdr:from>
      <xdr:col>69</xdr:col>
      <xdr:colOff>142875</xdr:colOff>
      <xdr:row>0</xdr:row>
      <xdr:rowOff>28575</xdr:rowOff>
    </xdr:from>
    <xdr:to>
      <xdr:col>70</xdr:col>
      <xdr:colOff>285750</xdr:colOff>
      <xdr:row>1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173075" y="28575"/>
          <a:ext cx="628650" cy="295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1</xdr:row>
      <xdr:rowOff>28575</xdr:rowOff>
    </xdr:from>
    <xdr:to>
      <xdr:col>7</xdr:col>
      <xdr:colOff>85725</xdr:colOff>
      <xdr:row>1</xdr:row>
      <xdr:rowOff>428625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9725" y="152400"/>
          <a:ext cx="476250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142875</xdr:colOff>
          <xdr:row>1</xdr:row>
          <xdr:rowOff>142875</xdr:rowOff>
        </xdr:from>
        <xdr:to>
          <xdr:col>11</xdr:col>
          <xdr:colOff>0</xdr:colOff>
          <xdr:row>1</xdr:row>
          <xdr:rowOff>352425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1</xdr:row>
          <xdr:rowOff>142875</xdr:rowOff>
        </xdr:from>
        <xdr:to>
          <xdr:col>12</xdr:col>
          <xdr:colOff>171450</xdr:colOff>
          <xdr:row>1</xdr:row>
          <xdr:rowOff>352425</xdr:rowOff>
        </xdr:to>
        <xdr:sp macro="" textlink="">
          <xdr:nvSpPr>
            <xdr:cNvPr id="7171" name="Drop Dow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114300</xdr:colOff>
      <xdr:row>1</xdr:row>
      <xdr:rowOff>85725</xdr:rowOff>
    </xdr:from>
    <xdr:to>
      <xdr:col>8</xdr:col>
      <xdr:colOff>419100</xdr:colOff>
      <xdr:row>1</xdr:row>
      <xdr:rowOff>390525</xdr:rowOff>
    </xdr:to>
    <xdr:pic macro="[0]!검색초기화">
      <xdr:nvPicPr>
        <xdr:cNvPr id="4" name="그림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200" y="209550"/>
          <a:ext cx="304800" cy="3048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180973</xdr:colOff>
      <xdr:row>1</xdr:row>
      <xdr:rowOff>23672</xdr:rowOff>
    </xdr:from>
    <xdr:to>
      <xdr:col>1</xdr:col>
      <xdr:colOff>954879</xdr:colOff>
      <xdr:row>2</xdr:row>
      <xdr:rowOff>4622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0973" y="147497"/>
          <a:ext cx="1107281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</xdr:row>
          <xdr:rowOff>133350</xdr:rowOff>
        </xdr:from>
        <xdr:to>
          <xdr:col>6</xdr:col>
          <xdr:colOff>695325</xdr:colOff>
          <xdr:row>1</xdr:row>
          <xdr:rowOff>390525</xdr:rowOff>
        </xdr:to>
        <xdr:sp macro="" textlink="">
          <xdr:nvSpPr>
            <xdr:cNvPr id="7175" name="txtSheetSearch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31</xdr:row>
      <xdr:rowOff>9525</xdr:rowOff>
    </xdr:from>
    <xdr:ext cx="4067176" cy="680769"/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5324475"/>
          <a:ext cx="4067176" cy="680769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ngyu Kang" id="{2FB3466B-B707-4C99-8F32-2C0B18466286}" userId="11fbb353ba5c371d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4CC800B9-07FB-4D79-929C-CC68F6765FC6}" autoFormatId="16" applyNumberFormats="0" applyBorderFormats="0" applyFontFormats="0" applyPatternFormats="0" applyAlignmentFormats="0" applyWidthHeightFormats="0">
  <queryTableRefresh nextId="31">
    <queryTableFields count="30">
      <queryTableField id="1" name="수취인명" tableColumnId="1"/>
      <queryTableField id="2" name="상품이름" tableColumnId="2"/>
      <queryTableField id="3" name="옵션" tableColumnId="3"/>
      <queryTableField id="4" name="수량" tableColumnId="4"/>
      <queryTableField id="5" name="박스 크기" tableColumnId="5"/>
      <queryTableField id="6" name="송장번호" tableColumnId="6"/>
      <queryTableField id="7" name="판매채널" tableColumnId="7"/>
      <queryTableField id="8" name="쇼핑몰구분" tableColumnId="8"/>
      <queryTableField id="9" name="구입일자" tableColumnId="9"/>
      <queryTableField id="10" name="(쿠)상품주문번호" tableColumnId="10"/>
      <queryTableField id="11" name="(네)상품주문번호" tableColumnId="11"/>
      <queryTableField id="12" name="구매자명" tableColumnId="12"/>
      <queryTableField id="13" name="주문자이메일&amp;ID" tableColumnId="13"/>
      <queryTableField id="14" name="구매자연락처" tableColumnId="14"/>
      <queryTableField id="15" name="출고일(발송일)" tableColumnId="15"/>
      <queryTableField id="16" name="택배사" tableColumnId="16"/>
      <queryTableField id="17" name="수취인전화번호1" tableColumnId="17"/>
      <queryTableField id="18" name="수취인전화번호2" tableColumnId="18"/>
      <queryTableField id="19" name="배송지" tableColumnId="19"/>
      <queryTableField id="20" name="배송메세지" tableColumnId="20"/>
      <queryTableField id="21" name="상품결제금액" tableColumnId="21"/>
      <queryTableField id="22" name="상품금액" tableColumnId="22"/>
      <queryTableField id="23" name="주문금액" tableColumnId="23"/>
      <queryTableField id="24" name="정산 예정 금액" tableColumnId="24"/>
      <queryTableField id="25" name="쇼핑몰 수수료" tableColumnId="25"/>
      <queryTableField id="26" name="기본 배송비" tableColumnId="26"/>
      <queryTableField id="27" name="도서산간 추가배송비" tableColumnId="27"/>
      <queryTableField id="28" name="묶음배송번호" tableColumnId="28"/>
      <queryTableField id="29" name="판매자 상품 코드" tableColumnId="29"/>
      <queryTableField id="30" name="합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AD84209D-90CE-481B-BF2D-6DB773E4C1E5}" autoFormatId="16" applyNumberFormats="0" applyBorderFormats="0" applyFontFormats="0" applyPatternFormats="0" applyAlignmentFormats="0" applyWidthHeightFormats="0">
  <queryTableRefresh nextId="32" unboundColumnsRight="1">
    <queryTableFields count="31">
      <queryTableField id="1" name="ID" tableColumnId="1"/>
      <queryTableField id="2" name="쇼핑몰구분" tableColumnId="2"/>
      <queryTableField id="3" name="판매채널" tableColumnId="3"/>
      <queryTableField id="4" name="구매자명" tableColumnId="4"/>
      <queryTableField id="5" name="발송일" tableColumnId="5"/>
      <queryTableField id="6" name="수취인명" tableColumnId="6"/>
      <queryTableField id="7" name="송장번호" tableColumnId="7"/>
      <queryTableField id="8" name="상품명" tableColumnId="8"/>
      <queryTableField id="9" name="옵션정보" tableColumnId="9"/>
      <queryTableField id="10" name="수량" tableColumnId="10"/>
      <queryTableField id="11" name="거래처지급액" tableColumnId="11"/>
      <queryTableField id="12" name="업체배송비" tableColumnId="12"/>
      <queryTableField id="13" name="박스가격" tableColumnId="13"/>
      <queryTableField id="14" name="구입일자" tableColumnId="14"/>
      <queryTableField id="15" name="상품주문번호" tableColumnId="15"/>
      <queryTableField id="16" name="구매자ID" tableColumnId="16"/>
      <queryTableField id="17" name="구매자연락처" tableColumnId="17"/>
      <queryTableField id="18" name="택배사" tableColumnId="18"/>
      <queryTableField id="19" name="배송완료일" tableColumnId="19"/>
      <queryTableField id="20" name="수취인연락처1" tableColumnId="20"/>
      <queryTableField id="21" name="배송지" tableColumnId="21"/>
      <queryTableField id="22" name="배송메세지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제주/도서추가배송비" tableColumnId="26"/>
      <queryTableField id="27" name="추가제작비용" tableColumnId="27"/>
      <queryTableField id="28" name="판매자메모" tableColumnId="28"/>
      <queryTableField id="29" name="클레임" tableColumnId="29"/>
      <queryTableField id="30" name="묶음" tableColumnId="30"/>
      <queryTableField id="31" dataBound="0" tableColumnId="3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CC215B-B2FC-4AFD-AF36-12ADB0622999}" autoFormatId="16" applyNumberFormats="0" applyBorderFormats="0" applyFontFormats="0" applyPatternFormats="0" applyAlignmentFormats="0" applyWidthHeightFormats="0">
  <queryTableRefresh nextId="59">
    <queryTableFields count="49">
      <queryTableField id="1" name="ID" tableColumnId="1"/>
      <queryTableField id="2" name="쇼핑몰구분" tableColumnId="2"/>
      <queryTableField id="8" name="구입일자" tableColumnId="8"/>
      <queryTableField id="3" name="상품주문번호" tableColumnId="3"/>
      <queryTableField id="4" name="판매채널" tableColumnId="4"/>
      <queryTableField id="5" name="구매자명" tableColumnId="5"/>
      <queryTableField id="6" name="구매자ID" tableColumnId="6"/>
      <queryTableField id="7" name="구매자연락처" tableColumnId="7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8" name="상품명" tableColumnId="18"/>
      <queryTableField id="19" name="옵션정보" tableColumnId="19"/>
      <queryTableField id="20" name="수량" tableColumnId="20"/>
      <queryTableField id="13" name="수취인명" tableColumnId="13"/>
      <queryTableField id="14" name="수취인연락처1" tableColumnId="14"/>
      <queryTableField id="15" name="수취인연락처2" tableColumnId="15"/>
      <queryTableField id="16" name="배송지" tableColumnId="16"/>
      <queryTableField id="17" name="배송메세지" tableColumnId="17"/>
      <queryTableField id="36" name="판매자메모" tableColumnId="36"/>
      <queryTableField id="37" name="클레임" tableColumnId="37"/>
      <queryTableField id="21" name="결제액" tableColumnId="21"/>
      <queryTableField id="22" name="판매자부담할인액" tableColumnId="22"/>
      <queryTableField id="23" name="배송비" tableColumnId="23"/>
      <queryTableField id="25" name="업체배송비" tableColumnId="25"/>
      <queryTableField id="24" name="제주/도서추가배송비" tableColumnId="24"/>
      <queryTableField id="26" name="박스가격" tableColumnId="26"/>
      <queryTableField id="27" name="추가제작비용" tableColumnId="27"/>
      <queryTableField id="38" name="종류" tableColumnId="38"/>
      <queryTableField id="39" name="재구매" tableColumnId="39"/>
      <queryTableField id="28" name="1개판매금액" tableColumnId="28"/>
      <queryTableField id="29" name="제품공급가" tableColumnId="29"/>
      <queryTableField id="30" name="총판매금액" tableColumnId="30"/>
      <queryTableField id="31" name="거래처지급액" tableColumnId="31"/>
      <queryTableField id="32" name="수수료" tableColumnId="32"/>
      <queryTableField id="33" name="순이익" tableColumnId="33"/>
      <queryTableField id="34" name="마진율" tableColumnId="34"/>
      <queryTableField id="35" name="검사" tableColumnId="35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8" name="제품공급가액(VAT+)" tableColumnId="4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4AB2103-E9D5-4A92-9C99-FB7177529F4D}" autoFormatId="16" applyNumberFormats="0" applyBorderFormats="0" applyFontFormats="0" applyPatternFormats="0" applyAlignmentFormats="0" applyWidthHeightFormats="0">
  <queryTableRefresh nextId="51">
    <queryTableFields count="49">
      <queryTableField id="1" name="ID" tableColumnId="1"/>
      <queryTableField id="2" name="쇼핑몰구분" tableColumnId="2"/>
      <queryTableField id="3" name="구입일자" tableColumnId="3"/>
      <queryTableField id="4" name="상품주문번호" tableColumnId="4"/>
      <queryTableField id="5" name="판매채널" tableColumnId="5"/>
      <queryTableField id="6" name="구매자명" tableColumnId="6"/>
      <queryTableField id="7" name="구매자ID" tableColumnId="7"/>
      <queryTableField id="8" name="구매자연락처" tableColumnId="8"/>
      <queryTableField id="9" name="발송일" tableColumnId="9"/>
      <queryTableField id="10" name="택배사" tableColumnId="10"/>
      <queryTableField id="11" name="송장번호" tableColumnId="11"/>
      <queryTableField id="12" name="배송완료일" tableColumnId="12"/>
      <queryTableField id="13" name="상품명" tableColumnId="13"/>
      <queryTableField id="14" name="옵션정보" tableColumnId="14"/>
      <queryTableField id="15" name="수량" tableColumnId="15"/>
      <queryTableField id="16" name="수취인명" tableColumnId="16"/>
      <queryTableField id="17" name="수취인연락처1" tableColumnId="17"/>
      <queryTableField id="18" name="수취인연락처2" tableColumnId="18"/>
      <queryTableField id="19" name="배송지" tableColumnId="19"/>
      <queryTableField id="20" name="배송메세지" tableColumnId="20"/>
      <queryTableField id="21" name="판매자메모" tableColumnId="21"/>
      <queryTableField id="22" name="클레임" tableColumnId="22"/>
      <queryTableField id="23" name="결제액" tableColumnId="23"/>
      <queryTableField id="24" name="판매자부담할인액" tableColumnId="24"/>
      <queryTableField id="25" name="배송비" tableColumnId="25"/>
      <queryTableField id="26" name="업체배송비" tableColumnId="26"/>
      <queryTableField id="27" name="제주/도서추가배송비" tableColumnId="27"/>
      <queryTableField id="28" name="박스가격" tableColumnId="28"/>
      <queryTableField id="29" name="추가제작비용" tableColumnId="29"/>
      <queryTableField id="30" name="종류" tableColumnId="30"/>
      <queryTableField id="31" name="재구매" tableColumnId="31"/>
      <queryTableField id="32" name="1개판매금액" tableColumnId="32"/>
      <queryTableField id="33" name="제품공급가" tableColumnId="33"/>
      <queryTableField id="34" name="총판매금액" tableColumnId="34"/>
      <queryTableField id="35" name="거래처지급액" tableColumnId="35"/>
      <queryTableField id="36" name="수수료" tableColumnId="36"/>
      <queryTableField id="37" name="순이익" tableColumnId="37"/>
      <queryTableField id="38" name="마진율" tableColumnId="38"/>
      <queryTableField id="39" name="검사" tableColumnId="39"/>
      <queryTableField id="40" name="시트버전" tableColumnId="40"/>
      <queryTableField id="41" name="묶음" tableColumnId="41"/>
      <queryTableField id="42" name="총판매금액(검)" tableColumnId="42"/>
      <queryTableField id="43" name="거래처지급액(검)" tableColumnId="43"/>
      <queryTableField id="44" name="수수료(검)" tableColumnId="44"/>
      <queryTableField id="45" name="순이익(검)" tableColumnId="45"/>
      <queryTableField id="46" name="마진율(검)" tableColumnId="46"/>
      <queryTableField id="47" name="검사(검)" tableColumnId="47"/>
      <queryTableField id="48" name="누계" tableColumnId="48"/>
      <queryTableField id="50" name="제품공급가액(VAT+)" tableColumnId="5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59501DB0-C46B-4C6F-82CA-CF3F5F059FBF}" autoFormatId="16" applyNumberFormats="0" applyBorderFormats="0" applyFontFormats="0" applyPatternFormats="0" applyAlignmentFormats="0" applyWidthHeightFormats="0">
  <queryTableRefresh nextId="25">
    <queryTableFields count="24">
      <queryTableField id="1" name="제품코드" tableColumnId="1"/>
      <queryTableField id="2" name="품목" tableColumnId="2"/>
      <queryTableField id="3" name="사이즈" tableColumnId="3"/>
      <queryTableField id="4" name="판매가" tableColumnId="4"/>
      <queryTableField id="5" name="판매가5%" tableColumnId="5"/>
      <queryTableField id="6" name="판매가2.5%" tableColumnId="6"/>
      <queryTableField id="7" name="마진" tableColumnId="7"/>
      <queryTableField id="8" name="SEDB47.판매가" tableColumnId="8"/>
      <queryTableField id="9" name="SEDB47.판매가5%" tableColumnId="9"/>
      <queryTableField id="10" name="SEDB47.판매가2.5%" tableColumnId="10"/>
      <queryTableField id="11" name="SEDB47.마진" tableColumnId="11"/>
      <queryTableField id="12" name="공급가" tableColumnId="12"/>
      <queryTableField id="13" name="공급가10%" tableColumnId="13"/>
      <queryTableField id="14" name="수량(권)" tableColumnId="14"/>
      <queryTableField id="15" name="수량(단)" tableColumnId="15"/>
      <queryTableField id="16" name="단가격" tableColumnId="16"/>
      <queryTableField id="17" name="종류2" tableColumnId="17"/>
      <queryTableField id="18" name="new색상" tableColumnId="18"/>
      <queryTableField id="19" name="색상1" tableColumnId="19"/>
      <queryTableField id="20" name="색상2" tableColumnId="20"/>
      <queryTableField id="21" name="색상3" tableColumnId="21"/>
      <queryTableField id="22" name="색상4" tableColumnId="22"/>
      <queryTableField id="23" name="색상5" tableColumnId="23"/>
      <queryTableField id="24" name="색상6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105E06B-712D-40B8-BB58-DCDE0D09D969}" name="TOGLE" displayName="TOGLE" ref="AB1:BE178" tableType="queryTable" totalsRowShown="0">
  <autoFilter ref="AB1:BE178" xr:uid="{B105E06B-712D-40B8-BB58-DCDE0D09D9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60EF8FAC-C070-46F8-840B-E1BE590CE713}" uniqueName="1" name="수취인명" queryTableFieldId="1" dataDxfId="258"/>
    <tableColumn id="2" xr3:uid="{698B1332-D331-4A4D-A3F5-E8AC38FD08AF}" uniqueName="2" name="상품이름" queryTableFieldId="2" dataDxfId="257"/>
    <tableColumn id="3" xr3:uid="{37932B30-5539-44BF-8D53-DEEA8C877466}" uniqueName="3" name="옵션" queryTableFieldId="3" dataDxfId="256"/>
    <tableColumn id="4" xr3:uid="{AC12EF53-B004-4794-AC9C-49A01F4E2495}" uniqueName="4" name="수량" queryTableFieldId="4"/>
    <tableColumn id="5" xr3:uid="{7C325377-36E9-4DC8-AB9D-CD1C9F35FF48}" uniqueName="5" name="박스 크기" queryTableFieldId="5" dataDxfId="255"/>
    <tableColumn id="6" xr3:uid="{2903062F-A7F2-47FF-8819-8D335BCD1F8E}" uniqueName="6" name="송장번호" queryTableFieldId="6" dataDxfId="254"/>
    <tableColumn id="7" xr3:uid="{FC163A90-6F92-445C-BC25-A0BB909C260B}" uniqueName="7" name="판매채널" queryTableFieldId="7" dataDxfId="253"/>
    <tableColumn id="8" xr3:uid="{385C206A-1496-4606-8102-54480982AA2B}" uniqueName="8" name="쇼핑몰구분" queryTableFieldId="8" dataDxfId="252"/>
    <tableColumn id="9" xr3:uid="{16345EFA-2162-4F4C-AEB8-7DA93B4F86F3}" uniqueName="9" name="구입일자" queryTableFieldId="9" dataDxfId="251"/>
    <tableColumn id="10" xr3:uid="{77392DFC-155C-4384-8F5E-356AF88B4542}" uniqueName="10" name="(쿠)상품주문번호" queryTableFieldId="10" dataDxfId="250"/>
    <tableColumn id="11" xr3:uid="{C0D0DE6D-9CB0-4710-8EF1-503096D188B2}" uniqueName="11" name="(네)상품주문번호" queryTableFieldId="11" dataDxfId="249"/>
    <tableColumn id="12" xr3:uid="{F85CCDEF-CEDE-4E58-A3D1-D5A4BAC4D6B6}" uniqueName="12" name="구매자명" queryTableFieldId="12" dataDxfId="248"/>
    <tableColumn id="13" xr3:uid="{EBE56160-AB0A-429D-8DE7-8D56901A1C12}" uniqueName="13" name="주문자이메일&amp;ID" queryTableFieldId="13" dataDxfId="247"/>
    <tableColumn id="14" xr3:uid="{6A7E86D4-34B5-4B12-8625-3A3194D78B1F}" uniqueName="14" name="구매자연락처" queryTableFieldId="14" dataDxfId="246"/>
    <tableColumn id="15" xr3:uid="{8D971530-5056-462F-86EA-E9F554D6B74C}" uniqueName="15" name="출고일(발송일)" queryTableFieldId="15" dataDxfId="245"/>
    <tableColumn id="16" xr3:uid="{A78B0325-9EA6-4E92-AC0E-F1F0A67857CE}" uniqueName="16" name="택배사" queryTableFieldId="16" dataDxfId="244"/>
    <tableColumn id="17" xr3:uid="{CED50E02-316C-4011-A332-230657111A99}" uniqueName="17" name="수취인전화번호1" queryTableFieldId="17" dataDxfId="243"/>
    <tableColumn id="18" xr3:uid="{E8FFF03E-EE50-42A5-AA7C-C3B58081EA0F}" uniqueName="18" name="수취인전화번호2" queryTableFieldId="18" dataDxfId="242"/>
    <tableColumn id="19" xr3:uid="{1D19160A-3B1A-44CA-948B-1FCA8A20096F}" uniqueName="19" name="배송지" queryTableFieldId="19" dataDxfId="241"/>
    <tableColumn id="20" xr3:uid="{A0825D76-8425-44F4-9CFE-8F9838337005}" uniqueName="20" name="배송메세지" queryTableFieldId="20" dataDxfId="240"/>
    <tableColumn id="21" xr3:uid="{E22A855B-FDCC-4821-931D-9522BDD8E2CE}" uniqueName="21" name="상품결제금액" queryTableFieldId="21"/>
    <tableColumn id="22" xr3:uid="{168AF206-7BCC-4AF0-82B7-7C80A9938C8F}" uniqueName="22" name="상품금액" queryTableFieldId="22"/>
    <tableColumn id="23" xr3:uid="{EA0A66AA-0F2D-4278-AE8A-FC1920A83302}" uniqueName="23" name="주문금액" queryTableFieldId="23"/>
    <tableColumn id="24" xr3:uid="{B9B01892-218A-4984-99F4-E549C5313C22}" uniqueName="24" name="정산 예정 금액" queryTableFieldId="24"/>
    <tableColumn id="25" xr3:uid="{942CAF00-1B84-49E2-8DA8-78192D701338}" uniqueName="25" name="쇼핑몰 수수료" queryTableFieldId="25"/>
    <tableColumn id="26" xr3:uid="{FF9D218C-C2F0-4922-930F-31EE8A09F564}" uniqueName="26" name="기본 배송비" queryTableFieldId="26"/>
    <tableColumn id="27" xr3:uid="{A59D7344-9DFE-4086-9DF0-81F73E151B5C}" uniqueName="27" name="도서산간 추가배송비" queryTableFieldId="27"/>
    <tableColumn id="28" xr3:uid="{EE76111A-F29A-4D0B-983F-765B6662D7AD}" uniqueName="28" name="묶음배송번호" queryTableFieldId="28" dataDxfId="239"/>
    <tableColumn id="29" xr3:uid="{4630E61C-E795-4854-BA94-0FC16F7CF684}" uniqueName="29" name="판매자 상품 코드" queryTableFieldId="29" dataDxfId="238"/>
    <tableColumn id="30" xr3:uid="{457FD144-3FE0-4F29-90AA-FF1B4B373FEC}" uniqueName="30" name="합" queryTableField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9A4A318-76AF-44AF-93D4-D841E889343F}" name="출고표1" displayName="출고표1" ref="A1:AE180" tableType="queryTable" totalsRowShown="0">
  <autoFilter ref="A1:AE180" xr:uid="{49A4A318-76AF-44AF-93D4-D841E88934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</autoFilter>
  <tableColumns count="31">
    <tableColumn id="1" xr3:uid="{4E9AD8DD-13C1-42F4-BD6B-36A3A9C8BF38}" uniqueName="1" name="ID" queryTableFieldId="1"/>
    <tableColumn id="2" xr3:uid="{5B2FD426-4FA6-40A7-B51A-01FC99227F5C}" uniqueName="2" name="쇼핑몰구분" queryTableFieldId="2" dataDxfId="237"/>
    <tableColumn id="3" xr3:uid="{3A05D2A0-2798-461D-9D22-DCCAE144BF4B}" uniqueName="3" name="판매채널" queryTableFieldId="3" dataDxfId="236"/>
    <tableColumn id="4" xr3:uid="{B411C9EE-CECA-462E-9B9C-3B525C5E4B99}" uniqueName="4" name="구매자명" queryTableFieldId="4" dataDxfId="235"/>
    <tableColumn id="5" xr3:uid="{B122A19F-7CD2-41E7-B4B7-16DF90172929}" uniqueName="5" name="발송일" queryTableFieldId="5" dataDxfId="234"/>
    <tableColumn id="6" xr3:uid="{998053E4-B158-4CE9-8064-A0562ADF0CC2}" uniqueName="6" name="수취인명" queryTableFieldId="6" dataDxfId="233"/>
    <tableColumn id="7" xr3:uid="{028ADB0D-1833-4BB7-8CE6-16EFF073D6AF}" uniqueName="7" name="송장번호" queryTableFieldId="7" dataDxfId="232"/>
    <tableColumn id="8" xr3:uid="{20ABFB0A-1594-4294-A9B3-CCB6DCCED279}" uniqueName="8" name="상품명" queryTableFieldId="8" dataDxfId="231"/>
    <tableColumn id="9" xr3:uid="{CF8674A8-CCC7-4AE2-AE62-983493ED43C2}" uniqueName="9" name="옵션정보" queryTableFieldId="9" dataDxfId="230"/>
    <tableColumn id="10" xr3:uid="{8DFAF0B2-195A-4AB9-81E3-3321EA108654}" uniqueName="10" name="수량" queryTableFieldId="10"/>
    <tableColumn id="11" xr3:uid="{E8B5B0B5-3EC6-4132-849D-286A29AFB6F6}" uniqueName="11" name="거래처지급액" queryTableFieldId="11"/>
    <tableColumn id="12" xr3:uid="{08C07B4C-A53D-4A5A-864A-906087914F9C}" uniqueName="12" name="업체배송비" queryTableFieldId="12"/>
    <tableColumn id="13" xr3:uid="{8A261908-A496-41C4-A632-A68C8D5E0931}" uniqueName="13" name="박스가격" queryTableFieldId="13"/>
    <tableColumn id="14" xr3:uid="{607C5A53-1E1E-4FC7-82E2-115A602C87B1}" uniqueName="14" name="구입일자" queryTableFieldId="14" dataDxfId="229"/>
    <tableColumn id="15" xr3:uid="{38E7AA40-91C2-417D-85AF-F56B832A81ED}" uniqueName="15" name="상품주문번호" queryTableFieldId="15" dataDxfId="228"/>
    <tableColumn id="16" xr3:uid="{B366872A-4919-4855-AB30-958069AD00D3}" uniqueName="16" name="구매자ID" queryTableFieldId="16" dataDxfId="227"/>
    <tableColumn id="17" xr3:uid="{90318BB5-AC0E-40B2-BE81-15367F67F8C9}" uniqueName="17" name="구매자연락처" queryTableFieldId="17" dataDxfId="226"/>
    <tableColumn id="18" xr3:uid="{FFC1BBF3-63AE-4402-8138-439ED3CF9CEF}" uniqueName="18" name="택배사" queryTableFieldId="18" dataDxfId="225"/>
    <tableColumn id="19" xr3:uid="{E3979920-F70D-43C8-ADEE-0511AAA6F06C}" uniqueName="19" name="배송완료일" queryTableFieldId="19" dataDxfId="224"/>
    <tableColumn id="20" xr3:uid="{078EE672-4B86-47F9-96DD-0DC9745F77EF}" uniqueName="20" name="수취인연락처1" queryTableFieldId="20" dataDxfId="223"/>
    <tableColumn id="21" xr3:uid="{9351806F-405C-497A-A745-D69C0D68594C}" uniqueName="21" name="배송지" queryTableFieldId="21" dataDxfId="222"/>
    <tableColumn id="22" xr3:uid="{CB174A4B-9447-497F-8B0A-101DD08D528C}" uniqueName="22" name="배송메세지" queryTableFieldId="22" dataDxfId="221"/>
    <tableColumn id="23" xr3:uid="{650B75A3-26AC-4A85-A8B6-05D8E41AF57D}" uniqueName="23" name="결제액" queryTableFieldId="23"/>
    <tableColumn id="24" xr3:uid="{85C293CB-E20F-443D-B25B-5078CBC5A83E}" uniqueName="24" name="판매자부담할인액" queryTableFieldId="24"/>
    <tableColumn id="25" xr3:uid="{7A76D991-36C5-4DFD-AEA7-3B41C1987AFD}" uniqueName="25" name="배송비" queryTableFieldId="25"/>
    <tableColumn id="26" xr3:uid="{7DF77A5D-47E2-438C-8A66-2C72B4341356}" uniqueName="26" name="제주/도서추가배송비" queryTableFieldId="26"/>
    <tableColumn id="27" xr3:uid="{86B306B9-631E-4EB0-9096-9E45C0EF7BB3}" uniqueName="27" name="추가제작비용" queryTableFieldId="27"/>
    <tableColumn id="28" xr3:uid="{65EF736F-CD37-483C-A25E-727C3D3E5C61}" uniqueName="28" name="판매자메모" queryTableFieldId="28"/>
    <tableColumn id="29" xr3:uid="{187F0B6D-88E2-4C43-B1D4-DC5F7E9A2FCF}" uniqueName="29" name="클레임" queryTableFieldId="29"/>
    <tableColumn id="30" xr3:uid="{EB7F0B9D-A897-42D6-9D42-D42317BE82C2}" uniqueName="30" name="묶음" queryTableFieldId="30"/>
    <tableColumn id="31" xr3:uid="{77E01AEE-909B-4E92-B746-C52AA952D333}" uniqueName="31" name="검사" queryTableFieldId="31" dataDxfId="220">
      <calculatedColumnFormula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E61CB25-12AC-4D41-9CB5-85266BA93175}" name="F출고표" displayName="F출고표" ref="A1:AW73" tableType="queryTable" totalsRowShown="0">
  <autoFilter ref="A1:AW73" xr:uid="{1E61CB25-12AC-4D41-9CB5-85266BA9317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7F7B871A-56E3-4155-9DF8-F9678A349411}" uniqueName="1" name="ID" queryTableFieldId="1"/>
    <tableColumn id="2" xr3:uid="{DE9DFAE2-3696-4086-A276-1563B6068972}" uniqueName="2" name="쇼핑몰구분" queryTableFieldId="2" dataDxfId="219"/>
    <tableColumn id="8" xr3:uid="{F95802F7-EAFA-4913-8C7B-02F26EAC3833}" uniqueName="8" name="구입일자" queryTableFieldId="8" dataDxfId="218"/>
    <tableColumn id="3" xr3:uid="{CE12C6D1-C7B9-4C16-8B4D-F218F491483A}" uniqueName="3" name="상품주문번호" queryTableFieldId="3" dataDxfId="217"/>
    <tableColumn id="4" xr3:uid="{9467AD6D-A1DA-4B0E-ABEB-84366AC06069}" uniqueName="4" name="판매채널" queryTableFieldId="4" dataDxfId="216"/>
    <tableColumn id="5" xr3:uid="{D53B8D68-99E4-481A-8F72-A1A45DD0061F}" uniqueName="5" name="구매자명" queryTableFieldId="5" dataDxfId="215"/>
    <tableColumn id="6" xr3:uid="{1CFA4FA1-7A77-49A6-8BFE-712958395699}" uniqueName="6" name="구매자ID" queryTableFieldId="6" dataDxfId="214"/>
    <tableColumn id="7" xr3:uid="{F936FB31-BECA-4173-A408-A365D1B9F3B3}" uniqueName="7" name="구매자연락처" queryTableFieldId="7" dataDxfId="213"/>
    <tableColumn id="9" xr3:uid="{F4AE78F5-1E52-47A1-A313-9EB22845BC2D}" uniqueName="9" name="발송일" queryTableFieldId="9" dataDxfId="212"/>
    <tableColumn id="10" xr3:uid="{D7E7C3EB-6EC2-4C20-A237-3F83325B9CA8}" uniqueName="10" name="택배사" queryTableFieldId="10" dataDxfId="211"/>
    <tableColumn id="11" xr3:uid="{ED3EFEE5-194B-4168-9BF5-EECCA8F6E79C}" uniqueName="11" name="송장번호" queryTableFieldId="11" dataDxfId="210"/>
    <tableColumn id="12" xr3:uid="{A2AFAE48-A27E-42EA-83FD-4DC9C54AAC77}" uniqueName="12" name="배송완료일" queryTableFieldId="12" dataDxfId="209"/>
    <tableColumn id="18" xr3:uid="{B9F6A038-FA20-4AC2-97D9-8FE35D8F94E6}" uniqueName="18" name="상품명" queryTableFieldId="18" dataDxfId="208"/>
    <tableColumn id="19" xr3:uid="{FBE91A20-E3E5-465F-9127-33346A457961}" uniqueName="19" name="옵션정보" queryTableFieldId="19" dataDxfId="207"/>
    <tableColumn id="20" xr3:uid="{DC19E679-AB29-49BC-BD46-645DBAABB666}" uniqueName="20" name="수량" queryTableFieldId="20"/>
    <tableColumn id="13" xr3:uid="{E38C2C7B-8F67-4407-80CC-3A861F841ED4}" uniqueName="13" name="수취인명" queryTableFieldId="13" dataDxfId="206"/>
    <tableColumn id="14" xr3:uid="{0A554F91-0809-47C7-8B5A-84D963942B57}" uniqueName="14" name="수취인연락처1" queryTableFieldId="14" dataDxfId="205"/>
    <tableColumn id="15" xr3:uid="{0BFC8B46-4C06-4D81-B502-F832B600E80A}" uniqueName="15" name="수취인연락처2" queryTableFieldId="15" dataDxfId="204"/>
    <tableColumn id="16" xr3:uid="{2A8A0814-FB58-4C29-8908-23FF0111727C}" uniqueName="16" name="배송지" queryTableFieldId="16" dataDxfId="203"/>
    <tableColumn id="17" xr3:uid="{E3535723-AD92-491A-AFCF-9536F5979A17}" uniqueName="17" name="배송메세지" queryTableFieldId="17" dataDxfId="202"/>
    <tableColumn id="36" xr3:uid="{82B0836C-B14C-4940-803E-DFA69F728215}" uniqueName="36" name="판매자메모" queryTableFieldId="36"/>
    <tableColumn id="37" xr3:uid="{5722C3F0-F1F5-4128-93B6-2CEE054C57C9}" uniqueName="37" name="클레임" queryTableFieldId="37"/>
    <tableColumn id="21" xr3:uid="{E86135D9-11D1-4BF5-AEED-180D6E3B53A5}" uniqueName="21" name="결제액" queryTableFieldId="21"/>
    <tableColumn id="22" xr3:uid="{251735AF-519C-4042-B9DC-67776FD5B8B4}" uniqueName="22" name="판매자부담할인액" queryTableFieldId="22"/>
    <tableColumn id="23" xr3:uid="{11155182-9C41-4910-A774-DE348ED7F25C}" uniqueName="23" name="배송비" queryTableFieldId="23"/>
    <tableColumn id="25" xr3:uid="{FD7684F0-1906-4BD3-B99E-58E03D93ACC5}" uniqueName="25" name="업체배송비" queryTableFieldId="25"/>
    <tableColumn id="24" xr3:uid="{35D92AA9-9B2E-4F2E-9EC4-67AAD6FE1313}" uniqueName="24" name="제주/도서추가배송비" queryTableFieldId="24"/>
    <tableColumn id="26" xr3:uid="{AA3F25BB-DFEA-480F-B4F6-42D6C2EB41AF}" uniqueName="26" name="박스가격" queryTableFieldId="26"/>
    <tableColumn id="27" xr3:uid="{AAE5D76E-6635-4034-B278-803881C325B6}" uniqueName="27" name="추가제작비용" queryTableFieldId="27"/>
    <tableColumn id="38" xr3:uid="{D9A61A16-8409-40E3-A721-672378CF344B}" uniqueName="38" name="종류" queryTableFieldId="38" dataDxfId="201"/>
    <tableColumn id="39" xr3:uid="{D0949E37-4C11-4A1A-9E15-517D3B5CC2B5}" uniqueName="39" name="재구매" queryTableFieldId="39" dataDxfId="200"/>
    <tableColumn id="28" xr3:uid="{C7E3B349-E82F-479D-8351-9C9D0CD08590}" uniqueName="28" name="1개판매금액" queryTableFieldId="28"/>
    <tableColumn id="29" xr3:uid="{23642D68-AF04-4BE0-8AAF-97ECAE01322B}" uniqueName="29" name="제품공급가" queryTableFieldId="29"/>
    <tableColumn id="30" xr3:uid="{6C56E125-CA4D-40B4-93C8-74D80F14BF9D}" uniqueName="30" name="총판매금액" queryTableFieldId="30"/>
    <tableColumn id="31" xr3:uid="{22900346-8E0A-4A52-B9FD-CAE454B4A9BD}" uniqueName="31" name="거래처지급액" queryTableFieldId="31"/>
    <tableColumn id="32" xr3:uid="{AD657442-C815-47FB-85CC-9D705B3D35F5}" uniqueName="32" name="수수료" queryTableFieldId="32"/>
    <tableColumn id="33" xr3:uid="{F24FB8D6-6C14-4058-BABF-1C1A4C3FFDB7}" uniqueName="33" name="순이익" queryTableFieldId="33"/>
    <tableColumn id="34" xr3:uid="{BB5857D4-5A6C-4E27-996F-54E63B766CD5}" uniqueName="34" name="마진율" queryTableFieldId="34"/>
    <tableColumn id="35" xr3:uid="{624E746E-4773-461B-A2AB-89E339245CCB}" uniqueName="35" name="검사" queryTableFieldId="35"/>
    <tableColumn id="40" xr3:uid="{BA161140-316E-41D5-9BE6-61F477B2C83D}" uniqueName="40" name="시트버전" queryTableFieldId="40" dataDxfId="199"/>
    <tableColumn id="41" xr3:uid="{7AAB3E98-9B24-44CA-BC1E-4F2BD1797B73}" uniqueName="41" name="묶음" queryTableFieldId="41"/>
    <tableColumn id="42" xr3:uid="{EDB8A60C-654C-4C1D-96DF-022C244E199A}" uniqueName="42" name="총판매금액(검)" queryTableFieldId="42"/>
    <tableColumn id="43" xr3:uid="{8CA0FF4A-284C-470E-A00F-0A50B73E08D5}" uniqueName="43" name="거래처지급액(검)" queryTableFieldId="43"/>
    <tableColumn id="44" xr3:uid="{7C1E49F0-76E9-45E4-82FF-2E403157555D}" uniqueName="44" name="수수료(검)" queryTableFieldId="44"/>
    <tableColumn id="45" xr3:uid="{2E4B736B-912A-410D-8ADB-938A06D510D8}" uniqueName="45" name="순이익(검)" queryTableFieldId="45"/>
    <tableColumn id="46" xr3:uid="{3A5617A1-7EB4-4809-88BB-B18C40D7218A}" uniqueName="46" name="마진율(검)" queryTableFieldId="46"/>
    <tableColumn id="47" xr3:uid="{5414381A-8460-429C-8D45-0CDFEABDA009}" uniqueName="47" name="검사(검)" queryTableFieldId="47" dataDxfId="198"/>
    <tableColumn id="48" xr3:uid="{2DB8D235-1B72-4CD9-A85E-2144BA355F9E}" uniqueName="48" name="누계" queryTableFieldId="48"/>
    <tableColumn id="49" xr3:uid="{B02C2476-90FE-4CFD-A7FB-C3BF5B92A391}" uniqueName="49" name="제품공급가액(VAT+)" queryTableFieldId="5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BE423DE-B052-4E3D-8D1F-B555ECE2F118}" name="S출고표" displayName="S출고표" ref="A1:AW108" tableType="queryTable" totalsRowShown="0">
  <autoFilter ref="A1:AW108" xr:uid="{BBE423DE-B052-4E3D-8D1F-B555ECE2F1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</autoFilter>
  <tableColumns count="49">
    <tableColumn id="1" xr3:uid="{69230B0E-2284-45C6-8611-CC52DEB0933D}" uniqueName="1" name="ID" queryTableFieldId="1"/>
    <tableColumn id="2" xr3:uid="{5020F395-DDDD-4A9E-8D96-DDBC6D97840A}" uniqueName="2" name="쇼핑몰구분" queryTableFieldId="2" dataDxfId="197"/>
    <tableColumn id="3" xr3:uid="{B947059C-AAB1-4AFB-A2B4-999BBD1F0BD0}" uniqueName="3" name="구입일자" queryTableFieldId="3" dataDxfId="196"/>
    <tableColumn id="4" xr3:uid="{3AAB31CC-2375-479B-A8D1-270DBA09E725}" uniqueName="4" name="상품주문번호" queryTableFieldId="4" dataDxfId="195"/>
    <tableColumn id="5" xr3:uid="{CE8F3FE2-9F8B-4FCC-8268-C7603A99EEC9}" uniqueName="5" name="판매채널" queryTableFieldId="5" dataDxfId="194"/>
    <tableColumn id="6" xr3:uid="{19AF87B1-EF53-4284-AE54-F78C999EC5D6}" uniqueName="6" name="구매자명" queryTableFieldId="6" dataDxfId="193"/>
    <tableColumn id="7" xr3:uid="{DE00362B-F5F6-4276-AC04-A768DD94FE8F}" uniqueName="7" name="구매자ID" queryTableFieldId="7" dataDxfId="192"/>
    <tableColumn id="8" xr3:uid="{1D30E320-F48B-463A-A5DE-C677146B820E}" uniqueName="8" name="구매자연락처" queryTableFieldId="8" dataDxfId="191"/>
    <tableColumn id="9" xr3:uid="{BB8BEEDC-BF91-472D-A1A4-E83B3B4A5F2F}" uniqueName="9" name="발송일" queryTableFieldId="9" dataDxfId="190"/>
    <tableColumn id="10" xr3:uid="{64BA593A-DD36-41CC-8928-F2AB0686ED5F}" uniqueName="10" name="택배사" queryTableFieldId="10" dataDxfId="189"/>
    <tableColumn id="11" xr3:uid="{A905F53B-CF55-4C1B-93A1-1CD54CDB0DAA}" uniqueName="11" name="송장번호" queryTableFieldId="11" dataDxfId="188"/>
    <tableColumn id="12" xr3:uid="{BD889FE9-D4E8-408C-8C4B-05D16A5DEB6D}" uniqueName="12" name="배송완료일" queryTableFieldId="12" dataDxfId="187"/>
    <tableColumn id="13" xr3:uid="{109E3F68-E8B1-478F-A8CE-61AE9B92DB8F}" uniqueName="13" name="상품명" queryTableFieldId="13" dataDxfId="186"/>
    <tableColumn id="14" xr3:uid="{BCA57F6D-988F-4E2B-A78D-ADE22150CD77}" uniqueName="14" name="옵션정보" queryTableFieldId="14" dataDxfId="185"/>
    <tableColumn id="15" xr3:uid="{C455ADA8-8B9E-41CD-B168-B604964C5182}" uniqueName="15" name="수량" queryTableFieldId="15"/>
    <tableColumn id="16" xr3:uid="{FB04AAB4-B2A0-45D3-924F-A469396C592B}" uniqueName="16" name="수취인명" queryTableFieldId="16" dataDxfId="184"/>
    <tableColumn id="17" xr3:uid="{B7AF0AE4-6945-4FD6-B078-B9F4C56128D7}" uniqueName="17" name="수취인연락처1" queryTableFieldId="17" dataDxfId="183"/>
    <tableColumn id="18" xr3:uid="{6DEF3D89-11F0-4D11-A8A7-6979386B8FF6}" uniqueName="18" name="수취인연락처2" queryTableFieldId="18" dataDxfId="182"/>
    <tableColumn id="19" xr3:uid="{5F4D2AC2-B182-402D-ABAA-6EF99A855B5F}" uniqueName="19" name="배송지" queryTableFieldId="19" dataDxfId="181"/>
    <tableColumn id="20" xr3:uid="{E606FD6E-CAD9-4DEB-B706-C0DDA6286E92}" uniqueName="20" name="배송메세지" queryTableFieldId="20" dataDxfId="180"/>
    <tableColumn id="21" xr3:uid="{707AB4C3-1CA8-4319-97EB-640258BE801E}" uniqueName="21" name="판매자메모" queryTableFieldId="21"/>
    <tableColumn id="22" xr3:uid="{C21E241C-B9FC-46FC-AE16-6CC8E32E90DE}" uniqueName="22" name="클레임" queryTableFieldId="22"/>
    <tableColumn id="23" xr3:uid="{1CA52B5E-F062-46CF-A03B-95030C6B6030}" uniqueName="23" name="결제액" queryTableFieldId="23"/>
    <tableColumn id="24" xr3:uid="{2E318A24-10DF-4939-B885-F54187798502}" uniqueName="24" name="판매자부담할인액" queryTableFieldId="24"/>
    <tableColumn id="25" xr3:uid="{4C290FCE-943F-4410-86BC-160282096D92}" uniqueName="25" name="배송비" queryTableFieldId="25"/>
    <tableColumn id="26" xr3:uid="{8862AF5A-608D-4875-9005-897412768951}" uniqueName="26" name="업체배송비" queryTableFieldId="26"/>
    <tableColumn id="27" xr3:uid="{0B57FB79-78CA-465A-B06F-4C4955229921}" uniqueName="27" name="제주/도서추가배송비" queryTableFieldId="27"/>
    <tableColumn id="28" xr3:uid="{AB255C41-CDF1-40C5-A5A1-DDAB98A49F2F}" uniqueName="28" name="박스가격" queryTableFieldId="28"/>
    <tableColumn id="29" xr3:uid="{E0964D14-DC51-443B-B8EE-A06C97CBD46C}" uniqueName="29" name="추가제작비용" queryTableFieldId="29"/>
    <tableColumn id="30" xr3:uid="{CA389721-36EB-4C92-A327-0191A9D69990}" uniqueName="30" name="종류" queryTableFieldId="30" dataDxfId="179"/>
    <tableColumn id="31" xr3:uid="{87C6276F-49AB-45FC-83BE-8BC18B66CCB3}" uniqueName="31" name="재구매" queryTableFieldId="31" dataDxfId="178"/>
    <tableColumn id="32" xr3:uid="{79288C1A-A1BA-4BBC-86DF-14EDC898226A}" uniqueName="32" name="1개판매금액" queryTableFieldId="32"/>
    <tableColumn id="33" xr3:uid="{2FCA648B-60E8-4C41-86A0-BBE0D280DAFC}" uniqueName="33" name="제품공급가" queryTableFieldId="33"/>
    <tableColumn id="34" xr3:uid="{F88854A2-D026-40A6-B507-E592C3BF93F1}" uniqueName="34" name="총판매금액" queryTableFieldId="34"/>
    <tableColumn id="35" xr3:uid="{B0385E06-4730-4ADF-BD97-F34D5C4DF283}" uniqueName="35" name="거래처지급액" queryTableFieldId="35"/>
    <tableColumn id="36" xr3:uid="{F18A6D41-871C-474B-A03E-869D8078DA8A}" uniqueName="36" name="수수료" queryTableFieldId="36"/>
    <tableColumn id="37" xr3:uid="{9BA6AB16-697B-4C82-87E4-2618EA53577B}" uniqueName="37" name="순이익" queryTableFieldId="37"/>
    <tableColumn id="38" xr3:uid="{163362CE-E414-4D83-AA4F-6A405F052047}" uniqueName="38" name="마진율" queryTableFieldId="38"/>
    <tableColumn id="39" xr3:uid="{A911F97B-E862-4691-99FE-3D54732124D1}" uniqueName="39" name="검사" queryTableFieldId="39"/>
    <tableColumn id="40" xr3:uid="{DA707CE6-B58C-4334-A0A4-C3D7E5168CF1}" uniqueName="40" name="시트버전" queryTableFieldId="40" dataDxfId="177"/>
    <tableColumn id="41" xr3:uid="{6BD1EAFE-DFEF-4AC0-8492-EB53EBA77EF5}" uniqueName="41" name="묶음" queryTableFieldId="41"/>
    <tableColumn id="42" xr3:uid="{BA558660-2044-4029-AB47-9C481C037A29}" uniqueName="42" name="총판매금액(검)" queryTableFieldId="42"/>
    <tableColumn id="43" xr3:uid="{65A19C93-E002-497F-911F-CB9DF2652059}" uniqueName="43" name="거래처지급액(검)" queryTableFieldId="43"/>
    <tableColumn id="44" xr3:uid="{BF0CC429-121E-4EA8-A2DD-8FE83A921C87}" uniqueName="44" name="수수료(검)" queryTableFieldId="44"/>
    <tableColumn id="45" xr3:uid="{79D80DE3-5AAD-4B59-8268-C8C274E19B69}" uniqueName="45" name="순이익(검)" queryTableFieldId="45"/>
    <tableColumn id="46" xr3:uid="{045754DC-6E16-4549-B6BD-989FEC6BAAC7}" uniqueName="46" name="마진율(검)" queryTableFieldId="46"/>
    <tableColumn id="47" xr3:uid="{FB896183-E560-4A38-8CDC-DED2582490C6}" uniqueName="47" name="검사(검)" queryTableFieldId="47" dataDxfId="176"/>
    <tableColumn id="48" xr3:uid="{687357FC-DECC-4C68-B1C8-211C4CE6E0F2}" uniqueName="48" name="누계" queryTableFieldId="48"/>
    <tableColumn id="50" xr3:uid="{53E99B27-8FB6-4FD3-89BE-56ADD752F539}" uniqueName="50" name="제품공급가액(VAT+)" queryTableFieldId="5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A563962-7B7A-4727-8ECF-311B59B74877}" name="출고표" displayName="출고표" ref="A1:AV180" totalsRowShown="0" headerRowDxfId="166" dataDxfId="165" tableBorderDxfId="164">
  <autoFilter ref="A1:AV180" xr:uid="{499864D1-B109-4D43-8EDD-C08E381FC69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A4D3AD5-B470-4020-B2D8-429D9A778B30}" name="ID" dataDxfId="163"/>
    <tableColumn id="2" xr3:uid="{7EF9914A-7598-4C32-9B35-A72C29C3748B}" name="쇼핑몰구분" dataDxfId="162"/>
    <tableColumn id="3" xr3:uid="{9C8B108D-291F-4C6D-8183-3B2D20428E5C}" name="상품주문번호" dataDxfId="161"/>
    <tableColumn id="4" xr3:uid="{3DA424FC-7897-4FC5-8083-1E4FDA39B485}" name="판매채널" dataDxfId="160"/>
    <tableColumn id="5" xr3:uid="{FA866435-F324-47AF-9EDE-1A59F28A33A4}" name="구매자명" dataDxfId="159"/>
    <tableColumn id="6" xr3:uid="{A2D909E7-1961-48AB-ABAC-E6E054BC2069}" name="구매자ID" dataDxfId="158"/>
    <tableColumn id="7" xr3:uid="{2821550D-B4B7-4F7E-B5E9-112CB56AC09B}" name="구매자연락처" dataDxfId="157"/>
    <tableColumn id="8" xr3:uid="{83FA33EA-5517-4AB7-8395-BC3772E39D7B}" name="구입일자" dataDxfId="156"/>
    <tableColumn id="9" xr3:uid="{90CFD471-6446-49ED-BFB9-90E3F59E2D80}" name="발송일" dataDxfId="155"/>
    <tableColumn id="10" xr3:uid="{85473EF7-E8E6-4030-A61B-C0729614F495}" name="택배사" dataDxfId="154"/>
    <tableColumn id="11" xr3:uid="{5E487F4A-D746-4D19-BE60-63E65268E186}" name="송장번호" dataDxfId="153"/>
    <tableColumn id="12" xr3:uid="{C3C3FDA5-981E-4C7E-BD7E-5843D2EFACEA}" name="배송완료일" dataDxfId="152"/>
    <tableColumn id="13" xr3:uid="{59B995A7-7F88-4DA6-BBD9-1F60D3888F43}" name="수취인명" dataDxfId="151"/>
    <tableColumn id="14" xr3:uid="{83B62BB8-9801-44DE-826A-987810A45747}" name="수취인연락처1" dataDxfId="150"/>
    <tableColumn id="15" xr3:uid="{17496A84-4655-4A9A-8261-09D9A32E7716}" name="수취인연락처2" dataDxfId="149"/>
    <tableColumn id="16" xr3:uid="{BB696DE8-F579-4BD8-8710-1449C849DCA2}" name="배송지" dataDxfId="148"/>
    <tableColumn id="17" xr3:uid="{20B9DDA0-DB38-4639-80FA-FBCA6A2469C1}" name="배송메세지" dataDxfId="147"/>
    <tableColumn id="18" xr3:uid="{CED291CC-AECE-4950-AA75-EDA6A6EAC262}" name="상품명" dataDxfId="146"/>
    <tableColumn id="19" xr3:uid="{83A9161B-80F7-4A5D-B6B8-15455A41D8EA}" name="옵션정보" dataDxfId="145"/>
    <tableColumn id="20" xr3:uid="{DC83A706-C042-4999-86A9-28113928855E}" name="수량" dataDxfId="144"/>
    <tableColumn id="21" xr3:uid="{D27DDAD3-8672-478F-891D-5C605A384E75}" name="결제액" dataDxfId="143"/>
    <tableColumn id="22" xr3:uid="{AE8EE42C-4677-4012-B1DD-4B0355D05765}" name="판매자부담할인액" dataDxfId="142"/>
    <tableColumn id="23" xr3:uid="{D0795740-607F-4484-9A08-F498C9BEEDDD}" name="배송비" dataDxfId="141"/>
    <tableColumn id="24" xr3:uid="{1DEEBFD5-9C42-43B5-B31E-8BBA474C1138}" name="제주/도서추가배송비" dataDxfId="140"/>
    <tableColumn id="25" xr3:uid="{B9C7F1ED-66A8-4238-9058-27D828E1B672}" name="업체배송비" dataDxfId="139"/>
    <tableColumn id="26" xr3:uid="{48DA88EF-0867-4D45-A77E-B5E43A419245}" name="박스가격" dataDxfId="138"/>
    <tableColumn id="27" xr3:uid="{7B00F0D0-7870-4CDA-9A07-F43654747300}" name="추가제작비용" dataDxfId="137"/>
    <tableColumn id="28" xr3:uid="{2FB7DC2A-3C80-4137-86BB-A04DA7A80A32}" name="1개판매금액" dataDxfId="136"/>
    <tableColumn id="29" xr3:uid="{420BE3D2-4B07-42AA-B2BB-B32BA670C0F0}" name="제품공급가" dataDxfId="135"/>
    <tableColumn id="30" xr3:uid="{39D2BD8B-3E94-4262-9C41-7205E9EA42FF}" name="총판매금액" dataDxfId="134"/>
    <tableColumn id="31" xr3:uid="{F5AD7B41-09DF-4158-8584-E9F4FA452E43}" name="거래처지급액" dataDxfId="133"/>
    <tableColumn id="32" xr3:uid="{AF28BB34-AA3B-40A9-A606-30437C3A0A5F}" name="수수료" dataDxfId="132"/>
    <tableColumn id="33" xr3:uid="{193DA2CD-B6F4-4CBF-B664-FBDD67EA7735}" name="순이익" dataDxfId="131"/>
    <tableColumn id="34" xr3:uid="{32175204-F8CB-4EFB-A97B-B01951AF67A6}" name="마진율" dataDxfId="130"/>
    <tableColumn id="35" xr3:uid="{060BE659-AAA4-46E5-B034-C34A3C79002B}" name="검사" dataDxfId="129"/>
    <tableColumn id="36" xr3:uid="{6210BB5D-85B8-420C-82A3-3C59D55C0FF8}" name="판매자메모" dataDxfId="128"/>
    <tableColumn id="37" xr3:uid="{32BA58E9-E93A-4FC4-967E-A6D6C8F3476E}" name="클레임" dataDxfId="127"/>
    <tableColumn id="38" xr3:uid="{A0A3E4EC-1629-4AF5-8867-B3AFCCCD30B5}" name="종류" dataDxfId="126"/>
    <tableColumn id="39" xr3:uid="{2BC8E711-F8F9-44A2-97AD-BF3C8BD6D3B8}" name="재구매" dataDxfId="125"/>
    <tableColumn id="40" xr3:uid="{CD00A249-2B7F-4FD8-917E-627AE5A3C24C}" name="시트버전" dataDxfId="124"/>
    <tableColumn id="41" xr3:uid="{507AFB53-F95C-4A11-8AEE-362021E5C335}" name="묶음" dataDxfId="123"/>
    <tableColumn id="42" xr3:uid="{D8496B50-C8D9-4656-87C9-3F77D9AA1A76}" name="총판매금액(검)" dataDxfId="122">
      <calculatedColumnFormula>IFERROR(IF(출고표[[#This Row],[클레임]]="반품",출고표[[#This Row],[배송비]],출고표[[#This Row],[결제액]]+출고표[[#This Row],[배송비]]+출고표[[#This Row],[제주/도서추가배송비]]),0)</calculatedColumnFormula>
    </tableColumn>
    <tableColumn id="43" xr3:uid="{88F90258-B4AD-40AE-8F33-38B63DEE1D80}" name="거래처지급액(검)" dataDxfId="121">
      <calculatedColumnFormula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calculatedColumnFormula>
    </tableColumn>
    <tableColumn id="44" xr3:uid="{AC52A286-2361-4088-BED3-9C47F8D5CBE7}" name="수수료(검)" dataDxfId="120">
      <calculatedColumnFormula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calculatedColumnFormula>
    </tableColumn>
    <tableColumn id="45" xr3:uid="{A5582252-56A5-4CC2-82BF-8AC941F619FE}" name="순이익(검)" dataDxfId="119">
      <calculatedColumnFormula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calculatedColumnFormula>
    </tableColumn>
    <tableColumn id="46" xr3:uid="{C7B8185B-73C7-44D5-970E-CC513BFCB03A}" name="마진율(검)" dataDxfId="118">
      <calculatedColumnFormula>IFERROR(IF(OR(출고표[[#This Row],[쇼핑몰구분]]="비닐팩토리",출고표[[#This Row],[클레임]]="반품"),"",IF(출고표[[#This Row],[총판매금액(검)]]=0,0,ROUND(출고표[[#This Row],[순이익(검)]]/출고표[[#This Row],[총판매금액(검)]],4))),0)</calculatedColumnFormula>
    </tableColumn>
    <tableColumn id="47" xr3:uid="{EDB8A12D-071A-4146-BA62-1581E09837DD}" name="검사(검)" dataDxfId="117">
      <calculatedColumnFormula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calculatedColumnFormula>
    </tableColumn>
    <tableColumn id="48" xr3:uid="{F0B356E4-1586-45CC-B505-B6744268C7FA}" name="누계" dataDxfId="116">
      <calculatedColumnFormula>IFERROR(IF(D2="스마트스토어",COUNTIFS(출고표[구입일자],"&lt;&gt;"&amp;H2,출고표[구매자명],E2,출고표[구매자연락처],F2),COUNTIFS(출고표[구입일자],"&lt;&gt;"&amp;H2,출고표[구매자명],E2,출고표[구매자연락처],G2)),0)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BE50BA2-0121-465C-80B8-56629519A1DB}" name="고객표" displayName="고객표" ref="A1:M122" totalsRowShown="0" headerRowDxfId="97" dataDxfId="96">
  <autoFilter ref="A1:M122" xr:uid="{7F0A6D8B-D7CD-41DD-9A08-9727C03084B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1580C37-8E79-44BF-8EC2-ABF7E23E6663}" name="ID" dataDxfId="95"/>
    <tableColumn id="2" xr3:uid="{FEE1C01C-919F-439F-AD31-34EE3DFD8146}" name="쇼핑몰구분" dataDxfId="94"/>
    <tableColumn id="3" xr3:uid="{92A958FB-AD15-4704-95F9-82D8F0BA1B30}" name="판매채널" dataDxfId="93"/>
    <tableColumn id="4" xr3:uid="{A6B56AF1-BFEB-472F-8F49-86A79F51F056}" name="구매자명" dataDxfId="92"/>
    <tableColumn id="5" xr3:uid="{D7933B53-78C8-4B87-95D9-AF33713E4549}" name="구매자ID" dataDxfId="91"/>
    <tableColumn id="6" xr3:uid="{FCB1A0D7-B783-4BB6-B4E7-F76CE2239777}" name="구매자연락처" dataDxfId="90"/>
    <tableColumn id="7" xr3:uid="{0E59BCBB-296C-42E7-A0FB-4DCF05694C48}" name="수취인명" dataDxfId="89"/>
    <tableColumn id="8" xr3:uid="{ACA0DAC8-D6BB-43F9-A495-9F59A5038ACB}" name="연락처1" dataDxfId="88"/>
    <tableColumn id="9" xr3:uid="{45D4B5A0-377D-4E71-B4C0-C13EE4018478}" name="연락처2" dataDxfId="87"/>
    <tableColumn id="10" xr3:uid="{5BC22408-0ABA-4B1C-B376-18ACCA590699}" name="메모" dataDxfId="86"/>
    <tableColumn id="11" xr3:uid="{29141005-583C-49CC-A4DF-A872D1DA4635}" name="CS메모" dataDxfId="85"/>
    <tableColumn id="12" xr3:uid="{868EB289-BDA7-424A-B3CB-A97C5DC7D628}" name="배송지" dataDxfId="84"/>
    <tableColumn id="13" xr3:uid="{1DEEE83B-2959-4CE0-8340-341D4958DE99}" name="누계" dataDxfId="83">
      <calculatedColumnFormula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3EAA02A-D8B2-4477-80E1-FE50FFF7DC51}" name="가격병합" displayName="가격병합" ref="A1:X105" tableType="queryTable" totalsRowShown="0">
  <autoFilter ref="A1:X105" xr:uid="{C3EAA02A-D8B2-4477-80E1-FE50FFF7DC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</autoFilter>
  <tableColumns count="24">
    <tableColumn id="1" xr3:uid="{69AC4E8B-0604-4771-A162-8B341330DB56}" uniqueName="1" name="제품코드" queryTableFieldId="1" dataDxfId="82"/>
    <tableColumn id="2" xr3:uid="{8FE9DB97-F9ED-4A28-B0F1-CF3E8567C227}" uniqueName="2" name="품목" queryTableFieldId="2" dataDxfId="81"/>
    <tableColumn id="3" xr3:uid="{54187AC2-D705-4642-A75D-FDE65E4CF1C9}" uniqueName="3" name="사이즈" queryTableFieldId="3" dataDxfId="80"/>
    <tableColumn id="4" xr3:uid="{1DA7A97D-92AA-442F-9050-936B85CC4E2D}" uniqueName="4" name="판매가" queryTableFieldId="4"/>
    <tableColumn id="5" xr3:uid="{FBDAAAE3-953D-412F-8608-9EE496DC5B3D}" uniqueName="5" name="판매가5%" queryTableFieldId="5"/>
    <tableColumn id="6" xr3:uid="{977C9850-4655-4C55-B504-4F91F810FCD9}" uniqueName="6" name="판매가2.5%" queryTableFieldId="6"/>
    <tableColumn id="7" xr3:uid="{ED1361A4-26E7-45C7-93D8-E484FE5DE47C}" uniqueName="7" name="마진" queryTableFieldId="7"/>
    <tableColumn id="8" xr3:uid="{AD88265C-1D5F-4FB8-ADB7-F30C7ED942FA}" uniqueName="8" name="SEDB47.판매가" queryTableFieldId="8"/>
    <tableColumn id="9" xr3:uid="{053CB06F-3D58-45A7-8225-7BDDE36427EC}" uniqueName="9" name="SEDB47.판매가5%" queryTableFieldId="9"/>
    <tableColumn id="10" xr3:uid="{DCC675F6-8C13-4144-9AC1-4AD372B85C5C}" uniqueName="10" name="SEDB47.판매가2.5%" queryTableFieldId="10"/>
    <tableColumn id="11" xr3:uid="{6B264F2F-43CF-4EF8-B743-72339E5994D7}" uniqueName="11" name="SEDB47.마진" queryTableFieldId="11"/>
    <tableColumn id="12" xr3:uid="{496FCD45-4630-49DE-B046-B06F5C7EA74A}" uniqueName="12" name="공급가" queryTableFieldId="12"/>
    <tableColumn id="13" xr3:uid="{8F6DC09B-0A3C-4C9C-8A28-61C1783A3D52}" uniqueName="13" name="공급가10%" queryTableFieldId="13"/>
    <tableColumn id="14" xr3:uid="{D074155B-ADDD-47F5-97B0-FFA68B15DA84}" uniqueName="14" name="수량(권)" queryTableFieldId="14"/>
    <tableColumn id="15" xr3:uid="{02FC1203-E434-4A47-ABF5-63BE59F54FBF}" uniqueName="15" name="수량(단)" queryTableFieldId="15"/>
    <tableColumn id="16" xr3:uid="{6BD712DF-7CEB-4859-8E59-39790DF3489F}" uniqueName="16" name="단가격" queryTableFieldId="16"/>
    <tableColumn id="17" xr3:uid="{477C28A4-6E2F-4610-8E9E-F676E74F4285}" uniqueName="17" name="종류2" queryTableFieldId="17" dataDxfId="79"/>
    <tableColumn id="18" xr3:uid="{8A9C89E5-59CF-45C2-8C9D-8756B14F5BA6}" uniqueName="18" name="new색상" queryTableFieldId="18" dataDxfId="78"/>
    <tableColumn id="19" xr3:uid="{8D05AE13-138D-4FD5-ADE1-BDDCE37840D8}" uniqueName="19" name="색상1" queryTableFieldId="19" dataDxfId="77"/>
    <tableColumn id="20" xr3:uid="{D9142729-42AC-4FEA-B3A7-EA4D62034A8F}" uniqueName="20" name="색상2" queryTableFieldId="20" dataDxfId="76"/>
    <tableColumn id="21" xr3:uid="{75B5B1B9-8EF8-4CF9-82EA-4F0EB296C711}" uniqueName="21" name="색상3" queryTableFieldId="21" dataDxfId="75"/>
    <tableColumn id="22" xr3:uid="{12ABB4D6-0DCE-43C1-AA32-0E23F2B3BE1D}" uniqueName="22" name="색상4" queryTableFieldId="22" dataDxfId="74"/>
    <tableColumn id="23" xr3:uid="{3BE15FB2-CBF8-4197-B76D-3F882FA4F5FA}" uniqueName="23" name="색상5" queryTableFieldId="23" dataDxfId="73"/>
    <tableColumn id="24" xr3:uid="{E71B7C7E-9FA8-43AC-902D-A988B95E7660}" uniqueName="24" name="색상6" queryTableFieldId="24" dataDxfId="7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4FAD6F-D835-49FA-B7C2-9921DCBC42EA}" name="채널수수료" displayName="채널수수료" ref="H25:M35" totalsRowShown="0" headerRowDxfId="67" dataDxfId="66" totalsRowBorderDxfId="65" dataCellStyle="백분율">
  <autoFilter ref="H25:M35" xr:uid="{F734C027-7A4D-4CA2-9444-C6554CCE006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6633E74F-E0D2-4E3B-87C8-0C5BB729E559}" name="이름" dataDxfId="64"/>
    <tableColumn id="2" xr3:uid="{59D33092-76F2-4D87-B47F-78E9F018028E}" name="가격ID" dataDxfId="63"/>
    <tableColumn id="3" xr3:uid="{37408B55-45FF-4A7B-A74B-7FE5F7EC31E1}" name="스토리수수료" dataDxfId="62" dataCellStyle="백분율"/>
    <tableColumn id="4" xr3:uid="{A530978B-CBC6-4677-B8A9-A61672B6CB8F}" name="팩토리수수료" dataDxfId="61" dataCellStyle="백분율"/>
    <tableColumn id="5" xr3:uid="{D7675C30-FC47-4822-9CDE-E8238BCDD799}" name="스토리택배수수료" dataDxfId="60" dataCellStyle="백분율"/>
    <tableColumn id="6" xr3:uid="{0196C153-C8AC-4069-9E5C-55E19169AD15}" name="팩토리택배수수료" dataDxfId="59" dataCellStyle="백분율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95F381D-B276-4480-9760-39CAD928986D}" name="클레임표" displayName="클레임표" ref="O25:O28" totalsRowShown="0" headerRowDxfId="58" dataDxfId="57">
  <autoFilter ref="O25:O28" xr:uid="{7C2CD797-DB79-4302-B614-559415B81CB0}">
    <filterColumn colId="0" hiddenButton="1"/>
  </autoFilter>
  <tableColumns count="1">
    <tableColumn id="1" xr3:uid="{E9AF6FF1-8B49-43FD-9977-4F15D221281B}" name="클레임CS" dataDxfId="5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6C1DC6-8EC2-4F1E-970A-75956FB87791}" name="쇼핑몰이름" displayName="쇼핑몰이름" ref="O31:O33" totalsRowShown="0" headerRowDxfId="55" dataDxfId="54">
  <autoFilter ref="O31:O33" xr:uid="{4C4C336E-2D61-4F53-ABFB-038AF5BB009E}">
    <filterColumn colId="0" hiddenButton="1"/>
  </autoFilter>
  <tableColumns count="1">
    <tableColumn id="1" xr3:uid="{DDF51AEB-82E1-4740-B02C-627531287D24}" name="쇼핑몰구분" dataDxfId="5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33885-B319-453A-BBCF-CF0F56CF7775}" name="색상코드" displayName="색상코드" ref="J1:J12" totalsRowShown="0" headerRowDxfId="52" dataDxfId="51">
  <autoFilter ref="J1:J12" xr:uid="{35C3306E-EBEC-4726-A28B-14E8EE3BAF71}">
    <filterColumn colId="0" hiddenButton="1"/>
  </autoFilter>
  <tableColumns count="1">
    <tableColumn id="2" xr3:uid="{39A61433-5049-4F49-A415-9F6DE452D747}" name="옵션명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0AA679-415C-48CF-B4AB-B2373B444BC8}" name="CJ요금표" displayName="CJ요금표" ref="O1:P11" totalsRowShown="0">
  <autoFilter ref="O1:P11" xr:uid="{8D957E85-D8E6-4A6B-86D7-FB00E726345F}">
    <filterColumn colId="0" hiddenButton="1"/>
    <filterColumn colId="1" hiddenButton="1"/>
  </autoFilter>
  <tableColumns count="2">
    <tableColumn id="1" xr3:uid="{42104A04-2943-4C18-BB2D-268DA825AA73}" name="명칭" dataDxfId="49"/>
    <tableColumn id="2" xr3:uid="{46524CE5-2867-44C3-8B68-D6F078CAEDDF}" name="금액" dataDxfId="48" dataCellStyle="쉼표 [0]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E2B80AF-10D0-4D97-9AC7-1E70C42F1527}" name="포장박스" displayName="포장박스" ref="L1:M7" totalsRowShown="0">
  <autoFilter ref="L1:M7" xr:uid="{6CBBF37F-6E36-499E-93E7-FEAA9F54190D}">
    <filterColumn colId="0" hiddenButton="1"/>
    <filterColumn colId="1" hiddenButton="1"/>
  </autoFilter>
  <tableColumns count="2">
    <tableColumn id="1" xr3:uid="{C7B395E1-7D85-4BE5-B663-A749AE3B6C6D}" name="명칭" dataDxfId="47"/>
    <tableColumn id="2" xr3:uid="{3B1D7D4C-E07D-474C-86AA-48443D4C77CB}" name="금액" dataDxfId="46" dataCellStyle="쉼표 [0]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C032BC-9938-4ACE-AE63-870ED0F61AA7}" name="쇼핑몰배송비" displayName="쇼핑몰배송비" ref="L11:M15" totalsRowShown="0" headerRowDxfId="45" dataDxfId="44">
  <autoFilter ref="L11:M15" xr:uid="{018791DB-8791-4944-A497-638DCAFE1719}">
    <filterColumn colId="0" hiddenButton="1"/>
    <filterColumn colId="1" hiddenButton="1"/>
  </autoFilter>
  <tableColumns count="2">
    <tableColumn id="1" xr3:uid="{F9497B91-BA51-4273-A8D7-C00BE4573900}" name="명칭" dataDxfId="43"/>
    <tableColumn id="2" xr3:uid="{72A2A86C-AB9E-4E75-B045-C336A745F26A}" name="금액" dataDxfId="4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BFFD8DF-B878-43B3-8842-37A8A99FD5FC}" name="제품시트" displayName="제품시트" ref="L18:M21" totalsRowShown="0" headerRowDxfId="41" dataDxfId="40">
  <autoFilter ref="L18:M21" xr:uid="{DC96EA3B-B079-4AF7-841A-21E741BBDEA1}">
    <filterColumn colId="0" hiddenButton="1"/>
    <filterColumn colId="1" hiddenButton="1"/>
  </autoFilter>
  <tableColumns count="2">
    <tableColumn id="1" xr3:uid="{ABBAAEF7-C711-406E-B9C0-1EE2532242C5}" name="시트이름" dataDxfId="39"/>
    <tableColumn id="2" xr3:uid="{DF6319C1-04A3-4A0C-BE1E-F0865926CC8E}" name="테이블이름" dataDxfId="3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D73662-2F2D-4890-ADB1-C39EA9E47FAB}" name="순이익표" displayName="순이익표" ref="R1:AB37" totalsRowShown="0" headerRowDxfId="37" dataDxfId="36">
  <autoFilter ref="R1:AB37" xr:uid="{075593FD-DBBF-4893-9D65-1A2C30A12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6FBE4C18-BA20-4496-834C-D8C0E9991753}" name="년" dataDxfId="35"/>
    <tableColumn id="2" xr3:uid="{BF9A5151-7C32-4FEF-9C58-F042CCDFD289}" name="월" dataDxfId="34"/>
    <tableColumn id="3" xr3:uid="{0DF31A1D-9191-4535-A3ED-2FB754DECDB5}" name="비닐스토리" dataDxfId="33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calculatedColumnFormula>
    </tableColumn>
    <tableColumn id="4" xr3:uid="{9852C374-BFE2-4895-9DA7-5391F1A54C3D}" name="거래처지급액" dataDxfId="32">
      <calculatedColumnFormula array="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calculatedColumnFormula>
    </tableColumn>
    <tableColumn id="5" xr3:uid="{F1003ECC-CBEB-4A7E-9EFF-8589C4439465}" name="순이익" dataDxfId="31">
      <calculatedColumnFormula array="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calculatedColumnFormula>
    </tableColumn>
    <tableColumn id="6" xr3:uid="{558EA898-C9AF-47B7-84E9-5C833E843921}" name="순수순이익" dataDxfId="30">
      <calculatedColumnFormula>순이익표[[#This Row],[순이익]]-(순이익표[[#This Row],[순이익]]/10)</calculatedColumnFormula>
    </tableColumn>
    <tableColumn id="7" xr3:uid="{8A4B9E65-2FFC-43D9-B29A-EA0AE0B156B6}" name="스_매출" dataDxfId="29">
      <calculatedColumnFormula>IFERROR(0-(1-($T3/$T2)),"")</calculatedColumnFormula>
    </tableColumn>
    <tableColumn id="8" xr3:uid="{F5846669-61E7-44BC-AB1B-835DE4BD87E7}" name="스_매출2" dataDxfId="28">
      <calculatedColumnFormula>IFERROR(0-(1-($U3/$U2)),"")</calculatedColumnFormula>
    </tableColumn>
    <tableColumn id="9" xr3:uid="{CFAD8BA5-5AAF-4394-BF34-FE3511B555C3}" name="스_매출3" dataDxfId="27">
      <calculatedColumnFormula>IFERROR(0-(1-($W3/$W2)),"")</calculatedColumnFormula>
    </tableColumn>
    <tableColumn id="10" xr3:uid="{DE7BC1FD-13EF-4D81-B3DC-699626F8B278}" name="비닐팩토리" dataDxfId="26">
      <calculatedColumnFormula array="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calculatedColumnFormula>
    </tableColumn>
    <tableColumn id="11" xr3:uid="{4AF13C95-923C-45FA-914A-69E843FAB042}" name="팩매출" dataDxfId="25">
      <calculatedColumnFormula>IFERROR(0-(1-($AA3/$AA2)),"")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215A1A-9D9F-4A88-AA2E-B0880F971948}" name="종류표" displayName="종류표" ref="AD1:AE105" totalsRowShown="0" headerRowDxfId="24" dataDxfId="23" tableBorderDxfId="22">
  <autoFilter ref="AD1:AE105" xr:uid="{3BA7AA52-599E-4269-8881-CBEA27124E69}">
    <filterColumn colId="0" hiddenButton="1"/>
    <filterColumn colId="1" hiddenButton="1"/>
  </autoFilter>
  <tableColumns count="2">
    <tableColumn id="1" xr3:uid="{AB5151E6-38E2-4646-899F-B62C204B28E2}" name="제품코드" dataDxfId="21"/>
    <tableColumn id="2" xr3:uid="{869ABCD9-3124-456A-8439-0E7054CDA055}" name="명칭" dataDxfId="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8480E5-1C03-441B-BC33-EF41A06AAB3D}" name="표1" displayName="표1" ref="H43:H48" totalsRowShown="0" headerRowDxfId="19" dataDxfId="18" tableBorderDxfId="17">
  <autoFilter ref="H43:H48" xr:uid="{9777C258-EBA7-4A8D-9137-42071F510617}">
    <filterColumn colId="0" hiddenButton="1"/>
  </autoFilter>
  <tableColumns count="1">
    <tableColumn id="1" xr3:uid="{61F82478-D163-41E1-BAE7-67AABDBEC955}" name="검수필터" dataDxf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F901EE5-3ED5-4812-A5CD-58EF29F08001}" name="표2" displayName="표2" ref="J43:J45" totalsRowShown="0" headerRowDxfId="15" dataDxfId="14">
  <autoFilter ref="J43:J45" xr:uid="{6F7195BB-C581-43A3-87AC-84145406C4DD}">
    <filterColumn colId="0" hiddenButton="1"/>
  </autoFilter>
  <tableColumns count="1">
    <tableColumn id="1" xr3:uid="{F5B10834-9154-4841-8406-931919152223}" name="정렬순서" dataDxfId="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2B61F52-F759-43D4-8CB1-ED5FD720F1F2}" name="표25" displayName="표25" ref="H1:H6" totalsRowShown="0" headerRowDxfId="12" dataDxfId="11" tableBorderDxfId="10">
  <autoFilter ref="H1:H6" xr:uid="{CD79C2A9-2113-438A-8807-4C4D1540348B}">
    <filterColumn colId="0" hiddenButton="1"/>
  </autoFilter>
  <tableColumns count="1">
    <tableColumn id="1" xr3:uid="{C867B946-399C-4D65-AEF0-F0AC32637AD4}" name="검색필터" dataDxfId="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65AB216-0773-49A6-92A7-74D1C5E348F5}" name="표2_7" displayName="표2_7" ref="H18:H20" totalsRowShown="0" headerRowDxfId="8" dataDxfId="7">
  <autoFilter ref="H18:H20" xr:uid="{358DC889-F902-4C8B-878D-8B7F666026EE}">
    <filterColumn colId="0" hiddenButton="1"/>
  </autoFilter>
  <tableColumns count="1">
    <tableColumn id="1" xr3:uid="{2C4EE60B-7691-42D7-9667-439B6267B40F}" name="정렬순서" dataDxf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7F76B8F-6BF0-4258-ACCF-299708F90152}" name="표26" displayName="표26" ref="J18:J20" totalsRowShown="0" headerRowDxfId="5" dataDxfId="4">
  <autoFilter ref="J18:J20" xr:uid="{F38130F5-8470-4CE1-9C9E-4A0D5F255796}">
    <filterColumn colId="0" hiddenButton="1"/>
  </autoFilter>
  <tableColumns count="1">
    <tableColumn id="1" xr3:uid="{B6FF881F-6801-494F-8E39-D6084C6801C1}" name="비닐스토리대시" dataDxfId="3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E6438D8-44EE-4198-B1A8-83DB9A8E71D5}" name="표16" displayName="표16" ref="M43:M44" totalsRowShown="0" headerRowDxfId="2" dataDxfId="1" headerRowCellStyle="표준 2" dataCellStyle="표준 2">
  <autoFilter ref="M43:M44" xr:uid="{EE6438D8-44EE-4198-B1A8-83DB9A8E71D5}">
    <filterColumn colId="0" hiddenButton="1"/>
  </autoFilter>
  <tableColumns count="1">
    <tableColumn id="1" xr3:uid="{386515AA-A3BE-47E8-8051-80DB7F7637AB}" name="빠른정산 수수료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" dT="2024-06-25T04:05:45.41" personId="{2FB3466B-B707-4C99-8F32-2C0B18466286}" id="{242B0A8F-7511-41AC-970F-A82BC55F1369}">
    <text>네이버는 건당 80원 추가됨</text>
  </threadedComment>
  <threadedComment ref="Z1" dT="2024-06-25T04:03:51.65" personId="{2FB3466B-B707-4C99-8F32-2C0B18466286}" id="{03B5F7FD-966D-49EB-BA45-A454BA97BC40}">
    <text>반품,반품1,제작
반품2(업체배송*2)
반품은 건당 200원 추가됨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3.vml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" Type="http://schemas.openxmlformats.org/officeDocument/2006/relationships/drawing" Target="../drawings/drawing3.xml"/><Relationship Id="rId16" Type="http://schemas.openxmlformats.org/officeDocument/2006/relationships/table" Target="../tables/table21.xml"/><Relationship Id="rId1" Type="http://schemas.openxmlformats.org/officeDocument/2006/relationships/hyperlink" Target="https://sellerking-help.super.site/%EB%A7%88%EC%A7%84%EC%9C%A8-%EA%B3%84%EC%82%B0%EA%B8%B0-%EC%88%98%EC%88%98%EB%A3%8C-%EC%95%88%EB%82%B4" TargetMode="Externa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10" Type="http://schemas.openxmlformats.org/officeDocument/2006/relationships/table" Target="../tables/table15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DFD46-C02C-466D-8977-08CCEA9AFF5B}">
  <sheetPr codeName="Sheet2">
    <tabColor theme="9" tint="0.39997558519241921"/>
  </sheetPr>
  <dimension ref="A1:DB107"/>
  <sheetViews>
    <sheetView workbookViewId="0">
      <selection activeCell="AP9" sqref="AP9"/>
    </sheetView>
  </sheetViews>
  <sheetFormatPr defaultRowHeight="18" customHeight="1"/>
  <cols>
    <col min="1" max="1" width="1.625" style="155" customWidth="1"/>
    <col min="2" max="2" width="3" style="155" customWidth="1"/>
    <col min="3" max="4" width="7.875" style="155" customWidth="1"/>
    <col min="5" max="5" width="8.375" style="155" customWidth="1"/>
    <col min="6" max="6" width="1.625" style="155" customWidth="1"/>
    <col min="7" max="7" width="1.625" style="157" customWidth="1"/>
    <col min="8" max="8" width="5.5" style="173" hidden="1" customWidth="1"/>
    <col min="9" max="9" width="9" style="156" hidden="1" customWidth="1"/>
    <col min="10" max="10" width="7.625" style="177" customWidth="1"/>
    <col min="11" max="11" width="10.375" style="176" hidden="1" customWidth="1"/>
    <col min="12" max="12" width="10.375" style="176" customWidth="1"/>
    <col min="13" max="13" width="9" style="176" hidden="1" customWidth="1"/>
    <col min="14" max="14" width="10.75" style="176" hidden="1" customWidth="1"/>
    <col min="15" max="15" width="7.625" style="177" hidden="1" customWidth="1"/>
    <col min="16" max="16" width="7.625" style="177" customWidth="1"/>
    <col min="17" max="17" width="9" style="176" hidden="1" customWidth="1"/>
    <col min="18" max="18" width="11.5" style="176" customWidth="1"/>
    <col min="19" max="19" width="9.75" style="178" hidden="1" customWidth="1"/>
    <col min="20" max="20" width="6.375" style="176" customWidth="1"/>
    <col min="21" max="22" width="4.375" style="176" customWidth="1"/>
    <col min="23" max="23" width="9" style="176" customWidth="1"/>
    <col min="24" max="24" width="9" style="176" hidden="1" customWidth="1"/>
    <col min="25" max="25" width="6.375" style="176" hidden="1" customWidth="1"/>
    <col min="26" max="26" width="4.125" style="176" hidden="1" customWidth="1"/>
    <col min="27" max="27" width="4.125" style="190" hidden="1" customWidth="1"/>
    <col min="28" max="28" width="9" style="190" hidden="1" customWidth="1"/>
    <col min="29" max="29" width="4.625" style="277" customWidth="1"/>
    <col min="30" max="30" width="9" style="190" hidden="1" customWidth="1"/>
    <col min="31" max="31" width="4.125" style="190" hidden="1" customWidth="1"/>
    <col min="32" max="32" width="7.5" style="190" hidden="1" customWidth="1"/>
    <col min="33" max="33" width="7.5" style="190" customWidth="1"/>
    <col min="34" max="36" width="4.125" style="190" customWidth="1"/>
    <col min="37" max="37" width="6.75" style="190" hidden="1" customWidth="1"/>
    <col min="38" max="38" width="7.25" style="190" hidden="1" customWidth="1"/>
    <col min="39" max="40" width="9" style="173" hidden="1" customWidth="1"/>
    <col min="41" max="42" width="7.5" style="206" customWidth="1"/>
    <col min="43" max="55" width="9" style="173" hidden="1" customWidth="1"/>
    <col min="56" max="56" width="1.625" style="156" hidden="1" customWidth="1"/>
    <col min="57" max="57" width="1.125" style="156" customWidth="1"/>
    <col min="58" max="59" width="9" style="156" hidden="1" customWidth="1"/>
    <col min="60" max="60" width="7.625" style="198" customWidth="1"/>
    <col min="61" max="61" width="0" style="199" hidden="1" customWidth="1"/>
    <col min="62" max="62" width="10.375" style="199" customWidth="1"/>
    <col min="63" max="65" width="0" style="199" hidden="1" customWidth="1"/>
    <col min="66" max="66" width="7.625" style="198" customWidth="1"/>
    <col min="67" max="67" width="0" style="199" hidden="1" customWidth="1"/>
    <col min="68" max="68" width="11.5" style="199" customWidth="1"/>
    <col min="69" max="69" width="0" style="199" hidden="1" customWidth="1"/>
    <col min="70" max="70" width="6.375" style="199" customWidth="1"/>
    <col min="71" max="72" width="4.125" style="199" customWidth="1"/>
    <col min="73" max="73" width="9" style="199"/>
    <col min="74" max="78" width="9" style="199" hidden="1" customWidth="1"/>
    <col min="79" max="79" width="4.625" style="273" customWidth="1"/>
    <col min="80" max="82" width="9" style="199" hidden="1" customWidth="1"/>
    <col min="83" max="83" width="7.5" style="200" customWidth="1"/>
    <col min="84" max="86" width="4.125" style="200" customWidth="1"/>
    <col min="87" max="90" width="0" style="200" hidden="1" customWidth="1"/>
    <col min="91" max="91" width="6.75" style="200" customWidth="1"/>
    <col min="92" max="106" width="0" style="156" hidden="1" customWidth="1"/>
    <col min="107" max="16384" width="9" style="156"/>
  </cols>
  <sheetData>
    <row r="1" spans="2:106" ht="18" customHeight="1">
      <c r="J1" s="174"/>
      <c r="K1" s="182"/>
      <c r="L1" s="182"/>
      <c r="M1" s="182"/>
      <c r="N1" s="182"/>
      <c r="O1" s="174"/>
      <c r="P1" s="174"/>
      <c r="Q1" s="182"/>
      <c r="R1" s="182"/>
      <c r="S1" s="183"/>
      <c r="T1" s="182"/>
      <c r="U1" s="182"/>
      <c r="V1" s="182"/>
      <c r="W1" s="182"/>
      <c r="X1" s="182"/>
      <c r="Y1" s="182"/>
      <c r="Z1" s="182"/>
      <c r="AA1" s="186"/>
      <c r="AB1" s="186"/>
      <c r="AC1" s="274"/>
      <c r="AD1" s="186"/>
      <c r="AE1" s="186"/>
      <c r="AF1" s="186"/>
      <c r="AG1" s="186"/>
      <c r="AH1" s="186"/>
      <c r="AI1" s="186"/>
      <c r="AJ1" s="186"/>
      <c r="AK1" s="186"/>
      <c r="AL1" s="186"/>
      <c r="AO1" s="197"/>
      <c r="AP1" s="197"/>
      <c r="BH1" s="195"/>
      <c r="BI1" s="173"/>
      <c r="BJ1" s="173"/>
      <c r="BK1" s="173"/>
      <c r="BL1" s="173"/>
      <c r="BM1" s="173"/>
      <c r="BN1" s="195"/>
      <c r="BO1" s="173"/>
      <c r="BP1" s="173"/>
      <c r="BQ1" s="173"/>
      <c r="BR1" s="173"/>
      <c r="BS1" s="173"/>
      <c r="BT1" s="173"/>
      <c r="BU1" s="173"/>
      <c r="BV1" s="173"/>
      <c r="BW1" s="173"/>
      <c r="BX1" s="173"/>
      <c r="BY1" s="173"/>
      <c r="BZ1" s="173"/>
      <c r="CA1" s="271"/>
      <c r="CB1" s="173"/>
      <c r="CC1" s="173"/>
      <c r="CD1" s="173"/>
      <c r="CE1" s="197"/>
      <c r="CF1" s="197"/>
      <c r="CG1" s="197"/>
      <c r="CH1" s="197"/>
      <c r="CI1" s="197"/>
      <c r="CJ1" s="197"/>
      <c r="CK1" s="197"/>
      <c r="CL1" s="197"/>
      <c r="CM1" s="197"/>
    </row>
    <row r="2" spans="2:106" ht="18" customHeight="1">
      <c r="J2" s="174"/>
      <c r="K2" s="182"/>
      <c r="L2" s="182"/>
      <c r="M2" s="182"/>
      <c r="N2" s="182"/>
      <c r="O2" s="174"/>
      <c r="P2" s="174"/>
      <c r="Q2" s="182"/>
      <c r="R2" s="182"/>
      <c r="S2" s="183"/>
      <c r="T2" s="182"/>
      <c r="U2" s="182"/>
      <c r="V2" s="182"/>
      <c r="W2" s="182"/>
      <c r="X2" s="182"/>
      <c r="Y2" s="182"/>
      <c r="Z2" s="182"/>
      <c r="AA2" s="186"/>
      <c r="AB2" s="186"/>
      <c r="AC2" s="274"/>
      <c r="AD2" s="186"/>
      <c r="AE2" s="186"/>
      <c r="AF2" s="186"/>
      <c r="AG2" s="186"/>
      <c r="AH2" s="186"/>
      <c r="AI2" s="186"/>
      <c r="AJ2" s="186"/>
      <c r="AK2" s="186"/>
      <c r="AL2" s="186"/>
      <c r="AO2" s="197"/>
      <c r="AP2" s="197"/>
      <c r="BH2" s="195"/>
      <c r="BI2" s="173"/>
      <c r="BJ2" s="173"/>
      <c r="BK2" s="173"/>
      <c r="BL2" s="173"/>
      <c r="BM2" s="173"/>
      <c r="BN2" s="195"/>
      <c r="BO2" s="173"/>
      <c r="BP2" s="173"/>
      <c r="BQ2" s="173"/>
      <c r="BR2" s="173"/>
      <c r="BS2" s="173"/>
      <c r="BT2" s="173"/>
      <c r="BU2" s="173"/>
      <c r="BV2" s="173"/>
      <c r="BW2" s="173"/>
      <c r="BX2" s="173"/>
      <c r="BY2" s="173"/>
      <c r="BZ2" s="173"/>
      <c r="CA2" s="271"/>
      <c r="CB2" s="173"/>
      <c r="CC2" s="173"/>
      <c r="CD2" s="173"/>
      <c r="CE2" s="197"/>
      <c r="CF2" s="197"/>
      <c r="CG2" s="197"/>
      <c r="CH2" s="197"/>
      <c r="CI2" s="197"/>
      <c r="CJ2" s="197"/>
      <c r="CK2" s="197"/>
      <c r="CL2" s="197"/>
      <c r="CM2" s="197"/>
    </row>
    <row r="3" spans="2:106" ht="18" customHeight="1">
      <c r="J3" s="174"/>
      <c r="K3" s="182"/>
      <c r="L3" s="182"/>
      <c r="M3" s="182"/>
      <c r="N3" s="182"/>
      <c r="O3" s="174"/>
      <c r="P3" s="174"/>
      <c r="Q3" s="182"/>
      <c r="R3" s="182"/>
      <c r="S3" s="183"/>
      <c r="T3" s="182"/>
      <c r="U3" s="182"/>
      <c r="V3" s="182"/>
      <c r="W3" s="182"/>
      <c r="X3" s="182"/>
      <c r="Y3" s="182"/>
      <c r="Z3" s="182"/>
      <c r="AA3" s="186"/>
      <c r="AB3" s="186"/>
      <c r="AC3" s="274"/>
      <c r="AD3" s="186"/>
      <c r="AE3" s="186"/>
      <c r="AF3" s="186"/>
      <c r="AG3" s="186"/>
      <c r="AH3" s="186"/>
      <c r="AI3" s="186"/>
      <c r="AJ3" s="186"/>
      <c r="AK3" s="186"/>
      <c r="AL3" s="186"/>
      <c r="AO3" s="197"/>
      <c r="AP3" s="197"/>
      <c r="BH3" s="195"/>
      <c r="BI3" s="173"/>
      <c r="BJ3" s="173"/>
      <c r="BK3" s="173"/>
      <c r="BL3" s="173"/>
      <c r="BM3" s="173"/>
      <c r="BN3" s="195"/>
      <c r="BO3" s="173"/>
      <c r="BP3" s="173"/>
      <c r="BQ3" s="173"/>
      <c r="BR3" s="173"/>
      <c r="BS3" s="173"/>
      <c r="BT3" s="173"/>
      <c r="BU3" s="173"/>
      <c r="BV3" s="173"/>
      <c r="BW3" s="173"/>
      <c r="BX3" s="173"/>
      <c r="BY3" s="173"/>
      <c r="BZ3" s="173"/>
      <c r="CA3" s="271"/>
      <c r="CB3" s="173"/>
      <c r="CC3" s="173"/>
      <c r="CD3" s="173"/>
      <c r="CE3" s="197"/>
      <c r="CF3" s="197"/>
      <c r="CG3" s="197"/>
      <c r="CH3" s="197"/>
      <c r="CI3" s="197"/>
      <c r="CJ3" s="197"/>
      <c r="CK3" s="197"/>
      <c r="CL3" s="197"/>
      <c r="CM3" s="197"/>
    </row>
    <row r="4" spans="2:106" ht="18" customHeight="1">
      <c r="D4" s="284" t="str">
        <f>Settings!C9</f>
        <v>v8.0.3</v>
      </c>
      <c r="E4" s="284"/>
      <c r="J4" s="174"/>
      <c r="K4" s="182"/>
      <c r="L4" s="182"/>
      <c r="M4" s="182"/>
      <c r="N4" s="182"/>
      <c r="O4" s="174"/>
      <c r="P4" s="174"/>
      <c r="Q4" s="182"/>
      <c r="R4" s="182"/>
      <c r="S4" s="183"/>
      <c r="T4" s="182"/>
      <c r="U4" s="182"/>
      <c r="V4" s="182"/>
      <c r="W4" s="182"/>
      <c r="X4" s="182"/>
      <c r="Y4" s="182"/>
      <c r="Z4" s="182"/>
      <c r="AA4" s="186"/>
      <c r="AB4" s="186"/>
      <c r="AC4" s="274"/>
      <c r="AD4" s="186"/>
      <c r="AE4" s="186"/>
      <c r="AF4" s="186"/>
      <c r="AG4" s="186"/>
      <c r="AH4" s="186"/>
      <c r="AI4" s="186"/>
      <c r="AJ4" s="186"/>
      <c r="AK4" s="186"/>
      <c r="AL4" s="186"/>
      <c r="AO4" s="197"/>
      <c r="AP4" s="197"/>
      <c r="BH4" s="195"/>
      <c r="BI4" s="173"/>
      <c r="BJ4" s="173"/>
      <c r="BK4" s="173"/>
      <c r="BL4" s="173"/>
      <c r="BM4" s="173"/>
      <c r="BN4" s="195"/>
      <c r="BO4" s="173"/>
      <c r="BP4" s="173"/>
      <c r="BQ4" s="173"/>
      <c r="BR4" s="173"/>
      <c r="BS4" s="173"/>
      <c r="BT4" s="173"/>
      <c r="BU4" s="173"/>
      <c r="BV4" s="173"/>
      <c r="BW4" s="173"/>
      <c r="BX4" s="173"/>
      <c r="BY4" s="173"/>
      <c r="BZ4" s="173"/>
      <c r="CA4" s="271"/>
      <c r="CB4" s="173"/>
      <c r="CC4" s="173"/>
      <c r="CD4" s="173"/>
      <c r="CE4" s="197"/>
      <c r="CF4" s="197"/>
      <c r="CG4" s="197"/>
      <c r="CH4" s="197"/>
      <c r="CI4" s="197"/>
      <c r="CJ4" s="197"/>
      <c r="CK4" s="197"/>
      <c r="CL4" s="197"/>
      <c r="CM4" s="197"/>
    </row>
    <row r="5" spans="2:106" ht="18" customHeight="1">
      <c r="J5" s="174"/>
      <c r="K5" s="182"/>
      <c r="L5" s="182"/>
      <c r="M5" s="182"/>
      <c r="N5" s="182"/>
      <c r="O5" s="174"/>
      <c r="P5" s="174"/>
      <c r="Q5" s="182"/>
      <c r="R5" s="182"/>
      <c r="S5" s="183"/>
      <c r="T5" s="182"/>
      <c r="U5" s="182"/>
      <c r="V5" s="182"/>
      <c r="W5" s="182"/>
      <c r="X5" s="182"/>
      <c r="Y5" s="182"/>
      <c r="Z5" s="182"/>
      <c r="AA5" s="186"/>
      <c r="AB5" s="186"/>
      <c r="AC5" s="274"/>
      <c r="AD5" s="186"/>
      <c r="AE5" s="186"/>
      <c r="AF5" s="186"/>
      <c r="AG5" s="186"/>
      <c r="AH5" s="186"/>
      <c r="AI5" s="186"/>
      <c r="AJ5" s="186"/>
      <c r="AK5" s="186"/>
      <c r="AL5" s="186"/>
      <c r="AO5" s="197"/>
      <c r="AP5" s="197"/>
      <c r="BH5" s="195"/>
      <c r="BI5" s="173"/>
      <c r="BJ5" s="173"/>
      <c r="BK5" s="173"/>
      <c r="BL5" s="173"/>
      <c r="BM5" s="173"/>
      <c r="BN5" s="195"/>
      <c r="BO5" s="173"/>
      <c r="BP5" s="173"/>
      <c r="BQ5" s="173"/>
      <c r="BR5" s="173"/>
      <c r="BS5" s="173"/>
      <c r="BT5" s="173"/>
      <c r="BU5" s="173"/>
      <c r="BV5" s="173"/>
      <c r="BW5" s="173"/>
      <c r="BX5" s="173"/>
      <c r="BY5" s="173"/>
      <c r="BZ5" s="173"/>
      <c r="CA5" s="271"/>
      <c r="CB5" s="173"/>
      <c r="CC5" s="173"/>
      <c r="CD5" s="173"/>
      <c r="CE5" s="197"/>
      <c r="CF5" s="197"/>
      <c r="CG5" s="197"/>
      <c r="CH5" s="197"/>
      <c r="CI5" s="197"/>
      <c r="CJ5" s="197"/>
      <c r="CK5" s="197"/>
      <c r="CL5" s="197"/>
      <c r="CM5" s="197"/>
    </row>
    <row r="6" spans="2:106" ht="18" customHeight="1" thickBot="1">
      <c r="B6" s="281">
        <v>2024</v>
      </c>
      <c r="C6" s="281"/>
      <c r="D6" s="281"/>
      <c r="E6" s="261">
        <v>6</v>
      </c>
      <c r="J6" s="174"/>
      <c r="K6" s="182"/>
      <c r="L6" s="182"/>
      <c r="M6" s="182"/>
      <c r="N6" s="182"/>
      <c r="O6" s="174"/>
      <c r="P6" s="174"/>
      <c r="Q6" s="182"/>
      <c r="R6" s="182"/>
      <c r="S6" s="183"/>
      <c r="T6" s="182"/>
      <c r="U6" s="182"/>
      <c r="V6" s="182"/>
      <c r="W6" s="182"/>
      <c r="X6" s="182"/>
      <c r="Y6" s="182"/>
      <c r="Z6" s="182"/>
      <c r="AA6" s="186"/>
      <c r="AB6" s="186"/>
      <c r="AC6" s="274"/>
      <c r="AD6" s="186"/>
      <c r="AE6" s="186"/>
      <c r="AF6" s="186"/>
      <c r="AG6" s="186"/>
      <c r="AH6" s="186"/>
      <c r="AI6" s="186"/>
      <c r="AJ6" s="186"/>
      <c r="AK6" s="186"/>
      <c r="AL6" s="186"/>
      <c r="AO6" s="197"/>
      <c r="AP6" s="197"/>
      <c r="BH6" s="195"/>
      <c r="BI6" s="173"/>
      <c r="BJ6" s="173"/>
      <c r="BK6" s="173"/>
      <c r="BL6" s="173"/>
      <c r="BM6" s="173"/>
      <c r="BN6" s="195"/>
      <c r="BO6" s="173"/>
      <c r="BP6" s="173"/>
      <c r="BQ6" s="173"/>
      <c r="BR6" s="173"/>
      <c r="BS6" s="173"/>
      <c r="BT6" s="173"/>
      <c r="BU6" s="173"/>
      <c r="BV6" s="173"/>
      <c r="BW6" s="173"/>
      <c r="BX6" s="173"/>
      <c r="BY6" s="173"/>
      <c r="BZ6" s="173"/>
      <c r="CA6" s="271"/>
      <c r="CB6" s="173"/>
      <c r="CC6" s="173"/>
      <c r="CD6" s="173"/>
      <c r="CE6" s="197"/>
      <c r="CF6" s="197"/>
      <c r="CG6" s="197"/>
      <c r="CH6" s="197"/>
      <c r="CI6" s="197"/>
      <c r="CJ6" s="197"/>
      <c r="CK6" s="197"/>
      <c r="CL6" s="197"/>
      <c r="CM6" s="197"/>
    </row>
    <row r="7" spans="2:106" ht="18" customHeight="1">
      <c r="B7" s="282">
        <f ca="1">DAY(NOW())</f>
        <v>28</v>
      </c>
      <c r="C7" s="282"/>
      <c r="D7" s="282"/>
      <c r="E7" s="283"/>
      <c r="J7" s="174"/>
      <c r="K7" s="182"/>
      <c r="L7" s="182"/>
      <c r="M7" s="182"/>
      <c r="N7" s="182"/>
      <c r="O7" s="174"/>
      <c r="P7" s="174"/>
      <c r="Q7" s="182"/>
      <c r="R7" s="182"/>
      <c r="S7" s="183"/>
      <c r="T7" s="182"/>
      <c r="U7" s="182"/>
      <c r="V7" s="182"/>
      <c r="W7" s="182"/>
      <c r="X7" s="182"/>
      <c r="Y7" s="182"/>
      <c r="Z7" s="182"/>
      <c r="AA7" s="186"/>
      <c r="AB7" s="186"/>
      <c r="AC7" s="274"/>
      <c r="AD7" s="186"/>
      <c r="AE7" s="186"/>
      <c r="AF7" s="186"/>
      <c r="AG7" s="186"/>
      <c r="AH7" s="186"/>
      <c r="AI7" s="186"/>
      <c r="AJ7" s="186"/>
      <c r="AK7" s="186"/>
      <c r="AL7" s="186"/>
      <c r="AO7" s="197"/>
      <c r="AP7" s="197"/>
      <c r="BH7" s="195"/>
      <c r="BI7" s="173"/>
      <c r="BJ7" s="173"/>
      <c r="BK7" s="173"/>
      <c r="BL7" s="173"/>
      <c r="BM7" s="173"/>
      <c r="BN7" s="195"/>
      <c r="BO7" s="173"/>
      <c r="BP7" s="173"/>
      <c r="BQ7" s="173"/>
      <c r="BR7" s="173"/>
      <c r="BS7" s="173"/>
      <c r="BT7" s="173"/>
      <c r="BU7" s="173"/>
      <c r="BV7" s="173"/>
      <c r="BW7" s="173"/>
      <c r="BX7" s="173"/>
      <c r="BY7" s="173"/>
      <c r="BZ7" s="173"/>
      <c r="CA7" s="271"/>
      <c r="CB7" s="173"/>
      <c r="CC7" s="173"/>
      <c r="CD7" s="173"/>
      <c r="CE7" s="197"/>
      <c r="CF7" s="197"/>
      <c r="CG7" s="197"/>
      <c r="CH7" s="197"/>
      <c r="CI7" s="197"/>
      <c r="CJ7" s="197"/>
      <c r="CK7" s="197"/>
      <c r="CL7" s="197"/>
      <c r="CM7" s="197"/>
    </row>
    <row r="8" spans="2:106" ht="18" customHeight="1">
      <c r="B8" s="283"/>
      <c r="C8" s="283"/>
      <c r="D8" s="283"/>
      <c r="E8" s="283"/>
      <c r="J8" s="174"/>
      <c r="K8" s="182"/>
      <c r="L8" s="182"/>
      <c r="M8" s="182"/>
      <c r="N8" s="182"/>
      <c r="O8" s="174"/>
      <c r="P8" s="174"/>
      <c r="Q8" s="182"/>
      <c r="R8" s="182"/>
      <c r="S8" s="183"/>
      <c r="T8" s="182"/>
      <c r="U8" s="182"/>
      <c r="V8" s="182"/>
      <c r="W8" s="182"/>
      <c r="X8" s="182"/>
      <c r="Y8" s="182"/>
      <c r="Z8" s="182"/>
      <c r="AA8" s="186"/>
      <c r="AB8" s="186"/>
      <c r="AC8" s="274"/>
      <c r="AD8" s="186"/>
      <c r="AE8" s="186"/>
      <c r="AF8" s="186"/>
      <c r="AG8" s="186"/>
      <c r="AH8" s="186"/>
      <c r="AI8" s="186"/>
      <c r="AJ8" s="186"/>
      <c r="AK8" s="186"/>
      <c r="AL8" s="186"/>
      <c r="AO8" s="197"/>
      <c r="AP8" s="197"/>
      <c r="BH8" s="195"/>
      <c r="BI8" s="173"/>
      <c r="BJ8" s="173"/>
      <c r="BK8" s="173"/>
      <c r="BL8" s="173"/>
      <c r="BM8" s="173"/>
      <c r="BN8" s="195"/>
      <c r="BO8" s="173"/>
      <c r="BP8" s="173"/>
      <c r="BQ8" s="173"/>
      <c r="BR8" s="173"/>
      <c r="BS8" s="173"/>
      <c r="BT8" s="173"/>
      <c r="BU8" s="173"/>
      <c r="BV8" s="173"/>
      <c r="BW8" s="173"/>
      <c r="BX8" s="173"/>
      <c r="BY8" s="173"/>
      <c r="BZ8" s="173"/>
      <c r="CA8" s="271"/>
      <c r="CB8" s="173"/>
      <c r="CC8" s="173"/>
      <c r="CD8" s="173"/>
      <c r="CE8" s="197"/>
      <c r="CF8" s="197"/>
      <c r="CG8" s="197"/>
      <c r="CH8" s="197"/>
      <c r="CI8" s="197"/>
      <c r="CJ8" s="197"/>
      <c r="CK8" s="197"/>
      <c r="CL8" s="197"/>
      <c r="CM8" s="197"/>
    </row>
    <row r="9" spans="2:106" ht="18" customHeight="1">
      <c r="B9" s="283"/>
      <c r="C9" s="283"/>
      <c r="D9" s="283"/>
      <c r="E9" s="283"/>
      <c r="J9" s="174"/>
      <c r="K9" s="182"/>
      <c r="L9" s="182"/>
      <c r="M9" s="182"/>
      <c r="N9" s="182"/>
      <c r="O9" s="174"/>
      <c r="P9" s="174"/>
      <c r="Q9" s="182"/>
      <c r="R9" s="182"/>
      <c r="S9" s="183"/>
      <c r="T9" s="182"/>
      <c r="U9" s="182"/>
      <c r="V9" s="182"/>
      <c r="W9" s="182"/>
      <c r="X9" s="182"/>
      <c r="Y9" s="182"/>
      <c r="Z9" s="182"/>
      <c r="AA9" s="186"/>
      <c r="AB9" s="186"/>
      <c r="AC9" s="274"/>
      <c r="AD9" s="186"/>
      <c r="AE9" s="186"/>
      <c r="AF9" s="186"/>
      <c r="AG9" s="186"/>
      <c r="AH9" s="186"/>
      <c r="AI9" s="186"/>
      <c r="AJ9" s="186"/>
      <c r="AK9" s="186"/>
      <c r="AL9" s="186"/>
      <c r="AO9" s="197"/>
      <c r="AP9" s="197"/>
      <c r="BH9" s="195"/>
      <c r="BI9" s="173"/>
      <c r="BJ9" s="173"/>
      <c r="BK9" s="173"/>
      <c r="BL9" s="173"/>
      <c r="BM9" s="173"/>
      <c r="BN9" s="195"/>
      <c r="BO9" s="173"/>
      <c r="BP9" s="173"/>
      <c r="BQ9" s="173"/>
      <c r="BR9" s="173"/>
      <c r="BS9" s="173"/>
      <c r="BT9" s="173"/>
      <c r="BU9" s="173"/>
      <c r="BV9" s="173"/>
      <c r="BW9" s="173"/>
      <c r="BX9" s="173"/>
      <c r="BY9" s="173"/>
      <c r="BZ9" s="173"/>
      <c r="CA9" s="271"/>
      <c r="CB9" s="173"/>
      <c r="CC9" s="173"/>
      <c r="CD9" s="173"/>
      <c r="CE9" s="197"/>
      <c r="CF9" s="197"/>
      <c r="CG9" s="197"/>
      <c r="CH9" s="197"/>
      <c r="CI9" s="197"/>
      <c r="CJ9" s="197"/>
      <c r="CK9" s="197"/>
      <c r="CL9" s="197"/>
      <c r="CM9" s="197"/>
    </row>
    <row r="10" spans="2:106" ht="18" customHeight="1">
      <c r="B10" s="283"/>
      <c r="C10" s="283"/>
      <c r="D10" s="283"/>
      <c r="E10" s="283"/>
      <c r="J10" s="174"/>
      <c r="K10" s="182"/>
      <c r="L10" s="182"/>
      <c r="M10" s="182"/>
      <c r="N10" s="182"/>
      <c r="O10" s="174"/>
      <c r="P10" s="174"/>
      <c r="Q10" s="182"/>
      <c r="R10" s="182"/>
      <c r="S10" s="183"/>
      <c r="T10" s="182"/>
      <c r="U10" s="182"/>
      <c r="V10" s="182"/>
      <c r="W10" s="182"/>
      <c r="X10" s="182"/>
      <c r="Y10" s="182"/>
      <c r="Z10" s="182"/>
      <c r="AA10" s="186"/>
      <c r="AB10" s="186"/>
      <c r="AC10" s="274"/>
      <c r="AD10" s="186"/>
      <c r="AE10" s="186"/>
      <c r="AF10" s="186"/>
      <c r="AG10" s="186"/>
      <c r="AH10" s="186"/>
      <c r="AI10" s="186"/>
      <c r="AJ10" s="186"/>
      <c r="AK10" s="186"/>
      <c r="AL10" s="186"/>
      <c r="AO10" s="197"/>
      <c r="AP10" s="197"/>
      <c r="BH10" s="320" t="s">
        <v>2106</v>
      </c>
      <c r="BI10" s="320"/>
      <c r="BJ10" s="320"/>
      <c r="BK10" s="173"/>
      <c r="BL10" s="173"/>
      <c r="BM10" s="173"/>
      <c r="BN10" s="195"/>
      <c r="BO10" s="173"/>
      <c r="BP10" s="173"/>
      <c r="BQ10" s="173"/>
      <c r="BR10" s="173"/>
      <c r="BS10" s="173"/>
      <c r="BT10" s="173"/>
      <c r="BU10" s="173"/>
      <c r="BV10" s="173"/>
      <c r="BW10" s="173"/>
      <c r="BX10" s="173"/>
      <c r="BY10" s="173"/>
      <c r="BZ10" s="173"/>
      <c r="CA10" s="271"/>
      <c r="CB10" s="173"/>
      <c r="CC10" s="173"/>
      <c r="CD10" s="173"/>
      <c r="CE10" s="197"/>
      <c r="CF10" s="197"/>
      <c r="CG10" s="197"/>
      <c r="CH10" s="197"/>
      <c r="CI10" s="197"/>
      <c r="CJ10" s="197"/>
      <c r="CK10" s="197"/>
      <c r="CL10" s="197"/>
      <c r="CM10" s="197"/>
    </row>
    <row r="11" spans="2:106" ht="18" customHeight="1">
      <c r="C11" s="162" t="s">
        <v>882</v>
      </c>
      <c r="J11" s="290" t="s">
        <v>2105</v>
      </c>
      <c r="K11" s="182"/>
      <c r="L11" s="289"/>
      <c r="M11" s="182"/>
      <c r="N11" s="182"/>
      <c r="O11" s="174"/>
      <c r="P11" s="288" t="s">
        <v>900</v>
      </c>
      <c r="Q11" s="288"/>
      <c r="R11" s="288"/>
      <c r="S11" s="183"/>
      <c r="T11" s="289"/>
      <c r="U11" s="289"/>
      <c r="V11" s="292" t="s">
        <v>897</v>
      </c>
      <c r="W11" s="292"/>
      <c r="X11" s="204"/>
      <c r="Y11" s="204"/>
      <c r="Z11" s="205"/>
      <c r="AA11" s="205"/>
      <c r="AB11" s="205"/>
      <c r="AC11" s="293">
        <f>SUM(AO:AO)</f>
        <v>2274180</v>
      </c>
      <c r="AD11" s="293"/>
      <c r="AE11" s="293"/>
      <c r="AF11" s="293"/>
      <c r="AG11" s="293"/>
      <c r="AH11" s="278" t="s">
        <v>2104</v>
      </c>
      <c r="AI11" s="278"/>
      <c r="AJ11" s="280" cm="1">
        <f t="array" ref="AJ11">SUM(IF(FREQUENCY(IF(P14:P10000&lt;&gt;"", MATCH(P14:P10000&amp;R14:R10000, P14:P10000&amp;R14:R10000, 0)), ROW(P14:P10000)-ROW(P14)+1), 1, 0))</f>
        <v>74</v>
      </c>
      <c r="AK11" s="280"/>
      <c r="AL11" s="280"/>
      <c r="AM11" s="280"/>
      <c r="AN11" s="280"/>
      <c r="AO11" s="280"/>
      <c r="AP11" s="197"/>
      <c r="BH11" s="319">
        <f>AJ11+CH11</f>
        <v>133</v>
      </c>
      <c r="BI11" s="318"/>
      <c r="BJ11" s="318"/>
      <c r="BK11" s="182"/>
      <c r="BL11" s="174"/>
      <c r="BM11" s="288" t="s">
        <v>900</v>
      </c>
      <c r="BN11" s="288"/>
      <c r="BO11" s="288"/>
      <c r="BP11" s="288"/>
      <c r="BQ11" s="201"/>
      <c r="BR11" s="289"/>
      <c r="BS11" s="289"/>
      <c r="BT11" s="194"/>
      <c r="BU11" s="194"/>
      <c r="BV11" s="201"/>
      <c r="BW11" s="294"/>
      <c r="BX11" s="294"/>
      <c r="BY11" s="294"/>
      <c r="BZ11" s="294"/>
      <c r="CA11" s="294"/>
      <c r="CB11" s="294"/>
      <c r="CC11" s="295">
        <f>SUM(CH14:CH1000)</f>
        <v>0</v>
      </c>
      <c r="CD11" s="296"/>
      <c r="CE11" s="197"/>
      <c r="CF11" s="278" t="s">
        <v>2104</v>
      </c>
      <c r="CG11" s="278"/>
      <c r="CH11" s="280" cm="1">
        <f t="array" ref="CH11">SUM(IF(FREQUENCY(IF(BN14:BN10000&lt;&gt;"", MATCH(BN14:BN10000&amp;BP14:BP10000, BN14:BN10000&amp;BP14:BP10000, 0)), ROW(BN14:BN10000)-ROW(BN14)+1), 1, 0))</f>
        <v>59</v>
      </c>
      <c r="CI11" s="280"/>
      <c r="CJ11" s="280"/>
      <c r="CK11" s="280"/>
      <c r="CL11" s="280"/>
      <c r="CM11" s="280"/>
    </row>
    <row r="12" spans="2:106" ht="18" customHeight="1">
      <c r="C12" s="163" t="s">
        <v>880</v>
      </c>
      <c r="D12" s="163" t="s">
        <v>881</v>
      </c>
      <c r="E12" s="163" t="s">
        <v>881</v>
      </c>
      <c r="J12" s="291"/>
      <c r="K12" s="192"/>
      <c r="L12" s="289"/>
      <c r="M12" s="191"/>
      <c r="N12" s="191"/>
      <c r="O12" s="193"/>
      <c r="P12" s="286" t="s">
        <v>896</v>
      </c>
      <c r="Q12" s="287"/>
      <c r="R12" s="287"/>
      <c r="S12" s="183"/>
      <c r="T12" s="289"/>
      <c r="U12" s="289"/>
      <c r="V12" s="292" t="s">
        <v>898</v>
      </c>
      <c r="W12" s="292"/>
      <c r="X12" s="204"/>
      <c r="Y12" s="204"/>
      <c r="Z12" s="205"/>
      <c r="AA12" s="205"/>
      <c r="AB12" s="205"/>
      <c r="AC12" s="293">
        <f>SUM(AP:AP)</f>
        <v>1576233</v>
      </c>
      <c r="AD12" s="293"/>
      <c r="AE12" s="293"/>
      <c r="AF12" s="293"/>
      <c r="AG12" s="293"/>
      <c r="AH12" s="278" t="s">
        <v>2103</v>
      </c>
      <c r="AI12" s="278"/>
      <c r="AJ12" s="279">
        <f>SUM(AG14:AG1000)</f>
        <v>245200</v>
      </c>
      <c r="AK12" s="279"/>
      <c r="AL12" s="279"/>
      <c r="AM12" s="279"/>
      <c r="AN12" s="279"/>
      <c r="AO12" s="279"/>
      <c r="AP12" s="197"/>
      <c r="BH12" s="318"/>
      <c r="BI12" s="318"/>
      <c r="BJ12" s="318"/>
      <c r="BK12" s="191"/>
      <c r="BL12" s="193" t="str">
        <f>"."&amp;BA6&amp;"월 필터"</f>
        <v>.월 필터</v>
      </c>
      <c r="BM12" s="286" t="s">
        <v>896</v>
      </c>
      <c r="BN12" s="286"/>
      <c r="BO12" s="286"/>
      <c r="BP12" s="286"/>
      <c r="BQ12" s="201"/>
      <c r="BR12" s="289"/>
      <c r="BS12" s="289"/>
      <c r="BT12" s="194"/>
      <c r="BU12" s="194"/>
      <c r="BV12" s="201"/>
      <c r="BW12" s="294"/>
      <c r="BX12" s="294"/>
      <c r="BY12" s="294"/>
      <c r="BZ12" s="294"/>
      <c r="CA12" s="294"/>
      <c r="CB12" s="294"/>
      <c r="CC12" s="295">
        <f>SUM(CI14:CI1000)</f>
        <v>0</v>
      </c>
      <c r="CD12" s="296"/>
      <c r="CE12" s="197"/>
      <c r="CF12" s="278" t="s">
        <v>2103</v>
      </c>
      <c r="CG12" s="278"/>
      <c r="CH12" s="279">
        <f>SUM(CE14:CE1000)</f>
        <v>156400</v>
      </c>
      <c r="CI12" s="279"/>
      <c r="CJ12" s="279"/>
      <c r="CK12" s="279"/>
      <c r="CL12" s="279"/>
      <c r="CM12" s="279"/>
    </row>
    <row r="13" spans="2:106" ht="18" customHeight="1">
      <c r="B13" s="160"/>
      <c r="C13" s="285" t="s">
        <v>878</v>
      </c>
      <c r="D13" s="285"/>
      <c r="E13" s="158" t="s">
        <v>879</v>
      </c>
      <c r="H13" s="172" t="s">
        <v>660</v>
      </c>
      <c r="I13" s="172" t="s">
        <v>539</v>
      </c>
      <c r="J13" s="175" t="s">
        <v>540</v>
      </c>
      <c r="K13" s="159" t="s">
        <v>633</v>
      </c>
      <c r="L13" s="159" t="s">
        <v>538</v>
      </c>
      <c r="M13" s="159" t="s">
        <v>313</v>
      </c>
      <c r="N13" s="159" t="s">
        <v>632</v>
      </c>
      <c r="O13" s="175" t="s">
        <v>544</v>
      </c>
      <c r="P13" s="203" t="s">
        <v>127</v>
      </c>
      <c r="Q13" s="184" t="s">
        <v>546</v>
      </c>
      <c r="R13" s="184" t="s">
        <v>116</v>
      </c>
      <c r="S13" s="185" t="s">
        <v>840</v>
      </c>
      <c r="T13" s="184" t="s">
        <v>113</v>
      </c>
      <c r="U13" s="184" t="s">
        <v>893</v>
      </c>
      <c r="V13" s="184" t="s">
        <v>536</v>
      </c>
      <c r="W13" s="184" t="s">
        <v>123</v>
      </c>
      <c r="X13" s="184" t="s">
        <v>626</v>
      </c>
      <c r="Y13" s="184" t="s">
        <v>625</v>
      </c>
      <c r="Z13" s="159" t="s">
        <v>549</v>
      </c>
      <c r="AA13" s="187" t="s">
        <v>550</v>
      </c>
      <c r="AB13" s="187" t="s">
        <v>847</v>
      </c>
      <c r="AC13" s="275" t="s">
        <v>825</v>
      </c>
      <c r="AD13" s="187" t="s">
        <v>841</v>
      </c>
      <c r="AE13" s="187" t="s">
        <v>845</v>
      </c>
      <c r="AF13" s="188" t="s">
        <v>842</v>
      </c>
      <c r="AG13" s="187" t="s">
        <v>817</v>
      </c>
      <c r="AH13" s="187" t="s">
        <v>890</v>
      </c>
      <c r="AI13" s="187" t="s">
        <v>891</v>
      </c>
      <c r="AJ13" s="187" t="s">
        <v>892</v>
      </c>
      <c r="AK13" s="188" t="s">
        <v>839</v>
      </c>
      <c r="AL13" s="188" t="s">
        <v>822</v>
      </c>
      <c r="AM13" s="172" t="s">
        <v>863</v>
      </c>
      <c r="AN13" s="172" t="s">
        <v>864</v>
      </c>
      <c r="AO13" s="209" t="s">
        <v>895</v>
      </c>
      <c r="AP13" s="209" t="s">
        <v>894</v>
      </c>
      <c r="AQ13" s="172" t="s">
        <v>866</v>
      </c>
      <c r="AR13" s="172" t="s">
        <v>820</v>
      </c>
      <c r="AS13" s="172" t="s">
        <v>821</v>
      </c>
      <c r="AT13" s="172" t="s">
        <v>844</v>
      </c>
      <c r="AU13" s="172" t="s">
        <v>867</v>
      </c>
      <c r="AV13" s="172" t="s">
        <v>701</v>
      </c>
      <c r="AW13" s="172" t="s">
        <v>868</v>
      </c>
      <c r="AX13" s="172" t="s">
        <v>869</v>
      </c>
      <c r="AY13" s="172" t="s">
        <v>870</v>
      </c>
      <c r="AZ13" s="172" t="s">
        <v>871</v>
      </c>
      <c r="BA13" s="172" t="s">
        <v>872</v>
      </c>
      <c r="BB13" s="172" t="s">
        <v>873</v>
      </c>
      <c r="BC13" s="172" t="s">
        <v>874</v>
      </c>
      <c r="BF13" s="171" t="s">
        <v>634</v>
      </c>
      <c r="BG13" s="171" t="s">
        <v>169</v>
      </c>
      <c r="BH13" s="196" t="s">
        <v>630</v>
      </c>
      <c r="BI13" s="164" t="s">
        <v>633</v>
      </c>
      <c r="BJ13" s="165" t="s">
        <v>538</v>
      </c>
      <c r="BK13" s="166" t="s">
        <v>313</v>
      </c>
      <c r="BL13" s="166" t="s">
        <v>632</v>
      </c>
      <c r="BM13" s="166" t="s">
        <v>631</v>
      </c>
      <c r="BN13" s="202" t="s">
        <v>899</v>
      </c>
      <c r="BO13" s="167" t="s">
        <v>546</v>
      </c>
      <c r="BP13" s="166" t="s">
        <v>628</v>
      </c>
      <c r="BQ13" s="168" t="s">
        <v>627</v>
      </c>
      <c r="BR13" s="167" t="s">
        <v>113</v>
      </c>
      <c r="BS13" s="207" t="s">
        <v>883</v>
      </c>
      <c r="BT13" s="208" t="s">
        <v>536</v>
      </c>
      <c r="BU13" s="167" t="s">
        <v>123</v>
      </c>
      <c r="BV13" s="167" t="s">
        <v>626</v>
      </c>
      <c r="BW13" s="167" t="s">
        <v>625</v>
      </c>
      <c r="BX13" s="167" t="s">
        <v>549</v>
      </c>
      <c r="BY13" s="167" t="s">
        <v>550</v>
      </c>
      <c r="BZ13" s="167" t="s">
        <v>608</v>
      </c>
      <c r="CA13" s="272" t="s">
        <v>607</v>
      </c>
      <c r="CB13" s="169" t="s">
        <v>623</v>
      </c>
      <c r="CC13" s="169" t="s">
        <v>884</v>
      </c>
      <c r="CD13" s="169" t="s">
        <v>621</v>
      </c>
      <c r="CE13" s="170" t="s">
        <v>885</v>
      </c>
      <c r="CF13" s="170" t="s">
        <v>886</v>
      </c>
      <c r="CG13" s="170" t="s">
        <v>887</v>
      </c>
      <c r="CH13" s="170" t="s">
        <v>177</v>
      </c>
      <c r="CI13" s="169" t="s">
        <v>606</v>
      </c>
      <c r="CJ13" s="169" t="s">
        <v>605</v>
      </c>
      <c r="CK13" s="169" t="s">
        <v>888</v>
      </c>
      <c r="CL13" s="169" t="s">
        <v>615</v>
      </c>
      <c r="CM13" s="169" t="s">
        <v>889</v>
      </c>
      <c r="CN13" s="169" t="s">
        <v>882</v>
      </c>
    </row>
    <row r="14" spans="2:106" ht="18" customHeight="1">
      <c r="B14" s="159">
        <v>1</v>
      </c>
      <c r="C14" s="161" cm="1">
        <f t="array" ref="C14">SUMPRODUCT(--(ISNUMBER(SEARCH(DATE($B$6,$E$6,$B14),출고표[발송일]))),출고표[거래처지급액],--(ISNUMBER(SEARCH($C$13,출고표[쇼핑몰구분]))))</f>
        <v>0</v>
      </c>
      <c r="D14" s="161" cm="1">
        <f t="array" ref="D14">SUMPRODUCT(--(ISNUMBER(SEARCH(DATE($B$6,$E$6,$B14),출고표[발송일]))),출고표[총판매금액],--(ISNUMBER(SEARCH($C$13,출고표[쇼핑몰구분]))))</f>
        <v>0</v>
      </c>
      <c r="E14" s="161" cm="1">
        <f t="array" ref="E14">SUMPRODUCT(--(ISNUMBER(SEARCH(DATE($B$6,$E$6,$B14),출고표[발송일]))),출고표[총판매금액],--(ISNUMBER(SEARCH($E$13,출고표[쇼핑몰구분]))))</f>
        <v>0</v>
      </c>
      <c r="H14" s="173" cm="1">
        <f t="array" ref="H14:BD107">_xlfn._xlws.FILTER(S출고표[],IF($B$6="",S출고표[발송일]=S출고표[발송일],YEAR(S출고표[발송일])=$B$6)*IF($E$6="",S출고표[발송일]=S출고표[발송일],MONTH(S출고표[발송일])=$E$6)*IF($T$11&lt;&gt;"",DAY(S출고표[발송일])=$T$11,IF($L$11&lt;&gt;"",DAY(S출고표[발송일])=$L$11,S출고표[발송일]=S출고표[발송일])),"no filter")</f>
        <v>23</v>
      </c>
      <c r="I14" s="156" t="str">
        <v>비닐스토리</v>
      </c>
      <c r="J14" s="177">
        <v>45446</v>
      </c>
      <c r="K14" s="179" t="str">
        <v>2024060356409111</v>
      </c>
      <c r="L14" s="179" t="str">
        <v>스마트 스토어</v>
      </c>
      <c r="M14" s="179" t="str">
        <v>유승범</v>
      </c>
      <c r="N14" s="179" t="str">
        <v>ysb0****</v>
      </c>
      <c r="O14" s="180" t="str">
        <v>010-5268-9041</v>
      </c>
      <c r="P14" s="180">
        <v>45446</v>
      </c>
      <c r="Q14" s="179" t="str">
        <v>CJ대한통운</v>
      </c>
      <c r="R14" s="179" t="str">
        <v>530213305035</v>
      </c>
      <c r="S14" s="181">
        <v>0</v>
      </c>
      <c r="T14" s="179" t="str">
        <v>SE.201</v>
      </c>
      <c r="U14" s="179" t="str">
        <v>투명</v>
      </c>
      <c r="V14" s="179">
        <v>1</v>
      </c>
      <c r="W14" s="179" t="str">
        <v>유승범</v>
      </c>
      <c r="X14" s="179" t="str">
        <v>010-5268-9041</v>
      </c>
      <c r="Y14" s="179">
        <v>0</v>
      </c>
      <c r="Z14" s="179" t="str">
        <v>서울특별시 송파구 양재대로 932 (가락동, 가락동 농수산물도매시장) 가락몰 축산부류 1층 51호 대명축산</v>
      </c>
      <c r="AA14" s="189">
        <v>0</v>
      </c>
      <c r="AB14" s="189">
        <v>0</v>
      </c>
      <c r="AC14" s="276">
        <v>0</v>
      </c>
      <c r="AD14" s="189">
        <v>14580</v>
      </c>
      <c r="AE14" s="189">
        <v>1620</v>
      </c>
      <c r="AF14" s="189">
        <v>3000</v>
      </c>
      <c r="AG14" s="189">
        <v>3000</v>
      </c>
      <c r="AH14" s="189">
        <v>0</v>
      </c>
      <c r="AI14" s="189">
        <v>0</v>
      </c>
      <c r="AJ14" s="189">
        <v>0</v>
      </c>
      <c r="AK14" s="189" t="str">
        <v>떡롤 20*400</v>
      </c>
      <c r="AL14" s="189">
        <v>0</v>
      </c>
      <c r="AM14" s="173">
        <v>15300</v>
      </c>
      <c r="AN14" s="173">
        <v>9900</v>
      </c>
      <c r="AO14" s="206">
        <v>17580</v>
      </c>
      <c r="AP14" s="206">
        <v>12900</v>
      </c>
      <c r="AQ14" s="173">
        <v>719</v>
      </c>
      <c r="AR14" s="173">
        <v>3961</v>
      </c>
      <c r="AS14" s="173">
        <v>0.2253</v>
      </c>
      <c r="AT14" s="173">
        <v>0</v>
      </c>
      <c r="AU14" s="173" t="str">
        <v>ptDB47</v>
      </c>
      <c r="AV14" s="173">
        <v>0</v>
      </c>
      <c r="AW14" s="173">
        <v>17580</v>
      </c>
      <c r="AX14" s="173">
        <v>12900</v>
      </c>
      <c r="AY14" s="173">
        <v>719</v>
      </c>
      <c r="AZ14" s="173">
        <v>3961</v>
      </c>
      <c r="BA14" s="173">
        <v>0.2253</v>
      </c>
      <c r="BB14" s="173" t="str">
        <v/>
      </c>
      <c r="BC14" s="173">
        <v>0</v>
      </c>
      <c r="BD14" s="156">
        <v>9900</v>
      </c>
      <c r="BF14" s="156" cm="1">
        <f t="array" ref="BF14:DB79">_xlfn._xlws.FILTER(F출고표[],IF($B$6="",F출고표[발송일]=F출고표[발송일],YEAR(F출고표[발송일])=$B$6)*IF($E$6="",F출고표[발송일]=F출고표[발송일],MONTH(F출고표[발송일])=$E$6)*IF($BR$11&lt;&gt;"",DAY(F출고표[발송일])=$BR$11,IF($L$11&lt;&gt;"",DAY(F출고표[발송일])=$L$11,F출고표[발송일]=F출고표[발송일])),"no filter")</f>
        <v>20</v>
      </c>
      <c r="BG14" s="156" t="str">
        <v>비닐팩토리</v>
      </c>
      <c r="BH14" s="198">
        <v>45446</v>
      </c>
      <c r="BI14" s="199" t="str">
        <v>45470286</v>
      </c>
      <c r="BJ14" s="199" t="str">
        <v>대표</v>
      </c>
      <c r="BK14" s="199">
        <v>0</v>
      </c>
      <c r="BL14" s="199">
        <v>0</v>
      </c>
      <c r="BM14" s="199">
        <v>0</v>
      </c>
      <c r="BN14" s="198">
        <v>45446</v>
      </c>
      <c r="BO14" s="199" t="str">
        <v>CJ대한통운</v>
      </c>
      <c r="BP14" s="199" t="str">
        <v>530213589552</v>
      </c>
      <c r="BQ14" s="199">
        <v>0</v>
      </c>
      <c r="BR14" s="199" t="str">
        <v>SE.1000</v>
      </c>
      <c r="BS14" s="199" t="str">
        <v>투명</v>
      </c>
      <c r="BT14" s="199">
        <v>1</v>
      </c>
      <c r="BU14" s="199" t="str">
        <v>청도추어탕고디탕</v>
      </c>
      <c r="BV14" s="199" t="str">
        <v>010-8755-5098</v>
      </c>
      <c r="BW14" s="199">
        <v>0</v>
      </c>
      <c r="BX14" s="199" t="str">
        <v>경북 청도군 청도읍 청화로 211 청도추어탕고디탕</v>
      </c>
      <c r="BY14" s="199">
        <v>0</v>
      </c>
      <c r="BZ14" s="199">
        <v>0</v>
      </c>
      <c r="CA14" s="273">
        <v>0</v>
      </c>
      <c r="CB14" s="199">
        <v>0</v>
      </c>
      <c r="CC14" s="199">
        <v>0</v>
      </c>
      <c r="CD14" s="199">
        <v>0</v>
      </c>
      <c r="CE14" s="200">
        <v>0</v>
      </c>
      <c r="CF14" s="200">
        <v>0</v>
      </c>
      <c r="CG14" s="200">
        <v>0</v>
      </c>
      <c r="CH14" s="200">
        <v>0</v>
      </c>
      <c r="CI14" s="200" t="str">
        <v>대표</v>
      </c>
      <c r="CJ14" s="200" t="str">
        <v>재구매</v>
      </c>
      <c r="CK14" s="200">
        <v>0</v>
      </c>
      <c r="CL14" s="200">
        <v>0</v>
      </c>
      <c r="CM14" s="200">
        <v>0</v>
      </c>
      <c r="CN14" s="156">
        <v>0</v>
      </c>
      <c r="CO14" s="156">
        <v>0</v>
      </c>
      <c r="CP14" s="156">
        <v>0</v>
      </c>
      <c r="CQ14" s="156">
        <v>0</v>
      </c>
      <c r="CR14" s="156">
        <v>0</v>
      </c>
      <c r="CS14" s="156" t="str">
        <v>ptDB47</v>
      </c>
      <c r="CT14" s="156">
        <v>0</v>
      </c>
      <c r="CU14" s="156">
        <v>0</v>
      </c>
      <c r="CV14" s="156">
        <v>0</v>
      </c>
      <c r="CW14" s="156">
        <v>0</v>
      </c>
      <c r="CX14" s="156">
        <v>0</v>
      </c>
      <c r="CY14" s="156">
        <v>0</v>
      </c>
      <c r="CZ14" s="156" t="str">
        <v/>
      </c>
      <c r="DA14" s="156">
        <v>0</v>
      </c>
      <c r="DB14" s="156">
        <v>0</v>
      </c>
    </row>
    <row r="15" spans="2:106" ht="18" customHeight="1">
      <c r="B15" s="159">
        <v>2</v>
      </c>
      <c r="C15" s="161" cm="1">
        <f t="array" ref="C15">SUMPRODUCT(--(ISNUMBER(SEARCH(DATE($B$6,$E$6,$B15),출고표[발송일]))),출고표[거래처지급액],--(ISNUMBER(SEARCH($C$13,출고표[쇼핑몰구분]))))</f>
        <v>0</v>
      </c>
      <c r="D15" s="161" cm="1">
        <f t="array" ref="D15">SUMPRODUCT(--(ISNUMBER(SEARCH(DATE($B$6,$E$6,$B15),출고표[발송일]))),출고표[총판매금액],--(ISNUMBER(SEARCH($C$13,출고표[쇼핑몰구분]))))</f>
        <v>0</v>
      </c>
      <c r="E15" s="161" cm="1">
        <f t="array" ref="E15">SUMPRODUCT(--(ISNUMBER(SEARCH(DATE($B$6,$E$6,$B15),출고표[발송일]))),출고표[총판매금액],--(ISNUMBER(SEARCH($E$13,출고표[쇼핑몰구분]))))</f>
        <v>0</v>
      </c>
      <c r="H15" s="173">
        <v>24</v>
      </c>
      <c r="I15" s="156" t="str">
        <v>비닐스토리</v>
      </c>
      <c r="J15" s="177">
        <v>45445</v>
      </c>
      <c r="K15" s="176" t="str">
        <v>2024060217398401</v>
      </c>
      <c r="L15" s="176" t="str">
        <v>스마트 스토어</v>
      </c>
      <c r="M15" s="176" t="str">
        <v>강정화</v>
      </c>
      <c r="N15" s="176" t="str">
        <v>bacc****</v>
      </c>
      <c r="O15" s="177" t="str">
        <v>010-2849-9914</v>
      </c>
      <c r="P15" s="177">
        <v>45446</v>
      </c>
      <c r="Q15" s="176" t="str">
        <v>CJ대한통운</v>
      </c>
      <c r="R15" s="176" t="str">
        <v>530213305105</v>
      </c>
      <c r="S15" s="178">
        <v>0</v>
      </c>
      <c r="T15" s="176" t="str">
        <v>SE.201</v>
      </c>
      <c r="U15" s="176" t="str">
        <v>투명</v>
      </c>
      <c r="V15" s="176">
        <v>1</v>
      </c>
      <c r="W15" s="176" t="str">
        <v>강정화</v>
      </c>
      <c r="X15" s="176" t="str">
        <v>010-2849-9914</v>
      </c>
      <c r="Y15" s="176">
        <v>0</v>
      </c>
      <c r="Z15" s="176" t="str">
        <v>울산광역시 울주군 온양읍 터실3길 6 (온양읍) 1층</v>
      </c>
      <c r="AA15" s="190">
        <v>0</v>
      </c>
      <c r="AB15" s="190">
        <v>0</v>
      </c>
      <c r="AC15" s="277">
        <v>0</v>
      </c>
      <c r="AD15" s="190">
        <v>14580</v>
      </c>
      <c r="AE15" s="190">
        <v>1620</v>
      </c>
      <c r="AF15" s="190">
        <v>3000</v>
      </c>
      <c r="AG15" s="190">
        <v>3000</v>
      </c>
      <c r="AH15" s="190">
        <v>0</v>
      </c>
      <c r="AI15" s="190">
        <v>0</v>
      </c>
      <c r="AJ15" s="190">
        <v>0</v>
      </c>
      <c r="AK15" s="190" t="str">
        <v>떡롤 20*400</v>
      </c>
      <c r="AL15" s="190">
        <v>0</v>
      </c>
      <c r="AM15" s="173">
        <v>15300</v>
      </c>
      <c r="AN15" s="173">
        <v>9900</v>
      </c>
      <c r="AO15" s="206">
        <v>17580</v>
      </c>
      <c r="AP15" s="206">
        <v>12900</v>
      </c>
      <c r="AQ15" s="173">
        <v>719</v>
      </c>
      <c r="AR15" s="173">
        <v>3961</v>
      </c>
      <c r="AS15" s="173">
        <v>0.2253</v>
      </c>
      <c r="AT15" s="173">
        <v>0</v>
      </c>
      <c r="AU15" s="173" t="str">
        <v>ptDB47</v>
      </c>
      <c r="AV15" s="173">
        <v>0</v>
      </c>
      <c r="AW15" s="173">
        <v>17580</v>
      </c>
      <c r="AX15" s="173">
        <v>12900</v>
      </c>
      <c r="AY15" s="173">
        <v>719</v>
      </c>
      <c r="AZ15" s="173">
        <v>3961</v>
      </c>
      <c r="BA15" s="173">
        <v>0.2253</v>
      </c>
      <c r="BB15" s="173" t="str">
        <v/>
      </c>
      <c r="BC15" s="173">
        <v>0</v>
      </c>
      <c r="BD15" s="156">
        <v>9900</v>
      </c>
      <c r="BF15" s="156">
        <v>21</v>
      </c>
      <c r="BG15" s="156" t="str">
        <v>비닐팩토리</v>
      </c>
      <c r="BH15" s="198">
        <v>45446</v>
      </c>
      <c r="BI15" s="199" t="str">
        <v>45470237</v>
      </c>
      <c r="BJ15" s="199" t="str">
        <v>대표</v>
      </c>
      <c r="BK15" s="199">
        <v>0</v>
      </c>
      <c r="BL15" s="199">
        <v>0</v>
      </c>
      <c r="BM15" s="199">
        <v>0</v>
      </c>
      <c r="BN15" s="198">
        <v>45446</v>
      </c>
      <c r="BO15" s="199" t="str">
        <v>CJ대한통운</v>
      </c>
      <c r="BP15" s="199" t="str">
        <v>530213521733</v>
      </c>
      <c r="BQ15" s="199">
        <v>0</v>
      </c>
      <c r="BR15" s="199" t="str">
        <v>SE.1000</v>
      </c>
      <c r="BS15" s="199" t="str">
        <v>투명</v>
      </c>
      <c r="BT15" s="199">
        <v>1</v>
      </c>
      <c r="BU15" s="199" t="str">
        <v>형제떡방앗간</v>
      </c>
      <c r="BV15" s="199" t="str">
        <v>010-6246-4029</v>
      </c>
      <c r="BW15" s="199">
        <v>0</v>
      </c>
      <c r="BX15" s="199" t="str">
        <v>경북 청도군 청도읍 고수동4길 1 형제떡방앗간</v>
      </c>
      <c r="BY15" s="199">
        <v>0</v>
      </c>
      <c r="BZ15" s="199">
        <v>0</v>
      </c>
      <c r="CA15" s="273">
        <v>0</v>
      </c>
      <c r="CB15" s="199">
        <v>0</v>
      </c>
      <c r="CC15" s="199">
        <v>0</v>
      </c>
      <c r="CD15" s="199">
        <v>0</v>
      </c>
      <c r="CE15" s="200">
        <v>0</v>
      </c>
      <c r="CF15" s="200">
        <v>0</v>
      </c>
      <c r="CG15" s="200">
        <v>0</v>
      </c>
      <c r="CH15" s="200">
        <v>0</v>
      </c>
      <c r="CI15" s="200" t="str">
        <v>대표</v>
      </c>
      <c r="CJ15" s="200" t="str">
        <v>재구매</v>
      </c>
      <c r="CK15" s="200">
        <v>0</v>
      </c>
      <c r="CL15" s="200">
        <v>0</v>
      </c>
      <c r="CM15" s="200">
        <v>0</v>
      </c>
      <c r="CN15" s="156">
        <v>0</v>
      </c>
      <c r="CO15" s="156">
        <v>0</v>
      </c>
      <c r="CP15" s="156">
        <v>0</v>
      </c>
      <c r="CQ15" s="156">
        <v>0</v>
      </c>
      <c r="CR15" s="156">
        <v>0</v>
      </c>
      <c r="CS15" s="156" t="str">
        <v>ptDB47</v>
      </c>
      <c r="CT15" s="156">
        <v>0</v>
      </c>
      <c r="CU15" s="156">
        <v>0</v>
      </c>
      <c r="CV15" s="156">
        <v>0</v>
      </c>
      <c r="CW15" s="156">
        <v>0</v>
      </c>
      <c r="CX15" s="156">
        <v>0</v>
      </c>
      <c r="CY15" s="156">
        <v>0</v>
      </c>
      <c r="CZ15" s="156" t="str">
        <v/>
      </c>
      <c r="DA15" s="156">
        <v>0</v>
      </c>
      <c r="DB15" s="156">
        <v>0</v>
      </c>
    </row>
    <row r="16" spans="2:106" ht="18" customHeight="1">
      <c r="B16" s="159">
        <v>3</v>
      </c>
      <c r="C16" s="161" cm="1">
        <f t="array" ref="C16">SUMPRODUCT(--(ISNUMBER(SEARCH(DATE($B$6,$E$6,$B16),출고표[발송일]))),출고표[거래처지급액],--(ISNUMBER(SEARCH($C$13,출고표[쇼핑몰구분]))))</f>
        <v>159835</v>
      </c>
      <c r="D16" s="161" cm="1">
        <f t="array" ref="D16">SUMPRODUCT(--(ISNUMBER(SEARCH(DATE($B$6,$E$6,$B16),출고표[발송일]))),출고표[총판매금액],--(ISNUMBER(SEARCH($C$13,출고표[쇼핑몰구분]))))</f>
        <v>231340</v>
      </c>
      <c r="E16" s="161" cm="1">
        <f t="array" ref="E16">SUMPRODUCT(--(ISNUMBER(SEARCH(DATE($B$6,$E$6,$B16),출고표[발송일]))),출고표[총판매금액],--(ISNUMBER(SEARCH($E$13,출고표[쇼핑몰구분]))))</f>
        <v>139670</v>
      </c>
      <c r="H16" s="173">
        <v>25</v>
      </c>
      <c r="I16" s="156" t="str">
        <v>비닐스토리</v>
      </c>
      <c r="J16" s="177">
        <v>45444</v>
      </c>
      <c r="K16" s="176" t="str">
        <v>2024060182579771</v>
      </c>
      <c r="L16" s="176" t="str">
        <v>스마트 스토어</v>
      </c>
      <c r="M16" s="176" t="str">
        <v>윤춘자</v>
      </c>
      <c r="N16" s="176" t="str">
        <v>cnsw****</v>
      </c>
      <c r="O16" s="177" t="str">
        <v>010-5893-7530</v>
      </c>
      <c r="P16" s="177">
        <v>45446</v>
      </c>
      <c r="Q16" s="176" t="str">
        <v>CJ대한통운</v>
      </c>
      <c r="R16" s="176" t="str">
        <v>530213304965</v>
      </c>
      <c r="S16" s="178">
        <v>0</v>
      </c>
      <c r="T16" s="176" t="str">
        <v>SE.206</v>
      </c>
      <c r="U16" s="176" t="str">
        <v>투명</v>
      </c>
      <c r="V16" s="176">
        <v>2</v>
      </c>
      <c r="W16" s="176" t="str">
        <v>윤춘자</v>
      </c>
      <c r="X16" s="176" t="str">
        <v>0502-3570-4749</v>
      </c>
      <c r="Y16" s="176">
        <v>0</v>
      </c>
      <c r="Z16" s="176" t="str">
        <v>인천광역시 미추홀구 인하로183번길 34 (주안동) 인천광역시미추홀구인하로183번길34</v>
      </c>
      <c r="AA16" s="190">
        <v>0</v>
      </c>
      <c r="AB16" s="190">
        <v>0</v>
      </c>
      <c r="AC16" s="277">
        <v>0</v>
      </c>
      <c r="AD16" s="190">
        <v>57240</v>
      </c>
      <c r="AE16" s="190">
        <v>6360</v>
      </c>
      <c r="AF16" s="190">
        <v>0</v>
      </c>
      <c r="AG16" s="190">
        <v>4400</v>
      </c>
      <c r="AH16" s="190">
        <v>0</v>
      </c>
      <c r="AI16" s="190">
        <v>0</v>
      </c>
      <c r="AJ16" s="190">
        <v>0</v>
      </c>
      <c r="AK16" s="190" t="str">
        <v>떡롤 45*330</v>
      </c>
      <c r="AL16" s="190">
        <v>0</v>
      </c>
      <c r="AM16" s="173">
        <v>30600</v>
      </c>
      <c r="AN16" s="173">
        <v>19800</v>
      </c>
      <c r="AO16" s="206">
        <v>57240</v>
      </c>
      <c r="AP16" s="206">
        <v>44000</v>
      </c>
      <c r="AQ16" s="173">
        <v>2358</v>
      </c>
      <c r="AR16" s="173">
        <v>10882</v>
      </c>
      <c r="AS16" s="173">
        <v>0.19009999999999999</v>
      </c>
      <c r="AT16" s="173">
        <v>0</v>
      </c>
      <c r="AU16" s="173" t="str">
        <v>ptDB47</v>
      </c>
      <c r="AV16" s="173">
        <v>0</v>
      </c>
      <c r="AW16" s="173">
        <v>57240</v>
      </c>
      <c r="AX16" s="173">
        <v>44000</v>
      </c>
      <c r="AY16" s="173">
        <v>2358</v>
      </c>
      <c r="AZ16" s="173">
        <v>10882</v>
      </c>
      <c r="BA16" s="173">
        <v>0.19009999999999999</v>
      </c>
      <c r="BB16" s="173" t="str">
        <v/>
      </c>
      <c r="BC16" s="173">
        <v>0</v>
      </c>
      <c r="BD16" s="156">
        <v>39600</v>
      </c>
      <c r="BF16" s="156">
        <v>22</v>
      </c>
      <c r="BG16" s="156" t="str">
        <v>비닐팩토리</v>
      </c>
      <c r="BH16" s="198">
        <v>45446</v>
      </c>
      <c r="BI16" s="199" t="str">
        <v>45470899</v>
      </c>
      <c r="BJ16" s="199" t="str">
        <v>대표</v>
      </c>
      <c r="BK16" s="199">
        <v>0</v>
      </c>
      <c r="BL16" s="199">
        <v>0</v>
      </c>
      <c r="BM16" s="199">
        <v>0</v>
      </c>
      <c r="BN16" s="198">
        <v>45446</v>
      </c>
      <c r="BO16" s="199" t="str">
        <v>CJ대한통운</v>
      </c>
      <c r="BP16" s="199" t="str">
        <v>530213372596</v>
      </c>
      <c r="BQ16" s="199">
        <v>0</v>
      </c>
      <c r="BR16" s="199" t="str">
        <v>SE.1000</v>
      </c>
      <c r="BS16" s="199" t="str">
        <v>투명</v>
      </c>
      <c r="BT16" s="199">
        <v>4</v>
      </c>
      <c r="BU16" s="199" t="str">
        <v>역전떡집</v>
      </c>
      <c r="BV16" s="199" t="str">
        <v>010-4106-0020</v>
      </c>
      <c r="BW16" s="199">
        <v>0</v>
      </c>
      <c r="BX16" s="199" t="str">
        <v>경북 예천군 예천읍 대심로 134 역전떡집</v>
      </c>
      <c r="BY16" s="199">
        <v>0</v>
      </c>
      <c r="BZ16" s="199">
        <v>0</v>
      </c>
      <c r="CA16" s="273">
        <v>0</v>
      </c>
      <c r="CB16" s="199">
        <v>0</v>
      </c>
      <c r="CC16" s="199">
        <v>0</v>
      </c>
      <c r="CD16" s="199">
        <v>0</v>
      </c>
      <c r="CE16" s="200">
        <v>5500</v>
      </c>
      <c r="CF16" s="200">
        <v>0</v>
      </c>
      <c r="CG16" s="200">
        <v>0</v>
      </c>
      <c r="CH16" s="200">
        <v>0</v>
      </c>
      <c r="CI16" s="200" t="str">
        <v>대표</v>
      </c>
      <c r="CJ16" s="200" t="str">
        <v>재구매</v>
      </c>
      <c r="CK16" s="200">
        <v>0</v>
      </c>
      <c r="CL16" s="200">
        <v>0</v>
      </c>
      <c r="CM16" s="200">
        <v>0</v>
      </c>
      <c r="CN16" s="156">
        <v>0</v>
      </c>
      <c r="CO16" s="156">
        <v>0</v>
      </c>
      <c r="CP16" s="156">
        <v>0</v>
      </c>
      <c r="CQ16" s="156">
        <v>0</v>
      </c>
      <c r="CR16" s="156">
        <v>0</v>
      </c>
      <c r="CS16" s="156" t="str">
        <v>ptDB47</v>
      </c>
      <c r="CT16" s="156">
        <v>0</v>
      </c>
      <c r="CU16" s="156">
        <v>0</v>
      </c>
      <c r="CV16" s="156">
        <v>0</v>
      </c>
      <c r="CW16" s="156">
        <v>0</v>
      </c>
      <c r="CX16" s="156">
        <v>0</v>
      </c>
      <c r="CY16" s="156">
        <v>0</v>
      </c>
      <c r="CZ16" s="156" t="str">
        <v/>
      </c>
      <c r="DA16" s="156">
        <v>0</v>
      </c>
      <c r="DB16" s="156">
        <v>0</v>
      </c>
    </row>
    <row r="17" spans="2:106" ht="18" customHeight="1">
      <c r="B17" s="159">
        <v>4</v>
      </c>
      <c r="C17" s="161" cm="1">
        <f t="array" ref="C17">SUMPRODUCT(--(ISNUMBER(SEARCH(DATE($B$6,$E$6,$B17),출고표[발송일]))),출고표[거래처지급액],--(ISNUMBER(SEARCH($C$13,출고표[쇼핑몰구분]))))</f>
        <v>197340</v>
      </c>
      <c r="D17" s="161" cm="1">
        <f t="array" ref="D17">SUMPRODUCT(--(ISNUMBER(SEARCH(DATE($B$6,$E$6,$B17),출고표[발송일]))),출고표[총판매금액],--(ISNUMBER(SEARCH($C$13,출고표[쇼핑몰구분]))))</f>
        <v>301820</v>
      </c>
      <c r="E17" s="161" cm="1">
        <f t="array" ref="E17">SUMPRODUCT(--(ISNUMBER(SEARCH(DATE($B$6,$E$6,$B17),출고표[발송일]))),출고표[총판매금액],--(ISNUMBER(SEARCH($E$13,출고표[쇼핑몰구분]))))</f>
        <v>123620</v>
      </c>
      <c r="H17" s="173">
        <v>33</v>
      </c>
      <c r="I17" s="156" t="str">
        <v>비닐스토리</v>
      </c>
      <c r="J17" s="177">
        <v>45444</v>
      </c>
      <c r="K17" s="176" t="str">
        <v>28100050592430</v>
      </c>
      <c r="L17" s="176" t="str">
        <v>쿠팡</v>
      </c>
      <c r="M17" s="176" t="str">
        <v>손연주</v>
      </c>
      <c r="N17" s="176" t="str">
        <v>ka*****@na</v>
      </c>
      <c r="O17" s="177" t="str">
        <v>0502-4352-0407</v>
      </c>
      <c r="P17" s="177">
        <v>45446</v>
      </c>
      <c r="Q17" s="176" t="str">
        <v>CJ대한통운</v>
      </c>
      <c r="R17" s="176" t="str">
        <v>530213305120</v>
      </c>
      <c r="S17" s="178">
        <v>0</v>
      </c>
      <c r="T17" s="176" t="str">
        <v>SE.307</v>
      </c>
      <c r="U17" s="176" t="str">
        <v>투명</v>
      </c>
      <c r="V17" s="176">
        <v>1</v>
      </c>
      <c r="W17" s="176" t="str">
        <v>손효정</v>
      </c>
      <c r="X17" s="176" t="str">
        <v>0502-4352-0407</v>
      </c>
      <c r="Y17" s="176">
        <v>0</v>
      </c>
      <c r="Z17" s="176" t="str">
        <v>대구광역시 수성구 청호로 370 101동 307호 ( 범어동, 장원아파트 )</v>
      </c>
      <c r="AA17" s="190" t="str">
        <v>문 앞</v>
      </c>
      <c r="AB17" s="190">
        <v>0</v>
      </c>
      <c r="AC17" s="277">
        <v>0</v>
      </c>
      <c r="AD17" s="190">
        <v>12470</v>
      </c>
      <c r="AE17" s="190">
        <v>0</v>
      </c>
      <c r="AF17" s="190">
        <v>3000</v>
      </c>
      <c r="AG17" s="190">
        <v>3000</v>
      </c>
      <c r="AH17" s="190">
        <v>0</v>
      </c>
      <c r="AI17" s="190">
        <v>0</v>
      </c>
      <c r="AJ17" s="190">
        <v>0</v>
      </c>
      <c r="AK17" s="190" t="str">
        <v>떡외겹 30*30</v>
      </c>
      <c r="AL17" s="190">
        <v>0</v>
      </c>
      <c r="AM17" s="173">
        <v>11780</v>
      </c>
      <c r="AN17" s="173">
        <v>7260</v>
      </c>
      <c r="AO17" s="206">
        <v>15470</v>
      </c>
      <c r="AP17" s="206">
        <v>10260</v>
      </c>
      <c r="AQ17" s="173">
        <v>1580</v>
      </c>
      <c r="AR17" s="173">
        <v>3630</v>
      </c>
      <c r="AS17" s="173">
        <v>0.2346</v>
      </c>
      <c r="AT17" s="173">
        <v>0</v>
      </c>
      <c r="AU17" s="173" t="str">
        <v>ptDB47</v>
      </c>
      <c r="AV17" s="173">
        <v>0</v>
      </c>
      <c r="AW17" s="173">
        <v>15470</v>
      </c>
      <c r="AX17" s="173">
        <v>10260</v>
      </c>
      <c r="AY17" s="173">
        <v>1580</v>
      </c>
      <c r="AZ17" s="173">
        <v>3630</v>
      </c>
      <c r="BA17" s="173">
        <v>0.2346</v>
      </c>
      <c r="BB17" s="173" t="str">
        <v/>
      </c>
      <c r="BC17" s="173">
        <v>0</v>
      </c>
      <c r="BD17" s="156">
        <v>7260</v>
      </c>
      <c r="BF17" s="156">
        <v>26</v>
      </c>
      <c r="BG17" s="156" t="str">
        <v>비닐팩토리</v>
      </c>
      <c r="BH17" s="198">
        <v>45446</v>
      </c>
      <c r="BI17" s="199" t="str">
        <v>2024060349869161</v>
      </c>
      <c r="BJ17" s="199" t="str">
        <v>스마트 스토어</v>
      </c>
      <c r="BK17" s="199" t="str">
        <v>노민정</v>
      </c>
      <c r="BL17" s="199" t="str">
        <v>mimi****</v>
      </c>
      <c r="BM17" s="199" t="str">
        <v>010-2714-7704</v>
      </c>
      <c r="BN17" s="198">
        <v>45446</v>
      </c>
      <c r="BO17" s="199" t="str">
        <v>CJ대한통운</v>
      </c>
      <c r="BP17" s="199" t="str">
        <v>530213304862</v>
      </c>
      <c r="BQ17" s="199">
        <v>0</v>
      </c>
      <c r="BR17" s="199" t="str">
        <v>SE.205</v>
      </c>
      <c r="BS17" s="199" t="str">
        <v>투명</v>
      </c>
      <c r="BT17" s="199">
        <v>1</v>
      </c>
      <c r="BU17" s="199" t="str">
        <v>노민정</v>
      </c>
      <c r="BV17" s="199" t="str">
        <v>010-2714-7704</v>
      </c>
      <c r="BW17" s="199">
        <v>0</v>
      </c>
      <c r="BX17" s="199" t="str">
        <v>서울특별시 양천구 중앙로 224 (신정동) 102호</v>
      </c>
      <c r="BY17" s="199">
        <v>0</v>
      </c>
      <c r="BZ17" s="199">
        <v>0</v>
      </c>
      <c r="CA17" s="273">
        <v>0</v>
      </c>
      <c r="CB17" s="199">
        <v>24000</v>
      </c>
      <c r="CC17" s="199">
        <v>0</v>
      </c>
      <c r="CD17" s="199">
        <v>3000</v>
      </c>
      <c r="CE17" s="200">
        <v>3000</v>
      </c>
      <c r="CF17" s="200">
        <v>0</v>
      </c>
      <c r="CG17" s="200">
        <v>0</v>
      </c>
      <c r="CH17" s="200">
        <v>0</v>
      </c>
      <c r="CI17" s="200" t="str">
        <v>떡롤 35*400</v>
      </c>
      <c r="CJ17" s="200">
        <v>0</v>
      </c>
      <c r="CK17" s="200">
        <v>24000</v>
      </c>
      <c r="CL17" s="200">
        <v>16500</v>
      </c>
      <c r="CM17" s="200">
        <v>27000</v>
      </c>
      <c r="CN17" s="156">
        <v>0</v>
      </c>
      <c r="CO17" s="156">
        <v>1375</v>
      </c>
      <c r="CP17" s="156">
        <v>0</v>
      </c>
      <c r="CQ17" s="156">
        <v>0</v>
      </c>
      <c r="CR17" s="156">
        <v>0</v>
      </c>
      <c r="CS17" s="156" t="str">
        <v>ptDB47</v>
      </c>
      <c r="CT17" s="156">
        <v>0</v>
      </c>
      <c r="CU17" s="156">
        <v>27000</v>
      </c>
      <c r="CV17" s="156">
        <v>0</v>
      </c>
      <c r="CW17" s="156">
        <v>1375</v>
      </c>
      <c r="CX17" s="156">
        <v>0</v>
      </c>
      <c r="CY17" s="156">
        <v>0</v>
      </c>
      <c r="CZ17" s="156" t="str">
        <v/>
      </c>
      <c r="DA17" s="156">
        <v>0</v>
      </c>
      <c r="DB17" s="156">
        <v>16500</v>
      </c>
    </row>
    <row r="18" spans="2:106" ht="18" customHeight="1">
      <c r="B18" s="159">
        <v>5</v>
      </c>
      <c r="C18" s="161" cm="1">
        <f t="array" ref="C18">SUMPRODUCT(--(ISNUMBER(SEARCH(DATE($B$6,$E$6,$B18),출고표[발송일]))),출고표[거래처지급액],--(ISNUMBER(SEARCH($C$13,출고표[쇼핑몰구분]))))</f>
        <v>96290</v>
      </c>
      <c r="D18" s="161" cm="1">
        <f t="array" ref="D18">SUMPRODUCT(--(ISNUMBER(SEARCH(DATE($B$6,$E$6,$B18),출고표[발송일]))),출고표[총판매금액],--(ISNUMBER(SEARCH($C$13,출고표[쇼핑몰구분]))))</f>
        <v>133340</v>
      </c>
      <c r="E18" s="161" cm="1">
        <f t="array" ref="E18">SUMPRODUCT(--(ISNUMBER(SEARCH(DATE($B$6,$E$6,$B18),출고표[발송일]))),출고표[총판매금액],--(ISNUMBER(SEARCH($E$13,출고표[쇼핑몰구분]))))</f>
        <v>219900</v>
      </c>
      <c r="H18" s="173">
        <v>34</v>
      </c>
      <c r="I18" s="156" t="str">
        <v>비닐스토리</v>
      </c>
      <c r="J18" s="177">
        <v>45444</v>
      </c>
      <c r="K18" s="176" t="str">
        <v>6100050616121</v>
      </c>
      <c r="L18" s="176" t="str">
        <v>쿠팡</v>
      </c>
      <c r="M18" s="176" t="str">
        <v>정장숙</v>
      </c>
      <c r="N18" s="176" t="str">
        <v>an*****@ha</v>
      </c>
      <c r="O18" s="177" t="str">
        <v>0502-4535-9645</v>
      </c>
      <c r="P18" s="177">
        <v>45446</v>
      </c>
      <c r="Q18" s="176" t="str">
        <v>CJ대한통운</v>
      </c>
      <c r="R18" s="176" t="str">
        <v>530213304954</v>
      </c>
      <c r="S18" s="178">
        <v>0</v>
      </c>
      <c r="T18" s="176" t="str">
        <v>SE.206</v>
      </c>
      <c r="U18" s="176" t="str">
        <v>투명</v>
      </c>
      <c r="V18" s="176">
        <v>1</v>
      </c>
      <c r="W18" s="176" t="str">
        <v>정장숙</v>
      </c>
      <c r="X18" s="176" t="str">
        <v>0502-4535-9645</v>
      </c>
      <c r="Y18" s="176">
        <v>0</v>
      </c>
      <c r="Z18" s="176" t="str">
        <v>세종특별자치시 대평동 568-1 해들마을 6단지 상가동 B101호 해들떡마을</v>
      </c>
      <c r="AA18" s="190" t="str">
        <v>문 앞</v>
      </c>
      <c r="AB18" s="190">
        <v>0</v>
      </c>
      <c r="AC18" s="277">
        <v>0</v>
      </c>
      <c r="AD18" s="190">
        <v>34020</v>
      </c>
      <c r="AE18" s="190">
        <v>0</v>
      </c>
      <c r="AF18" s="190">
        <v>3000</v>
      </c>
      <c r="AG18" s="190">
        <v>3500</v>
      </c>
      <c r="AH18" s="190">
        <v>0</v>
      </c>
      <c r="AI18" s="190">
        <v>0</v>
      </c>
      <c r="AJ18" s="190">
        <v>0</v>
      </c>
      <c r="AK18" s="190" t="str">
        <v>떡롤 45*330</v>
      </c>
      <c r="AL18" s="190">
        <v>0</v>
      </c>
      <c r="AM18" s="173">
        <v>32130</v>
      </c>
      <c r="AN18" s="173">
        <v>19800</v>
      </c>
      <c r="AO18" s="206">
        <v>37020</v>
      </c>
      <c r="AP18" s="206">
        <v>23300</v>
      </c>
      <c r="AQ18" s="173">
        <v>4141</v>
      </c>
      <c r="AR18" s="173">
        <v>9579</v>
      </c>
      <c r="AS18" s="173">
        <v>0.25879999999999997</v>
      </c>
      <c r="AT18" s="173">
        <v>0</v>
      </c>
      <c r="AU18" s="173" t="str">
        <v>ptDB47</v>
      </c>
      <c r="AV18" s="173">
        <v>0</v>
      </c>
      <c r="AW18" s="173">
        <v>37020</v>
      </c>
      <c r="AX18" s="173">
        <v>23300</v>
      </c>
      <c r="AY18" s="173">
        <v>4141</v>
      </c>
      <c r="AZ18" s="173">
        <v>9579</v>
      </c>
      <c r="BA18" s="173">
        <v>0.25879999999999997</v>
      </c>
      <c r="BB18" s="173" t="str">
        <v/>
      </c>
      <c r="BC18" s="173">
        <v>0</v>
      </c>
      <c r="BD18" s="156">
        <v>19800</v>
      </c>
      <c r="BF18" s="156">
        <v>27</v>
      </c>
      <c r="BG18" s="156" t="str">
        <v>비닐팩토리</v>
      </c>
      <c r="BH18" s="198">
        <v>45445</v>
      </c>
      <c r="BI18" s="199" t="str">
        <v>2024060234540801</v>
      </c>
      <c r="BJ18" s="199" t="str">
        <v>스마트 스토어</v>
      </c>
      <c r="BK18" s="199" t="str">
        <v>한찬범</v>
      </c>
      <c r="BL18" s="199" t="str">
        <v>gksq****</v>
      </c>
      <c r="BM18" s="199" t="str">
        <v>010-9589-2203</v>
      </c>
      <c r="BN18" s="198">
        <v>45446</v>
      </c>
      <c r="BO18" s="199" t="str">
        <v>CJ대한통운</v>
      </c>
      <c r="BP18" s="199" t="str">
        <v>530213304980</v>
      </c>
      <c r="BQ18" s="199">
        <v>0</v>
      </c>
      <c r="BR18" s="199" t="str">
        <v>SE.203</v>
      </c>
      <c r="BS18" s="199" t="str">
        <v>투명</v>
      </c>
      <c r="BT18" s="199">
        <v>1</v>
      </c>
      <c r="BU18" s="199" t="str">
        <v>한찬범</v>
      </c>
      <c r="BV18" s="199" t="str">
        <v>010-9589-2203</v>
      </c>
      <c r="BW18" s="199">
        <v>0</v>
      </c>
      <c r="BX18" s="199" t="str">
        <v>충청북도 청주시 서원구 장전로20번나길 8 (성화동) 1층 꿀꺽삼겹살</v>
      </c>
      <c r="BY18" s="199">
        <v>0</v>
      </c>
      <c r="BZ18" s="199">
        <v>0</v>
      </c>
      <c r="CA18" s="273">
        <v>0</v>
      </c>
      <c r="CB18" s="199">
        <v>17600</v>
      </c>
      <c r="CC18" s="199">
        <v>0</v>
      </c>
      <c r="CD18" s="199">
        <v>3000</v>
      </c>
      <c r="CE18" s="200">
        <v>3000</v>
      </c>
      <c r="CF18" s="200">
        <v>0</v>
      </c>
      <c r="CG18" s="200">
        <v>0</v>
      </c>
      <c r="CH18" s="200">
        <v>0</v>
      </c>
      <c r="CI18" s="200" t="str">
        <v>떡롤 24*400</v>
      </c>
      <c r="CJ18" s="200">
        <v>0</v>
      </c>
      <c r="CK18" s="200">
        <v>17600</v>
      </c>
      <c r="CL18" s="200">
        <v>12100</v>
      </c>
      <c r="CM18" s="200">
        <v>20600</v>
      </c>
      <c r="CN18" s="156">
        <v>0</v>
      </c>
      <c r="CO18" s="156">
        <v>1053</v>
      </c>
      <c r="CP18" s="156">
        <v>0</v>
      </c>
      <c r="CQ18" s="156">
        <v>0</v>
      </c>
      <c r="CR18" s="156">
        <v>0</v>
      </c>
      <c r="CS18" s="156" t="str">
        <v>ptDB47</v>
      </c>
      <c r="CT18" s="156">
        <v>0</v>
      </c>
      <c r="CU18" s="156">
        <v>20600</v>
      </c>
      <c r="CV18" s="156">
        <v>0</v>
      </c>
      <c r="CW18" s="156">
        <v>1053</v>
      </c>
      <c r="CX18" s="156">
        <v>0</v>
      </c>
      <c r="CY18" s="156">
        <v>0</v>
      </c>
      <c r="CZ18" s="156" t="str">
        <v/>
      </c>
      <c r="DA18" s="156">
        <v>0</v>
      </c>
      <c r="DB18" s="156">
        <v>12100</v>
      </c>
    </row>
    <row r="19" spans="2:106" ht="18" customHeight="1">
      <c r="B19" s="159">
        <v>6</v>
      </c>
      <c r="C19" s="161" cm="1">
        <f t="array" ref="C19">SUMPRODUCT(--(ISNUMBER(SEARCH(DATE($B$6,$E$6,$B19),출고표[발송일]))),출고표[거래처지급액],--(ISNUMBER(SEARCH($C$13,출고표[쇼핑몰구분]))))</f>
        <v>0</v>
      </c>
      <c r="D19" s="161" cm="1">
        <f t="array" ref="D19">SUMPRODUCT(--(ISNUMBER(SEARCH(DATE($B$6,$E$6,$B19),출고표[발송일]))),출고표[총판매금액],--(ISNUMBER(SEARCH($C$13,출고표[쇼핑몰구분]))))</f>
        <v>0</v>
      </c>
      <c r="E19" s="161" cm="1">
        <f t="array" ref="E19">SUMPRODUCT(--(ISNUMBER(SEARCH(DATE($B$6,$E$6,$B19),출고표[발송일]))),출고표[총판매금액],--(ISNUMBER(SEARCH($E$13,출고표[쇼핑몰구분]))))</f>
        <v>0</v>
      </c>
      <c r="H19" s="173">
        <v>35</v>
      </c>
      <c r="I19" s="156" t="str">
        <v>비닐스토리</v>
      </c>
      <c r="J19" s="177">
        <v>45444</v>
      </c>
      <c r="K19" s="176" t="str">
        <v>27100050574722</v>
      </c>
      <c r="L19" s="176" t="str">
        <v>쿠팡</v>
      </c>
      <c r="M19" s="176" t="str">
        <v>박노홍</v>
      </c>
      <c r="N19" s="176" t="str">
        <v>Kl*****@na</v>
      </c>
      <c r="O19" s="177" t="str">
        <v>0502-4696-9661</v>
      </c>
      <c r="P19" s="177">
        <v>45446</v>
      </c>
      <c r="Q19" s="176" t="str">
        <v>CJ대한통운</v>
      </c>
      <c r="R19" s="176" t="str">
        <v>530213305050</v>
      </c>
      <c r="S19" s="178">
        <v>0</v>
      </c>
      <c r="T19" s="176" t="str">
        <v>SE.102</v>
      </c>
      <c r="U19" s="176" t="str">
        <v>투명</v>
      </c>
      <c r="V19" s="176">
        <v>40</v>
      </c>
      <c r="W19" s="176" t="str">
        <v>박노홍</v>
      </c>
      <c r="X19" s="176" t="str">
        <v>0502-4696-9661</v>
      </c>
      <c r="Y19" s="176">
        <v>0</v>
      </c>
      <c r="Z19" s="176" t="str">
        <v>충청북도 음성군 음성읍 시장로 123 치킨이호프를 만났을때</v>
      </c>
      <c r="AA19" s="190" t="str">
        <v>직접 받고 부재 시 문 앞</v>
      </c>
      <c r="AB19" s="190">
        <v>0</v>
      </c>
      <c r="AC19" s="277">
        <v>0</v>
      </c>
      <c r="AD19" s="190">
        <v>46000</v>
      </c>
      <c r="AE19" s="190">
        <v>0</v>
      </c>
      <c r="AF19" s="190">
        <v>0</v>
      </c>
      <c r="AG19" s="190">
        <v>3500</v>
      </c>
      <c r="AH19" s="190">
        <v>0</v>
      </c>
      <c r="AI19" s="190">
        <v>0</v>
      </c>
      <c r="AJ19" s="190">
        <v>0</v>
      </c>
      <c r="AK19" s="190" t="str">
        <v>소폭 12*26</v>
      </c>
      <c r="AL19" s="190">
        <v>0</v>
      </c>
      <c r="AM19" s="173">
        <v>1070</v>
      </c>
      <c r="AN19" s="173">
        <v>660</v>
      </c>
      <c r="AO19" s="206">
        <v>46000</v>
      </c>
      <c r="AP19" s="206">
        <v>29900</v>
      </c>
      <c r="AQ19" s="173">
        <v>5465</v>
      </c>
      <c r="AR19" s="173">
        <v>10635</v>
      </c>
      <c r="AS19" s="173">
        <v>0.23119999999999999</v>
      </c>
      <c r="AT19" s="173">
        <v>0</v>
      </c>
      <c r="AU19" s="173" t="str">
        <v>ptDB47</v>
      </c>
      <c r="AV19" s="173">
        <v>0</v>
      </c>
      <c r="AW19" s="173">
        <v>46000</v>
      </c>
      <c r="AX19" s="173">
        <v>29900</v>
      </c>
      <c r="AY19" s="173">
        <v>5465</v>
      </c>
      <c r="AZ19" s="173">
        <v>10635</v>
      </c>
      <c r="BA19" s="173">
        <v>0.23119999999999999</v>
      </c>
      <c r="BB19" s="173" t="str">
        <v/>
      </c>
      <c r="BC19" s="173">
        <v>0</v>
      </c>
      <c r="BD19" s="156">
        <v>26400</v>
      </c>
      <c r="BF19" s="156">
        <v>28</v>
      </c>
      <c r="BG19" s="156" t="str">
        <v>비닐팩토리</v>
      </c>
      <c r="BH19" s="198">
        <v>45444</v>
      </c>
      <c r="BI19" s="199" t="str">
        <v>2024060186841831</v>
      </c>
      <c r="BJ19" s="199" t="str">
        <v>스마트 스토어</v>
      </c>
      <c r="BK19" s="199" t="str">
        <v>JINXIANGHUA</v>
      </c>
      <c r="BL19" s="199" t="str">
        <v>danh****</v>
      </c>
      <c r="BM19" s="199" t="str">
        <v>010-5313-3880</v>
      </c>
      <c r="BN19" s="198">
        <v>45446</v>
      </c>
      <c r="BO19" s="199" t="str">
        <v>CJ대한통운</v>
      </c>
      <c r="BP19" s="199" t="str">
        <v>530213304910</v>
      </c>
      <c r="BQ19" s="199">
        <v>0</v>
      </c>
      <c r="BR19" s="199" t="str">
        <v>SE.204</v>
      </c>
      <c r="BS19" s="199" t="str">
        <v>투명</v>
      </c>
      <c r="BT19" s="199">
        <v>1</v>
      </c>
      <c r="BU19" s="199" t="str">
        <v>김단혜</v>
      </c>
      <c r="BV19" s="199" t="str">
        <v>010-5313-3880</v>
      </c>
      <c r="BW19" s="199">
        <v>0</v>
      </c>
      <c r="BX19" s="199" t="str">
        <v>경기도 안양시 동안구 시민대로 180 (호계동, G.SQURE, 롯데백화점 평촌점) 지하1층 검품장</v>
      </c>
      <c r="BY19" s="199">
        <v>0</v>
      </c>
      <c r="BZ19" s="199">
        <v>0</v>
      </c>
      <c r="CA19" s="273">
        <v>0</v>
      </c>
      <c r="CB19" s="199">
        <v>20800</v>
      </c>
      <c r="CC19" s="199">
        <v>0</v>
      </c>
      <c r="CD19" s="199">
        <v>3000</v>
      </c>
      <c r="CE19" s="200">
        <v>3500</v>
      </c>
      <c r="CF19" s="200">
        <v>0</v>
      </c>
      <c r="CG19" s="200">
        <v>0</v>
      </c>
      <c r="CH19" s="200">
        <v>0</v>
      </c>
      <c r="CI19" s="200" t="str">
        <v>떡롤 30*400</v>
      </c>
      <c r="CJ19" s="200">
        <v>0</v>
      </c>
      <c r="CK19" s="200">
        <v>20800</v>
      </c>
      <c r="CL19" s="200">
        <v>14300</v>
      </c>
      <c r="CM19" s="200">
        <v>23800</v>
      </c>
      <c r="CN19" s="156">
        <v>0</v>
      </c>
      <c r="CO19" s="156">
        <v>1214</v>
      </c>
      <c r="CP19" s="156">
        <v>0</v>
      </c>
      <c r="CQ19" s="156">
        <v>0</v>
      </c>
      <c r="CR19" s="156">
        <v>0</v>
      </c>
      <c r="CS19" s="156" t="str">
        <v>ptDB47</v>
      </c>
      <c r="CT19" s="156">
        <v>0</v>
      </c>
      <c r="CU19" s="156">
        <v>23800</v>
      </c>
      <c r="CV19" s="156">
        <v>0</v>
      </c>
      <c r="CW19" s="156">
        <v>1214</v>
      </c>
      <c r="CX19" s="156">
        <v>0</v>
      </c>
      <c r="CY19" s="156">
        <v>0</v>
      </c>
      <c r="CZ19" s="156" t="str">
        <v/>
      </c>
      <c r="DA19" s="156">
        <v>0</v>
      </c>
      <c r="DB19" s="156">
        <v>14300</v>
      </c>
    </row>
    <row r="20" spans="2:106" ht="18" customHeight="1">
      <c r="B20" s="159">
        <v>7</v>
      </c>
      <c r="C20" s="161" cm="1">
        <f t="array" ref="C20">SUMPRODUCT(--(ISNUMBER(SEARCH(DATE($B$6,$E$6,$B20),출고표[발송일]))),출고표[거래처지급액],--(ISNUMBER(SEARCH($C$13,출고표[쇼핑몰구분]))))</f>
        <v>106743</v>
      </c>
      <c r="D20" s="161" cm="1">
        <f t="array" ref="D20">SUMPRODUCT(--(ISNUMBER(SEARCH(DATE($B$6,$E$6,$B20),출고표[발송일]))),출고표[총판매금액],--(ISNUMBER(SEARCH($C$13,출고표[쇼핑몰구분]))))</f>
        <v>158050</v>
      </c>
      <c r="E20" s="161" cm="1">
        <f t="array" ref="E20">SUMPRODUCT(--(ISNUMBER(SEARCH(DATE($B$6,$E$6,$B20),출고표[발송일]))),출고표[총판매금액],--(ISNUMBER(SEARCH($E$13,출고표[쇼핑몰구분]))))</f>
        <v>130830</v>
      </c>
      <c r="H20" s="173">
        <v>36</v>
      </c>
      <c r="I20" s="156" t="str">
        <v>비닐스토리</v>
      </c>
      <c r="J20" s="177">
        <v>45444</v>
      </c>
      <c r="K20" s="176" t="str">
        <v>15100050838170</v>
      </c>
      <c r="L20" s="176" t="str">
        <v>쿠팡</v>
      </c>
      <c r="M20" s="176" t="str">
        <v>원미경</v>
      </c>
      <c r="N20" s="176" t="str">
        <v>om*****@na</v>
      </c>
      <c r="O20" s="177" t="str">
        <v>0504-4989-8106</v>
      </c>
      <c r="P20" s="177">
        <v>45446</v>
      </c>
      <c r="Q20" s="176" t="str">
        <v>CJ대한통운</v>
      </c>
      <c r="R20" s="176" t="str">
        <v>530213304932</v>
      </c>
      <c r="S20" s="178">
        <v>0</v>
      </c>
      <c r="T20" s="176" t="str">
        <v>SE.101</v>
      </c>
      <c r="U20" s="176" t="str">
        <v>투명</v>
      </c>
      <c r="V20" s="176">
        <v>30</v>
      </c>
      <c r="W20" s="176" t="str">
        <v>원미경</v>
      </c>
      <c r="X20" s="176" t="str">
        <v>0504-4989-8106</v>
      </c>
      <c r="Y20" s="176">
        <v>0</v>
      </c>
      <c r="Z20" s="176" t="str">
        <v>세종특별자치시 새롬동 373 새뜸마을4단지 417동1204호</v>
      </c>
      <c r="AA20" s="190" t="str">
        <v>문 앞</v>
      </c>
      <c r="AB20" s="190">
        <v>0</v>
      </c>
      <c r="AC20" s="277">
        <v>0</v>
      </c>
      <c r="AD20" s="190">
        <v>28200</v>
      </c>
      <c r="AE20" s="190">
        <v>0</v>
      </c>
      <c r="AF20" s="190">
        <v>3000</v>
      </c>
      <c r="AG20" s="190">
        <v>3500</v>
      </c>
      <c r="AH20" s="190">
        <v>0</v>
      </c>
      <c r="AI20" s="190">
        <v>0</v>
      </c>
      <c r="AJ20" s="190">
        <v>0</v>
      </c>
      <c r="AK20" s="190" t="str">
        <v>소폭 10*26</v>
      </c>
      <c r="AL20" s="190">
        <v>0</v>
      </c>
      <c r="AM20" s="173">
        <v>890</v>
      </c>
      <c r="AN20" s="173">
        <v>550</v>
      </c>
      <c r="AO20" s="206">
        <v>31200</v>
      </c>
      <c r="AP20" s="206">
        <v>20000</v>
      </c>
      <c r="AQ20" s="173">
        <v>3449</v>
      </c>
      <c r="AR20" s="173">
        <v>7751</v>
      </c>
      <c r="AS20" s="173">
        <v>0.24840000000000001</v>
      </c>
      <c r="AT20" s="173">
        <v>0</v>
      </c>
      <c r="AU20" s="173" t="str">
        <v>ptDB47</v>
      </c>
      <c r="AV20" s="173">
        <v>0</v>
      </c>
      <c r="AW20" s="173">
        <v>31200</v>
      </c>
      <c r="AX20" s="173">
        <v>20000</v>
      </c>
      <c r="AY20" s="173">
        <v>3449</v>
      </c>
      <c r="AZ20" s="173">
        <v>7751</v>
      </c>
      <c r="BA20" s="173">
        <v>0.24840000000000001</v>
      </c>
      <c r="BB20" s="173" t="str">
        <v/>
      </c>
      <c r="BC20" s="173">
        <v>0</v>
      </c>
      <c r="BD20" s="156">
        <v>16500</v>
      </c>
      <c r="BF20" s="156">
        <v>29</v>
      </c>
      <c r="BG20" s="156" t="str">
        <v>비닐팩토리</v>
      </c>
      <c r="BH20" s="198">
        <v>45444</v>
      </c>
      <c r="BI20" s="199" t="str">
        <v>2024060185000311</v>
      </c>
      <c r="BJ20" s="199" t="str">
        <v>스마트 스토어</v>
      </c>
      <c r="BK20" s="199" t="str">
        <v>정유연</v>
      </c>
      <c r="BL20" s="199" t="str">
        <v>simi****</v>
      </c>
      <c r="BM20" s="199" t="str">
        <v>010-9518-2588</v>
      </c>
      <c r="BN20" s="198">
        <v>45446</v>
      </c>
      <c r="BO20" s="199" t="str">
        <v>CJ대한통운</v>
      </c>
      <c r="BP20" s="199" t="str">
        <v>530213304895</v>
      </c>
      <c r="BQ20" s="199">
        <v>0</v>
      </c>
      <c r="BR20" s="199" t="str">
        <v>SE.18</v>
      </c>
      <c r="BS20" s="199" t="str">
        <v>청백</v>
      </c>
      <c r="BT20" s="199">
        <v>1</v>
      </c>
      <c r="BU20" s="199" t="str">
        <v>하루정육</v>
      </c>
      <c r="BV20" s="199" t="str">
        <v>010-9518-2588</v>
      </c>
      <c r="BW20" s="199">
        <v>0</v>
      </c>
      <c r="BX20" s="199" t="str">
        <v>부산광역시 부산진구 동평로 173 (부암동, 협성휴포레 시티즌파크) 상가 1층 하루정육</v>
      </c>
      <c r="BY20" s="199">
        <v>0</v>
      </c>
      <c r="BZ20" s="199">
        <v>0</v>
      </c>
      <c r="CA20" s="273">
        <v>0</v>
      </c>
      <c r="CB20" s="199">
        <v>1770</v>
      </c>
      <c r="CC20" s="199">
        <v>1440</v>
      </c>
      <c r="CD20" s="199">
        <v>0</v>
      </c>
      <c r="CE20" s="200">
        <v>3000</v>
      </c>
      <c r="CF20" s="200">
        <v>0</v>
      </c>
      <c r="CG20" s="200">
        <v>0</v>
      </c>
      <c r="CH20" s="200">
        <v>0</v>
      </c>
      <c r="CI20" s="200" t="str">
        <v>왕대A</v>
      </c>
      <c r="CJ20" s="200">
        <v>0</v>
      </c>
      <c r="CK20" s="200">
        <v>1770</v>
      </c>
      <c r="CL20" s="200">
        <v>1293</v>
      </c>
      <c r="CM20" s="200">
        <v>1770</v>
      </c>
      <c r="CN20" s="156">
        <v>0</v>
      </c>
      <c r="CO20" s="156">
        <v>169</v>
      </c>
      <c r="CP20" s="156">
        <v>0</v>
      </c>
      <c r="CQ20" s="156">
        <v>0</v>
      </c>
      <c r="CR20" s="156">
        <v>0</v>
      </c>
      <c r="CS20" s="156" t="str">
        <v>ptDB47</v>
      </c>
      <c r="CT20" s="156">
        <v>0</v>
      </c>
      <c r="CU20" s="156">
        <v>1770</v>
      </c>
      <c r="CV20" s="156">
        <v>0</v>
      </c>
      <c r="CW20" s="156">
        <v>169</v>
      </c>
      <c r="CX20" s="156">
        <v>0</v>
      </c>
      <c r="CY20" s="156">
        <v>0</v>
      </c>
      <c r="CZ20" s="156" t="str">
        <v/>
      </c>
      <c r="DA20" s="156">
        <v>0</v>
      </c>
      <c r="DB20" s="156">
        <v>1293</v>
      </c>
    </row>
    <row r="21" spans="2:106" ht="18" customHeight="1">
      <c r="B21" s="159">
        <v>8</v>
      </c>
      <c r="C21" s="161" cm="1">
        <f t="array" ref="C21">SUMPRODUCT(--(ISNUMBER(SEARCH(DATE($B$6,$E$6,$B21),출고표[발송일]))),출고표[거래처지급액],--(ISNUMBER(SEARCH($C$13,출고표[쇼핑몰구분]))))</f>
        <v>0</v>
      </c>
      <c r="D21" s="161" cm="1">
        <f t="array" ref="D21">SUMPRODUCT(--(ISNUMBER(SEARCH(DATE($B$6,$E$6,$B21),출고표[발송일]))),출고표[총판매금액],--(ISNUMBER(SEARCH($C$13,출고표[쇼핑몰구분]))))</f>
        <v>0</v>
      </c>
      <c r="E21" s="161" cm="1">
        <f t="array" ref="E21">SUMPRODUCT(--(ISNUMBER(SEARCH(DATE($B$6,$E$6,$B21),출고표[발송일]))),출고표[총판매금액],--(ISNUMBER(SEARCH($E$13,출고표[쇼핑몰구분]))))</f>
        <v>0</v>
      </c>
      <c r="H21" s="173">
        <v>37</v>
      </c>
      <c r="I21" s="156" t="str">
        <v>비닐스토리</v>
      </c>
      <c r="J21" s="177">
        <v>45445</v>
      </c>
      <c r="K21" s="176" t="str">
        <v>16100051423052</v>
      </c>
      <c r="L21" s="176" t="str">
        <v>쿠팡</v>
      </c>
      <c r="M21" s="176" t="str">
        <v>이연재</v>
      </c>
      <c r="N21" s="176" t="str">
        <v>ly*****@na</v>
      </c>
      <c r="O21" s="177" t="str">
        <v>0502-4953-1822</v>
      </c>
      <c r="P21" s="177">
        <v>45446</v>
      </c>
      <c r="Q21" s="176" t="str">
        <v>CJ대한통운</v>
      </c>
      <c r="R21" s="176" t="str">
        <v>530213305083</v>
      </c>
      <c r="S21" s="178">
        <v>0</v>
      </c>
      <c r="T21" s="176" t="str">
        <v>SE.108</v>
      </c>
      <c r="U21" s="176" t="str">
        <v>투명</v>
      </c>
      <c r="V21" s="176">
        <v>5</v>
      </c>
      <c r="W21" s="176" t="str">
        <v>이연재</v>
      </c>
      <c r="X21" s="176" t="str">
        <v>0502-4953-1822</v>
      </c>
      <c r="Y21" s="176">
        <v>0</v>
      </c>
      <c r="Z21" s="176" t="str">
        <v>전라북도 군산시 옥산면 접산길 22 주택</v>
      </c>
      <c r="AA21" s="190" t="str">
        <v>문 앞</v>
      </c>
      <c r="AB21" s="190">
        <v>0</v>
      </c>
      <c r="AC21" s="277">
        <v>0</v>
      </c>
      <c r="AD21" s="190">
        <v>6250</v>
      </c>
      <c r="AE21" s="190">
        <v>0</v>
      </c>
      <c r="AF21" s="190">
        <v>3000</v>
      </c>
      <c r="AG21" s="190">
        <v>3000</v>
      </c>
      <c r="AH21" s="190">
        <v>0</v>
      </c>
      <c r="AI21" s="190">
        <v>0</v>
      </c>
      <c r="AJ21" s="190">
        <v>0</v>
      </c>
      <c r="AK21" s="190" t="str">
        <v>고추 45*75</v>
      </c>
      <c r="AL21" s="190">
        <v>0</v>
      </c>
      <c r="AM21" s="173">
        <v>1170</v>
      </c>
      <c r="AN21" s="173">
        <v>715</v>
      </c>
      <c r="AO21" s="206">
        <v>9250</v>
      </c>
      <c r="AP21" s="206">
        <v>6575</v>
      </c>
      <c r="AQ21" s="173">
        <v>842</v>
      </c>
      <c r="AR21" s="173">
        <v>1833</v>
      </c>
      <c r="AS21" s="173">
        <v>0.19819999999999999</v>
      </c>
      <c r="AT21" s="173">
        <v>0</v>
      </c>
      <c r="AU21" s="173" t="str">
        <v>ptDB47</v>
      </c>
      <c r="AV21" s="173">
        <v>0</v>
      </c>
      <c r="AW21" s="173">
        <v>9250</v>
      </c>
      <c r="AX21" s="173">
        <v>6575</v>
      </c>
      <c r="AY21" s="173">
        <v>842</v>
      </c>
      <c r="AZ21" s="173">
        <v>1833</v>
      </c>
      <c r="BA21" s="173">
        <v>0.19819999999999999</v>
      </c>
      <c r="BB21" s="173" t="str">
        <v/>
      </c>
      <c r="BC21" s="173">
        <v>0</v>
      </c>
      <c r="BD21" s="156">
        <v>3575</v>
      </c>
      <c r="BF21" s="156">
        <v>30</v>
      </c>
      <c r="BG21" s="156" t="str">
        <v>비닐팩토리</v>
      </c>
      <c r="BH21" s="198">
        <v>45444</v>
      </c>
      <c r="BI21" s="199" t="str">
        <v>2024060185000301</v>
      </c>
      <c r="BJ21" s="199" t="str">
        <v>스마트 스토어</v>
      </c>
      <c r="BK21" s="199" t="str">
        <v>정유연</v>
      </c>
      <c r="BL21" s="199" t="str">
        <v>simi****</v>
      </c>
      <c r="BM21" s="199" t="str">
        <v>010-9518-2588</v>
      </c>
      <c r="BN21" s="198">
        <v>45446</v>
      </c>
      <c r="BO21" s="199" t="str">
        <v>CJ대한통운</v>
      </c>
      <c r="BP21" s="199" t="str">
        <v>530213304895</v>
      </c>
      <c r="BQ21" s="199">
        <v>0</v>
      </c>
      <c r="BR21" s="199" t="str">
        <v>SE.8</v>
      </c>
      <c r="BS21" s="199" t="str">
        <v>유백</v>
      </c>
      <c r="BT21" s="199">
        <v>10</v>
      </c>
      <c r="BU21" s="199" t="str">
        <v>하루정육</v>
      </c>
      <c r="BV21" s="199" t="str">
        <v>010-9518-2588</v>
      </c>
      <c r="BW21" s="199">
        <v>0</v>
      </c>
      <c r="BX21" s="199" t="str">
        <v>부산광역시 부산진구 동평로 173 (부암동, 협성휴포레 시티즌파크) 상가 1층 하루정육</v>
      </c>
      <c r="BY21" s="199">
        <v>0</v>
      </c>
      <c r="BZ21" s="199">
        <v>0</v>
      </c>
      <c r="CA21" s="273">
        <v>0</v>
      </c>
      <c r="CB21" s="199">
        <v>9800</v>
      </c>
      <c r="CC21" s="199">
        <v>14400</v>
      </c>
      <c r="CD21" s="199">
        <v>0</v>
      </c>
      <c r="CE21" s="200">
        <v>0</v>
      </c>
      <c r="CF21" s="200">
        <v>0</v>
      </c>
      <c r="CG21" s="200">
        <v>0</v>
      </c>
      <c r="CH21" s="200">
        <v>0</v>
      </c>
      <c r="CI21" s="200" t="str">
        <v>대위</v>
      </c>
      <c r="CJ21" s="200" t="str">
        <v>재구매</v>
      </c>
      <c r="CK21" s="200">
        <v>980</v>
      </c>
      <c r="CL21" s="200">
        <v>715</v>
      </c>
      <c r="CM21" s="200">
        <v>9800</v>
      </c>
      <c r="CN21" s="156">
        <v>0</v>
      </c>
      <c r="CO21" s="156">
        <v>572</v>
      </c>
      <c r="CP21" s="156">
        <v>0</v>
      </c>
      <c r="CQ21" s="156">
        <v>0</v>
      </c>
      <c r="CR21" s="156">
        <v>0</v>
      </c>
      <c r="CS21" s="156" t="str">
        <v>ptDB47</v>
      </c>
      <c r="CT21" s="156">
        <v>0</v>
      </c>
      <c r="CU21" s="156">
        <v>9800</v>
      </c>
      <c r="CV21" s="156">
        <v>0</v>
      </c>
      <c r="CW21" s="156">
        <v>572</v>
      </c>
      <c r="CX21" s="156">
        <v>0</v>
      </c>
      <c r="CY21" s="156">
        <v>0</v>
      </c>
      <c r="CZ21" s="156" t="str">
        <v/>
      </c>
      <c r="DA21" s="156">
        <v>0</v>
      </c>
      <c r="DB21" s="156">
        <v>7150</v>
      </c>
    </row>
    <row r="22" spans="2:106" ht="18" customHeight="1">
      <c r="B22" s="159">
        <v>9</v>
      </c>
      <c r="C22" s="161" cm="1">
        <f t="array" ref="C22">SUMPRODUCT(--(ISNUMBER(SEARCH(DATE($B$6,$E$6,$B22),출고표[발송일]))),출고표[거래처지급액],--(ISNUMBER(SEARCH($C$13,출고표[쇼핑몰구분]))))</f>
        <v>0</v>
      </c>
      <c r="D22" s="161" cm="1">
        <f t="array" ref="D22">SUMPRODUCT(--(ISNUMBER(SEARCH(DATE($B$6,$E$6,$B22),출고표[발송일]))),출고표[총판매금액],--(ISNUMBER(SEARCH($C$13,출고표[쇼핑몰구분]))))</f>
        <v>0</v>
      </c>
      <c r="E22" s="161" cm="1">
        <f t="array" ref="E22">SUMPRODUCT(--(ISNUMBER(SEARCH(DATE($B$6,$E$6,$B22),출고표[발송일]))),출고표[총판매금액],--(ISNUMBER(SEARCH($E$13,출고표[쇼핑몰구분]))))</f>
        <v>0</v>
      </c>
      <c r="H22" s="173">
        <v>39</v>
      </c>
      <c r="I22" s="156" t="str">
        <v>비닐스토리</v>
      </c>
      <c r="J22" s="177">
        <v>45447</v>
      </c>
      <c r="K22" s="176" t="str">
        <v>45470995</v>
      </c>
      <c r="L22" s="176" t="str">
        <v>스마트 스토어</v>
      </c>
      <c r="M22" s="176" t="str">
        <v>강정환</v>
      </c>
      <c r="N22" s="176" t="str">
        <v>ksl1****</v>
      </c>
      <c r="O22" s="177" t="str">
        <v>010-9226-2126</v>
      </c>
      <c r="P22" s="177">
        <v>45447</v>
      </c>
      <c r="Q22" s="176" t="str">
        <v>CJ대한통운</v>
      </c>
      <c r="R22" s="176" t="str">
        <v>530214528101</v>
      </c>
      <c r="S22" s="178">
        <v>0</v>
      </c>
      <c r="T22" s="176" t="str">
        <v>SE.28</v>
      </c>
      <c r="U22" s="176" t="str">
        <v>유백</v>
      </c>
      <c r="V22" s="176">
        <v>6</v>
      </c>
      <c r="W22" s="176" t="str">
        <v>경북대 생활협동조합</v>
      </c>
      <c r="X22" s="176" t="str">
        <v>010-9226-2126</v>
      </c>
      <c r="Y22" s="176">
        <v>0</v>
      </c>
      <c r="Z22" s="176" t="str">
        <v>대구광역시 북구 대학로 80 (산격동, 경북대학교) 복현회관 2층 생활협동조합</v>
      </c>
      <c r="AA22" s="190" t="str">
        <v>문앞에 배송해주세요 감사합니다</v>
      </c>
      <c r="AB22" s="190">
        <v>0</v>
      </c>
      <c r="AC22" s="277">
        <v>0</v>
      </c>
      <c r="AD22" s="190">
        <v>45360</v>
      </c>
      <c r="AE22" s="190">
        <v>0</v>
      </c>
      <c r="AF22" s="190">
        <v>0</v>
      </c>
      <c r="AG22" s="190">
        <v>5500</v>
      </c>
      <c r="AH22" s="190">
        <v>0</v>
      </c>
      <c r="AI22" s="190">
        <v>0</v>
      </c>
      <c r="AJ22" s="190">
        <v>0</v>
      </c>
      <c r="AK22" s="190" t="str">
        <v>이불대</v>
      </c>
      <c r="AL22" s="190">
        <v>0</v>
      </c>
      <c r="AM22" s="173">
        <v>7230</v>
      </c>
      <c r="AN22" s="173">
        <v>4620</v>
      </c>
      <c r="AO22" s="206">
        <v>45360</v>
      </c>
      <c r="AP22" s="206">
        <v>33220</v>
      </c>
      <c r="AQ22" s="173">
        <v>1885</v>
      </c>
      <c r="AR22" s="173">
        <v>10255</v>
      </c>
      <c r="AS22" s="173">
        <v>0.2261</v>
      </c>
      <c r="AT22" s="173">
        <v>0</v>
      </c>
      <c r="AU22" s="173" t="str">
        <v>ptDB47</v>
      </c>
      <c r="AV22" s="173">
        <v>0</v>
      </c>
      <c r="AW22" s="173">
        <v>45360</v>
      </c>
      <c r="AX22" s="173">
        <v>33220</v>
      </c>
      <c r="AY22" s="173">
        <v>1885</v>
      </c>
      <c r="AZ22" s="173">
        <v>10255</v>
      </c>
      <c r="BA22" s="173">
        <v>0.2261</v>
      </c>
      <c r="BB22" s="173" t="str">
        <v/>
      </c>
      <c r="BC22" s="173">
        <v>0</v>
      </c>
      <c r="BD22" s="156">
        <v>27720</v>
      </c>
      <c r="BF22" s="156">
        <v>31</v>
      </c>
      <c r="BG22" s="156" t="str">
        <v>비닐팩토리</v>
      </c>
      <c r="BH22" s="198">
        <v>45444</v>
      </c>
      <c r="BI22" s="199" t="str">
        <v>2024060185000291</v>
      </c>
      <c r="BJ22" s="199" t="str">
        <v>스마트 스토어</v>
      </c>
      <c r="BK22" s="199" t="str">
        <v>정유연</v>
      </c>
      <c r="BL22" s="199" t="str">
        <v>simi****</v>
      </c>
      <c r="BM22" s="199" t="str">
        <v>010-9518-2588</v>
      </c>
      <c r="BN22" s="198">
        <v>45446</v>
      </c>
      <c r="BO22" s="199" t="str">
        <v>CJ대한통운</v>
      </c>
      <c r="BP22" s="199" t="str">
        <v>530213304895</v>
      </c>
      <c r="BQ22" s="199">
        <v>0</v>
      </c>
      <c r="BR22" s="199" t="str">
        <v>SE.406</v>
      </c>
      <c r="BS22" s="199" t="str">
        <v>투명</v>
      </c>
      <c r="BT22" s="199">
        <v>1</v>
      </c>
      <c r="BU22" s="199" t="str">
        <v>하루정육</v>
      </c>
      <c r="BV22" s="199" t="str">
        <v>010-9518-2588</v>
      </c>
      <c r="BW22" s="199">
        <v>0</v>
      </c>
      <c r="BX22" s="199" t="str">
        <v>부산광역시 부산진구 동평로 173 (부암동, 협성휴포레 시티즌파크) 상가 1층 하루정육</v>
      </c>
      <c r="BY22" s="199">
        <v>0</v>
      </c>
      <c r="BZ22" s="199">
        <v>0</v>
      </c>
      <c r="CA22" s="273">
        <v>0</v>
      </c>
      <c r="CB22" s="199">
        <v>12600</v>
      </c>
      <c r="CC22" s="199">
        <v>0</v>
      </c>
      <c r="CD22" s="199">
        <v>0</v>
      </c>
      <c r="CE22" s="200">
        <v>0</v>
      </c>
      <c r="CF22" s="200">
        <v>0</v>
      </c>
      <c r="CG22" s="200">
        <v>0</v>
      </c>
      <c r="CH22" s="200">
        <v>0</v>
      </c>
      <c r="CI22" s="200" t="str">
        <v>0</v>
      </c>
      <c r="CJ22" s="200" t="str">
        <v>재구매</v>
      </c>
      <c r="CK22" s="200">
        <v>12380</v>
      </c>
      <c r="CL22" s="200">
        <v>8250</v>
      </c>
      <c r="CM22" s="200">
        <v>12600</v>
      </c>
      <c r="CN22" s="156">
        <v>0</v>
      </c>
      <c r="CO22" s="156">
        <v>713</v>
      </c>
      <c r="CP22" s="156">
        <v>0</v>
      </c>
      <c r="CQ22" s="156">
        <v>0</v>
      </c>
      <c r="CR22" s="156">
        <v>0</v>
      </c>
      <c r="CS22" s="156" t="str">
        <v>ptDB47</v>
      </c>
      <c r="CT22" s="156">
        <v>0</v>
      </c>
      <c r="CU22" s="156">
        <v>12600</v>
      </c>
      <c r="CV22" s="156">
        <v>0</v>
      </c>
      <c r="CW22" s="156">
        <v>713</v>
      </c>
      <c r="CX22" s="156">
        <v>0</v>
      </c>
      <c r="CY22" s="156">
        <v>0</v>
      </c>
      <c r="CZ22" s="156" t="str">
        <v/>
      </c>
      <c r="DA22" s="156">
        <v>0</v>
      </c>
      <c r="DB22" s="156">
        <v>8250</v>
      </c>
    </row>
    <row r="23" spans="2:106" ht="18" customHeight="1">
      <c r="B23" s="159">
        <v>10</v>
      </c>
      <c r="C23" s="161" cm="1">
        <f t="array" ref="C23">SUMPRODUCT(--(ISNUMBER(SEARCH(DATE($B$6,$E$6,$B23),출고표[발송일]))),출고표[거래처지급액],--(ISNUMBER(SEARCH($C$13,출고표[쇼핑몰구분]))))</f>
        <v>312505</v>
      </c>
      <c r="D23" s="161" cm="1">
        <f t="array" ref="D23">SUMPRODUCT(--(ISNUMBER(SEARCH(DATE($B$6,$E$6,$B23),출고표[발송일]))),출고표[총판매금액],--(ISNUMBER(SEARCH($C$13,출고표[쇼핑몰구분]))))</f>
        <v>446110</v>
      </c>
      <c r="E23" s="161" cm="1">
        <f t="array" ref="E23">SUMPRODUCT(--(ISNUMBER(SEARCH(DATE($B$6,$E$6,$B23),출고표[발송일]))),출고표[총판매금액],--(ISNUMBER(SEARCH($E$13,출고표[쇼핑몰구분]))))</f>
        <v>513360</v>
      </c>
      <c r="H23" s="173">
        <v>40</v>
      </c>
      <c r="I23" s="156" t="str">
        <v>비닐스토리</v>
      </c>
      <c r="J23" s="177">
        <v>45447</v>
      </c>
      <c r="K23" s="176" t="str">
        <v>2024060498971601</v>
      </c>
      <c r="L23" s="176" t="str">
        <v>스마트 스토어</v>
      </c>
      <c r="M23" s="176" t="str">
        <v>강정환</v>
      </c>
      <c r="N23" s="176" t="str">
        <v>ksl1****</v>
      </c>
      <c r="O23" s="177" t="str">
        <v>010-9226-2126</v>
      </c>
      <c r="P23" s="177">
        <v>45447</v>
      </c>
      <c r="Q23" s="176" t="str">
        <v>CJ대한통운</v>
      </c>
      <c r="R23" s="176" t="str">
        <v>540213347735</v>
      </c>
      <c r="S23" s="178">
        <v>0</v>
      </c>
      <c r="T23" s="176" t="str">
        <v>SE.27</v>
      </c>
      <c r="U23" s="176" t="str">
        <v>유백</v>
      </c>
      <c r="V23" s="176">
        <v>16</v>
      </c>
      <c r="W23" s="176" t="str">
        <v>경북대 생활협동조합</v>
      </c>
      <c r="X23" s="176" t="str">
        <v>010-9226-2126</v>
      </c>
      <c r="Y23" s="176">
        <v>0</v>
      </c>
      <c r="Z23" s="176" t="str">
        <v>대구광역시 북구 대학로 80 (산격동, 경북대학교) 복현회관 2층 생활협동조합</v>
      </c>
      <c r="AA23" s="190" t="str">
        <v>문앞에 배송해주세요 감사합니다</v>
      </c>
      <c r="AB23" s="190">
        <v>0</v>
      </c>
      <c r="AC23" s="277">
        <v>0</v>
      </c>
      <c r="AD23" s="190">
        <v>92160</v>
      </c>
      <c r="AE23" s="190">
        <v>0</v>
      </c>
      <c r="AF23" s="190">
        <v>0</v>
      </c>
      <c r="AG23" s="190">
        <v>0</v>
      </c>
      <c r="AH23" s="190">
        <v>0</v>
      </c>
      <c r="AI23" s="190">
        <v>0</v>
      </c>
      <c r="AJ23" s="190">
        <v>0</v>
      </c>
      <c r="AK23" s="190" t="str">
        <v>이불중</v>
      </c>
      <c r="AL23" s="190" t="str">
        <v>재구매</v>
      </c>
      <c r="AM23" s="173">
        <v>5510</v>
      </c>
      <c r="AN23" s="173">
        <v>3520</v>
      </c>
      <c r="AO23" s="206">
        <v>92160</v>
      </c>
      <c r="AP23" s="206">
        <v>56320</v>
      </c>
      <c r="AQ23" s="173">
        <v>3748</v>
      </c>
      <c r="AR23" s="173">
        <v>32092</v>
      </c>
      <c r="AS23" s="173">
        <v>0.34820000000000001</v>
      </c>
      <c r="AT23" s="173">
        <v>0</v>
      </c>
      <c r="AU23" s="173" t="str">
        <v>ptDB47</v>
      </c>
      <c r="AV23" s="173">
        <v>0</v>
      </c>
      <c r="AW23" s="173">
        <v>92160</v>
      </c>
      <c r="AX23" s="173">
        <v>56320</v>
      </c>
      <c r="AY23" s="173">
        <v>3748</v>
      </c>
      <c r="AZ23" s="173">
        <v>32092</v>
      </c>
      <c r="BA23" s="173">
        <v>0.34820000000000001</v>
      </c>
      <c r="BB23" s="173" t="str">
        <v/>
      </c>
      <c r="BC23" s="173">
        <v>0</v>
      </c>
      <c r="BD23" s="156">
        <v>56320</v>
      </c>
      <c r="BF23" s="156">
        <v>32</v>
      </c>
      <c r="BG23" s="156" t="str">
        <v>비닐팩토리</v>
      </c>
      <c r="BH23" s="198">
        <v>45443</v>
      </c>
      <c r="BI23" s="199" t="str">
        <v>2024053168578671</v>
      </c>
      <c r="BJ23" s="199" t="str">
        <v>스마트 스토어</v>
      </c>
      <c r="BK23" s="199" t="str">
        <v>안태진</v>
      </c>
      <c r="BL23" s="199" t="str">
        <v>sdho****</v>
      </c>
      <c r="BM23" s="199" t="str">
        <v>010-3096-4296</v>
      </c>
      <c r="BN23" s="198">
        <v>45446</v>
      </c>
      <c r="BO23" s="199" t="str">
        <v>CJ대한통운</v>
      </c>
      <c r="BP23" s="199" t="str">
        <v>530213305013</v>
      </c>
      <c r="BQ23" s="199">
        <v>0</v>
      </c>
      <c r="BR23" s="199" t="str">
        <v>SE.204</v>
      </c>
      <c r="BS23" s="199" t="str">
        <v>투명</v>
      </c>
      <c r="BT23" s="199">
        <v>1</v>
      </c>
      <c r="BU23" s="199" t="str">
        <v>안태진</v>
      </c>
      <c r="BV23" s="199" t="str">
        <v>010-3096-4296</v>
      </c>
      <c r="BW23" s="199">
        <v>0</v>
      </c>
      <c r="BX23" s="199" t="str">
        <v>충청북도 단양군 단양읍 도전5길 30 (단양읍) 주전부리</v>
      </c>
      <c r="BY23" s="199">
        <v>0</v>
      </c>
      <c r="BZ23" s="199">
        <v>0</v>
      </c>
      <c r="CA23" s="273">
        <v>0</v>
      </c>
      <c r="CB23" s="199">
        <v>20800</v>
      </c>
      <c r="CC23" s="199">
        <v>0</v>
      </c>
      <c r="CD23" s="199">
        <v>3000</v>
      </c>
      <c r="CE23" s="200">
        <v>3000</v>
      </c>
      <c r="CF23" s="200">
        <v>0</v>
      </c>
      <c r="CG23" s="200">
        <v>0</v>
      </c>
      <c r="CH23" s="200">
        <v>0</v>
      </c>
      <c r="CI23" s="200" t="str">
        <v>떡롤 30*400</v>
      </c>
      <c r="CJ23" s="200">
        <v>0</v>
      </c>
      <c r="CK23" s="200">
        <v>20800</v>
      </c>
      <c r="CL23" s="200">
        <v>14300</v>
      </c>
      <c r="CM23" s="200">
        <v>23800</v>
      </c>
      <c r="CN23" s="156">
        <v>0</v>
      </c>
      <c r="CO23" s="156">
        <v>1214</v>
      </c>
      <c r="CP23" s="156">
        <v>0</v>
      </c>
      <c r="CQ23" s="156">
        <v>0</v>
      </c>
      <c r="CR23" s="156">
        <v>0</v>
      </c>
      <c r="CS23" s="156" t="str">
        <v>ptDB47</v>
      </c>
      <c r="CT23" s="156">
        <v>0</v>
      </c>
      <c r="CU23" s="156">
        <v>23800</v>
      </c>
      <c r="CV23" s="156">
        <v>0</v>
      </c>
      <c r="CW23" s="156">
        <v>1214</v>
      </c>
      <c r="CX23" s="156">
        <v>0</v>
      </c>
      <c r="CY23" s="156">
        <v>0</v>
      </c>
      <c r="CZ23" s="156" t="str">
        <v/>
      </c>
      <c r="DA23" s="156">
        <v>0</v>
      </c>
      <c r="DB23" s="156">
        <v>14300</v>
      </c>
    </row>
    <row r="24" spans="2:106" ht="18" customHeight="1">
      <c r="B24" s="159">
        <v>11</v>
      </c>
      <c r="C24" s="161" cm="1">
        <f t="array" ref="C24">SUMPRODUCT(--(ISNUMBER(SEARCH(DATE($B$6,$E$6,$B24),출고표[발송일]))),출고표[거래처지급액],--(ISNUMBER(SEARCH($C$13,출고표[쇼핑몰구분]))))</f>
        <v>315300</v>
      </c>
      <c r="D24" s="161" cm="1">
        <f t="array" ref="D24">SUMPRODUCT(--(ISNUMBER(SEARCH(DATE($B$6,$E$6,$B24),출고표[발송일]))),출고표[총판매금액],--(ISNUMBER(SEARCH($C$13,출고표[쇼핑몰구분]))))</f>
        <v>442540</v>
      </c>
      <c r="E24" s="161" cm="1">
        <f t="array" ref="E24">SUMPRODUCT(--(ISNUMBER(SEARCH(DATE($B$6,$E$6,$B24),출고표[발송일]))),출고표[총판매금액],--(ISNUMBER(SEARCH($E$13,출고표[쇼핑몰구분]))))</f>
        <v>95760</v>
      </c>
      <c r="H24" s="173">
        <v>41</v>
      </c>
      <c r="I24" s="156" t="str">
        <v>비닐스토리</v>
      </c>
      <c r="J24" s="177">
        <v>45447</v>
      </c>
      <c r="K24" s="176" t="str">
        <v>2024060498672261</v>
      </c>
      <c r="L24" s="176" t="str">
        <v>스마트 스토어</v>
      </c>
      <c r="M24" s="176" t="str">
        <v>강정환</v>
      </c>
      <c r="N24" s="176" t="str">
        <v>ksl1****</v>
      </c>
      <c r="O24" s="177" t="str">
        <v>010-9226-2126</v>
      </c>
      <c r="P24" s="177">
        <v>45447</v>
      </c>
      <c r="Q24" s="176" t="str">
        <v>CJ대한통운</v>
      </c>
      <c r="R24" s="176" t="str">
        <v>540213347735</v>
      </c>
      <c r="S24" s="178">
        <v>0</v>
      </c>
      <c r="T24" s="176" t="str">
        <v>SE.28</v>
      </c>
      <c r="U24" s="176" t="str">
        <v>유백</v>
      </c>
      <c r="V24" s="176">
        <v>6</v>
      </c>
      <c r="W24" s="176" t="str">
        <v>경북대 생활협동조합</v>
      </c>
      <c r="X24" s="176" t="str">
        <v>010-9226-2126</v>
      </c>
      <c r="Y24" s="176">
        <v>0</v>
      </c>
      <c r="Z24" s="176" t="str">
        <v>대구광역시 북구 대학로 80 (산격동, 경북대학교) 복현회관 2층 생활협동조합</v>
      </c>
      <c r="AA24" s="190" t="str">
        <v>문앞에 배송해주세요 감사합니다</v>
      </c>
      <c r="AB24" s="190">
        <v>0</v>
      </c>
      <c r="AC24" s="277">
        <v>0</v>
      </c>
      <c r="AD24" s="190">
        <v>45360</v>
      </c>
      <c r="AE24" s="190">
        <v>0</v>
      </c>
      <c r="AF24" s="190">
        <v>0</v>
      </c>
      <c r="AG24" s="190">
        <v>0</v>
      </c>
      <c r="AH24" s="190">
        <v>0</v>
      </c>
      <c r="AI24" s="190">
        <v>0</v>
      </c>
      <c r="AJ24" s="190">
        <v>0</v>
      </c>
      <c r="AK24" s="190" t="str">
        <v>이불대</v>
      </c>
      <c r="AL24" s="190" t="str">
        <v>재구매</v>
      </c>
      <c r="AM24" s="173">
        <v>7230</v>
      </c>
      <c r="AN24" s="173">
        <v>4620</v>
      </c>
      <c r="AO24" s="206">
        <v>45360</v>
      </c>
      <c r="AP24" s="206">
        <v>27720</v>
      </c>
      <c r="AQ24" s="173">
        <v>1885</v>
      </c>
      <c r="AR24" s="173">
        <v>15755</v>
      </c>
      <c r="AS24" s="173">
        <v>0.3473</v>
      </c>
      <c r="AT24" s="173">
        <v>0</v>
      </c>
      <c r="AU24" s="173" t="str">
        <v>ptDB47</v>
      </c>
      <c r="AV24" s="173">
        <v>0</v>
      </c>
      <c r="AW24" s="173">
        <v>45360</v>
      </c>
      <c r="AX24" s="173">
        <v>27720</v>
      </c>
      <c r="AY24" s="173">
        <v>1885</v>
      </c>
      <c r="AZ24" s="173">
        <v>15755</v>
      </c>
      <c r="BA24" s="173">
        <v>0.3473</v>
      </c>
      <c r="BB24" s="173" t="str">
        <v/>
      </c>
      <c r="BC24" s="173">
        <v>0</v>
      </c>
      <c r="BD24" s="156">
        <v>27720</v>
      </c>
      <c r="BF24" s="156">
        <v>38</v>
      </c>
      <c r="BG24" s="156" t="str">
        <v>비닐팩토리</v>
      </c>
      <c r="BH24" s="198">
        <v>45444</v>
      </c>
      <c r="BI24" s="199" t="str">
        <v>2100050628554</v>
      </c>
      <c r="BJ24" s="199" t="str">
        <v>쿠팡</v>
      </c>
      <c r="BK24" s="199" t="str">
        <v>이은주</v>
      </c>
      <c r="BL24" s="199" t="str">
        <v>en*****@gm</v>
      </c>
      <c r="BM24" s="199" t="str">
        <v>0504-4916-6426</v>
      </c>
      <c r="BN24" s="198">
        <v>45446</v>
      </c>
      <c r="BO24" s="199" t="str">
        <v>CJ대한통운</v>
      </c>
      <c r="BP24" s="199" t="str">
        <v>530213304840</v>
      </c>
      <c r="BQ24" s="199">
        <v>0</v>
      </c>
      <c r="BR24" s="199" t="str">
        <v>SE.101</v>
      </c>
      <c r="BS24" s="199" t="str">
        <v>투명</v>
      </c>
      <c r="BT24" s="199">
        <v>1</v>
      </c>
      <c r="BU24" s="199" t="str">
        <v>이은주</v>
      </c>
      <c r="BV24" s="199" t="str">
        <v>0504-4916-6426</v>
      </c>
      <c r="BW24" s="199">
        <v>0</v>
      </c>
      <c r="BX24" s="199" t="str">
        <v>대구광역시 북구 태전동 997-1 칠곡에덴타운 103동305호</v>
      </c>
      <c r="BY24" s="199" t="str">
        <v>문 앞</v>
      </c>
      <c r="BZ24" s="199">
        <v>0</v>
      </c>
      <c r="CA24" s="273">
        <v>0</v>
      </c>
      <c r="CB24" s="199">
        <v>17300</v>
      </c>
      <c r="CC24" s="199">
        <v>0</v>
      </c>
      <c r="CD24" s="199">
        <v>3000</v>
      </c>
      <c r="CE24" s="200">
        <v>3000</v>
      </c>
      <c r="CF24" s="200">
        <v>0</v>
      </c>
      <c r="CG24" s="200">
        <v>0</v>
      </c>
      <c r="CH24" s="200">
        <v>0</v>
      </c>
      <c r="CI24" s="200" t="str">
        <v>소폭 10*26</v>
      </c>
      <c r="CJ24" s="200">
        <v>0</v>
      </c>
      <c r="CK24" s="200">
        <v>8700</v>
      </c>
      <c r="CL24" s="200">
        <v>5500</v>
      </c>
      <c r="CM24" s="200">
        <v>20300</v>
      </c>
      <c r="CN24" s="156">
        <v>0</v>
      </c>
      <c r="CO24" s="156">
        <v>2154</v>
      </c>
      <c r="CP24" s="156">
        <v>0</v>
      </c>
      <c r="CQ24" s="156">
        <v>0</v>
      </c>
      <c r="CR24" s="156">
        <v>0</v>
      </c>
      <c r="CS24" s="156" t="str">
        <v>ptDB47</v>
      </c>
      <c r="CT24" s="156">
        <v>10</v>
      </c>
      <c r="CU24" s="156">
        <v>20300</v>
      </c>
      <c r="CV24" s="156">
        <v>0</v>
      </c>
      <c r="CW24" s="156">
        <v>2154</v>
      </c>
      <c r="CX24" s="156">
        <v>0</v>
      </c>
      <c r="CY24" s="156">
        <v>0</v>
      </c>
      <c r="CZ24" s="156" t="str">
        <v/>
      </c>
      <c r="DA24" s="156">
        <v>0</v>
      </c>
      <c r="DB24" s="156">
        <v>5500</v>
      </c>
    </row>
    <row r="25" spans="2:106" ht="18" customHeight="1">
      <c r="B25" s="159">
        <v>12</v>
      </c>
      <c r="C25" s="161" cm="1">
        <f t="array" ref="C25">SUMPRODUCT(--(ISNUMBER(SEARCH(DATE($B$6,$E$6,$B25),출고표[발송일]))),출고표[거래처지급액],--(ISNUMBER(SEARCH($C$13,출고표[쇼핑몰구분]))))</f>
        <v>67460</v>
      </c>
      <c r="D25" s="161" cm="1">
        <f t="array" ref="D25">SUMPRODUCT(--(ISNUMBER(SEARCH(DATE($B$6,$E$6,$B25),출고표[발송일]))),출고표[총판매금액],--(ISNUMBER(SEARCH($C$13,출고표[쇼핑몰구분]))))</f>
        <v>106760</v>
      </c>
      <c r="E25" s="161" cm="1">
        <f t="array" ref="E25">SUMPRODUCT(--(ISNUMBER(SEARCH(DATE($B$6,$E$6,$B25),출고표[발송일]))),출고표[총판매금액],--(ISNUMBER(SEARCH($E$13,출고표[쇼핑몰구분]))))</f>
        <v>26020</v>
      </c>
      <c r="H25" s="173">
        <v>42</v>
      </c>
      <c r="I25" s="156" t="str">
        <v>비닐스토리</v>
      </c>
      <c r="J25" s="177">
        <v>45447</v>
      </c>
      <c r="K25" s="176" t="str">
        <v>2024060497952311</v>
      </c>
      <c r="L25" s="176" t="str">
        <v>스마트 스토어</v>
      </c>
      <c r="M25" s="176" t="str">
        <v>오충석</v>
      </c>
      <c r="N25" s="176" t="str">
        <v>ocs3****</v>
      </c>
      <c r="O25" s="177" t="str">
        <v>010-9873-1982</v>
      </c>
      <c r="P25" s="177">
        <v>45447</v>
      </c>
      <c r="Q25" s="176" t="str">
        <v>CJ대한통운</v>
      </c>
      <c r="R25" s="176" t="str">
        <v>530214334433</v>
      </c>
      <c r="S25" s="178">
        <v>0</v>
      </c>
      <c r="T25" s="176" t="str">
        <v>SE.105</v>
      </c>
      <c r="U25" s="176" t="str">
        <v>투명</v>
      </c>
      <c r="V25" s="176">
        <v>10</v>
      </c>
      <c r="W25" s="176" t="str">
        <v>오충석</v>
      </c>
      <c r="X25" s="176" t="str">
        <v>010-9873-1982</v>
      </c>
      <c r="Y25" s="176" t="str">
        <v>02-2612-7094</v>
      </c>
      <c r="Z25" s="176" t="str">
        <v>경기도 광명시 오리로964번길 5 (광명동) 세명수산</v>
      </c>
      <c r="AA25" s="190">
        <v>0</v>
      </c>
      <c r="AB25" s="190">
        <v>0</v>
      </c>
      <c r="AC25" s="277">
        <v>0</v>
      </c>
      <c r="AD25" s="190">
        <v>27800</v>
      </c>
      <c r="AE25" s="190">
        <v>0</v>
      </c>
      <c r="AF25" s="190">
        <v>3000</v>
      </c>
      <c r="AG25" s="190">
        <v>3500</v>
      </c>
      <c r="AH25" s="190">
        <v>0</v>
      </c>
      <c r="AI25" s="190">
        <v>0</v>
      </c>
      <c r="AJ25" s="190">
        <v>0</v>
      </c>
      <c r="AK25" s="190" t="str">
        <v>소폭 20*38</v>
      </c>
      <c r="AL25" s="190">
        <v>0</v>
      </c>
      <c r="AM25" s="173">
        <v>2550</v>
      </c>
      <c r="AN25" s="173">
        <v>1650</v>
      </c>
      <c r="AO25" s="206">
        <v>30800</v>
      </c>
      <c r="AP25" s="206">
        <v>20000</v>
      </c>
      <c r="AQ25" s="173">
        <v>1245</v>
      </c>
      <c r="AR25" s="173">
        <v>9555</v>
      </c>
      <c r="AS25" s="173">
        <v>0.31019999999999998</v>
      </c>
      <c r="AT25" s="173">
        <v>0</v>
      </c>
      <c r="AU25" s="173" t="str">
        <v>ptDB47</v>
      </c>
      <c r="AV25" s="173">
        <v>0</v>
      </c>
      <c r="AW25" s="173">
        <v>30800</v>
      </c>
      <c r="AX25" s="173">
        <v>20000</v>
      </c>
      <c r="AY25" s="173">
        <v>1245</v>
      </c>
      <c r="AZ25" s="173">
        <v>9555</v>
      </c>
      <c r="BA25" s="173">
        <v>0.31019999999999998</v>
      </c>
      <c r="BB25" s="173" t="str">
        <v/>
      </c>
      <c r="BC25" s="173">
        <v>0</v>
      </c>
      <c r="BD25" s="156">
        <v>16500</v>
      </c>
      <c r="BF25" s="156">
        <v>47</v>
      </c>
      <c r="BG25" s="156" t="str">
        <v>비닐팩토리</v>
      </c>
      <c r="BH25" s="198">
        <v>45447</v>
      </c>
      <c r="BI25" s="199" t="str">
        <v>2024060499064921</v>
      </c>
      <c r="BJ25" s="199" t="str">
        <v>스마트 스토어</v>
      </c>
      <c r="BK25" s="199" t="str">
        <v>고종연</v>
      </c>
      <c r="BL25" s="199" t="str">
        <v>kjy6****</v>
      </c>
      <c r="BM25" s="199" t="str">
        <v>010-3789-6659</v>
      </c>
      <c r="BN25" s="198">
        <v>45447</v>
      </c>
      <c r="BO25" s="199" t="str">
        <v>CJ대한통운</v>
      </c>
      <c r="BP25" s="199" t="str">
        <v>540213347831</v>
      </c>
      <c r="BQ25" s="199">
        <v>0</v>
      </c>
      <c r="BR25" s="199" t="str">
        <v>SE.106</v>
      </c>
      <c r="BS25" s="199" t="str">
        <v>투명</v>
      </c>
      <c r="BT25" s="199">
        <v>10</v>
      </c>
      <c r="BU25" s="199" t="str">
        <v>고종연</v>
      </c>
      <c r="BV25" s="199" t="str">
        <v>010-3789-6659</v>
      </c>
      <c r="BW25" s="199">
        <v>0</v>
      </c>
      <c r="BX25" s="199" t="str">
        <v>경기도 하남시 미사대로 380 (망월동) 농협하나로마트</v>
      </c>
      <c r="BY25" s="199" t="str">
        <v>배송 전 미리 연락해 주세요</v>
      </c>
      <c r="BZ25" s="199">
        <v>0</v>
      </c>
      <c r="CA25" s="273">
        <v>0</v>
      </c>
      <c r="CB25" s="199">
        <v>29700</v>
      </c>
      <c r="CC25" s="199">
        <v>12900</v>
      </c>
      <c r="CD25" s="199">
        <v>0</v>
      </c>
      <c r="CE25" s="200">
        <v>3500</v>
      </c>
      <c r="CF25" s="200">
        <v>0</v>
      </c>
      <c r="CG25" s="200">
        <v>0</v>
      </c>
      <c r="CH25" s="200">
        <v>0</v>
      </c>
      <c r="CI25" s="200" t="str">
        <v>소폭 24*38</v>
      </c>
      <c r="CJ25" s="200">
        <v>0</v>
      </c>
      <c r="CK25" s="200">
        <v>2970</v>
      </c>
      <c r="CL25" s="200">
        <v>1980</v>
      </c>
      <c r="CM25" s="200">
        <v>29700</v>
      </c>
      <c r="CN25" s="156">
        <v>0</v>
      </c>
      <c r="CO25" s="156">
        <v>1572</v>
      </c>
      <c r="CP25" s="156">
        <v>0</v>
      </c>
      <c r="CQ25" s="156">
        <v>0</v>
      </c>
      <c r="CR25" s="156">
        <v>0</v>
      </c>
      <c r="CS25" s="156" t="str">
        <v>ptDB47</v>
      </c>
      <c r="CT25" s="156">
        <v>0</v>
      </c>
      <c r="CU25" s="156">
        <v>29700</v>
      </c>
      <c r="CV25" s="156">
        <v>0</v>
      </c>
      <c r="CW25" s="156">
        <v>1572</v>
      </c>
      <c r="CX25" s="156">
        <v>0</v>
      </c>
      <c r="CY25" s="156">
        <v>0</v>
      </c>
      <c r="CZ25" s="156" t="str">
        <v/>
      </c>
      <c r="DA25" s="156">
        <v>0</v>
      </c>
      <c r="DB25" s="156">
        <v>19800</v>
      </c>
    </row>
    <row r="26" spans="2:106" ht="18" customHeight="1">
      <c r="B26" s="159">
        <v>13</v>
      </c>
      <c r="C26" s="161" cm="1">
        <f t="array" ref="C26">SUMPRODUCT(--(ISNUMBER(SEARCH(DATE($B$6,$E$6,$B26),출고표[발송일]))),출고표[거래처지급액],--(ISNUMBER(SEARCH($C$13,출고표[쇼핑몰구분]))))</f>
        <v>158090</v>
      </c>
      <c r="D26" s="161" cm="1">
        <f t="array" ref="D26">SUMPRODUCT(--(ISNUMBER(SEARCH(DATE($B$6,$E$6,$B26),출고표[발송일]))),출고표[총판매금액],--(ISNUMBER(SEARCH($C$13,출고표[쇼핑몰구분]))))</f>
        <v>230860</v>
      </c>
      <c r="E26" s="161" cm="1">
        <f t="array" ref="E26">SUMPRODUCT(--(ISNUMBER(SEARCH(DATE($B$6,$E$6,$B26),출고표[발송일]))),출고표[총판매금액],--(ISNUMBER(SEARCH($E$13,출고표[쇼핑몰구분]))))</f>
        <v>140510</v>
      </c>
      <c r="H26" s="173">
        <v>43</v>
      </c>
      <c r="I26" s="156" t="str">
        <v>비닐스토리</v>
      </c>
      <c r="J26" s="177">
        <v>45446</v>
      </c>
      <c r="K26" s="176" t="str">
        <v>2024060373094231</v>
      </c>
      <c r="L26" s="176" t="str">
        <v>스마트 스토어</v>
      </c>
      <c r="M26" s="176" t="str">
        <v>정택균</v>
      </c>
      <c r="N26" s="176" t="str">
        <v>xorr****</v>
      </c>
      <c r="O26" s="177" t="str">
        <v>010-7110-0757</v>
      </c>
      <c r="P26" s="177">
        <v>45447</v>
      </c>
      <c r="Q26" s="176" t="str">
        <v>CJ대한통운</v>
      </c>
      <c r="R26" s="176" t="str">
        <v>530214334212</v>
      </c>
      <c r="S26" s="178">
        <v>0</v>
      </c>
      <c r="T26" s="176" t="str">
        <v>SE.306</v>
      </c>
      <c r="U26" s="176" t="str">
        <v>투명</v>
      </c>
      <c r="V26" s="176">
        <v>2</v>
      </c>
      <c r="W26" s="176" t="str">
        <v>정택균</v>
      </c>
      <c r="X26" s="176" t="str">
        <v>010-7110-0757</v>
      </c>
      <c r="Y26" s="176" t="str">
        <v>010-7110-0757</v>
      </c>
      <c r="Z26" s="176" t="str">
        <v>강원특별자치도 동해시 공단6로 67-17 (구호동) 주식회사 루트</v>
      </c>
      <c r="AA26" s="190" t="str">
        <v>2층사무실로 배송부탁드려요</v>
      </c>
      <c r="AB26" s="190">
        <v>0</v>
      </c>
      <c r="AC26" s="277">
        <v>0</v>
      </c>
      <c r="AD26" s="190">
        <v>28500</v>
      </c>
      <c r="AE26" s="190">
        <v>3180</v>
      </c>
      <c r="AF26" s="190">
        <v>3000</v>
      </c>
      <c r="AG26" s="190">
        <v>3500</v>
      </c>
      <c r="AH26" s="190">
        <v>0</v>
      </c>
      <c r="AI26" s="190">
        <v>0</v>
      </c>
      <c r="AJ26" s="190">
        <v>0</v>
      </c>
      <c r="AK26" s="190" t="str">
        <v>떡외겹 20*20</v>
      </c>
      <c r="AL26" s="190">
        <v>0</v>
      </c>
      <c r="AM26" s="173">
        <v>14960</v>
      </c>
      <c r="AN26" s="173">
        <v>9680</v>
      </c>
      <c r="AO26" s="206">
        <v>31500</v>
      </c>
      <c r="AP26" s="206">
        <v>22860</v>
      </c>
      <c r="AQ26" s="173">
        <v>1273</v>
      </c>
      <c r="AR26" s="173">
        <v>7367</v>
      </c>
      <c r="AS26" s="173">
        <v>0.2339</v>
      </c>
      <c r="AT26" s="173">
        <v>0</v>
      </c>
      <c r="AU26" s="173" t="str">
        <v>ptDB47</v>
      </c>
      <c r="AV26" s="173">
        <v>0</v>
      </c>
      <c r="AW26" s="173">
        <v>31500</v>
      </c>
      <c r="AX26" s="173">
        <v>22860</v>
      </c>
      <c r="AY26" s="173">
        <v>1273</v>
      </c>
      <c r="AZ26" s="173">
        <v>7367</v>
      </c>
      <c r="BA26" s="173">
        <v>0.2339</v>
      </c>
      <c r="BB26" s="173" t="str">
        <v/>
      </c>
      <c r="BC26" s="173">
        <v>0</v>
      </c>
      <c r="BD26" s="156">
        <v>19360</v>
      </c>
      <c r="BF26" s="156">
        <v>48</v>
      </c>
      <c r="BG26" s="156" t="str">
        <v>비닐팩토리</v>
      </c>
      <c r="BH26" s="198">
        <v>45446</v>
      </c>
      <c r="BI26" s="199" t="str">
        <v>2024060382796881</v>
      </c>
      <c r="BJ26" s="199" t="str">
        <v>스마트 스토어</v>
      </c>
      <c r="BK26" s="199" t="str">
        <v>이은희</v>
      </c>
      <c r="BL26" s="199" t="str">
        <v>cute****</v>
      </c>
      <c r="BM26" s="199" t="str">
        <v>010-6321-3452</v>
      </c>
      <c r="BN26" s="198">
        <v>45447</v>
      </c>
      <c r="BO26" s="199" t="str">
        <v>CJ대한통운</v>
      </c>
      <c r="BP26" s="199" t="str">
        <v>540213347444</v>
      </c>
      <c r="BQ26" s="199">
        <v>0</v>
      </c>
      <c r="BR26" s="199" t="str">
        <v>SE.204</v>
      </c>
      <c r="BS26" s="199" t="str">
        <v>투명</v>
      </c>
      <c r="BT26" s="199">
        <v>1</v>
      </c>
      <c r="BU26" s="199" t="str">
        <v>이은희</v>
      </c>
      <c r="BV26" s="199" t="str">
        <v>010-6321-3452</v>
      </c>
      <c r="BW26" s="199">
        <v>0</v>
      </c>
      <c r="BX26" s="199" t="str">
        <v>경기도 하남시 초광산단서로16번길 30 (초이동) 이레 3층</v>
      </c>
      <c r="BY26" s="199">
        <v>0</v>
      </c>
      <c r="BZ26" s="199">
        <v>0</v>
      </c>
      <c r="CA26" s="273">
        <v>0</v>
      </c>
      <c r="CB26" s="199">
        <v>20800</v>
      </c>
      <c r="CC26" s="199">
        <v>0</v>
      </c>
      <c r="CD26" s="199">
        <v>3000</v>
      </c>
      <c r="CE26" s="200">
        <v>3000</v>
      </c>
      <c r="CF26" s="200">
        <v>0</v>
      </c>
      <c r="CG26" s="200">
        <v>0</v>
      </c>
      <c r="CH26" s="200">
        <v>0</v>
      </c>
      <c r="CI26" s="200" t="str">
        <v>떡롤 30*400</v>
      </c>
      <c r="CJ26" s="200">
        <v>0</v>
      </c>
      <c r="CK26" s="200">
        <v>20800</v>
      </c>
      <c r="CL26" s="200">
        <v>14300</v>
      </c>
      <c r="CM26" s="200">
        <v>23800</v>
      </c>
      <c r="CN26" s="156">
        <v>0</v>
      </c>
      <c r="CO26" s="156">
        <v>1214</v>
      </c>
      <c r="CP26" s="156">
        <v>0</v>
      </c>
      <c r="CQ26" s="156">
        <v>0</v>
      </c>
      <c r="CR26" s="156">
        <v>0</v>
      </c>
      <c r="CS26" s="156" t="str">
        <v>ptDB47</v>
      </c>
      <c r="CT26" s="156">
        <v>0</v>
      </c>
      <c r="CU26" s="156">
        <v>23800</v>
      </c>
      <c r="CV26" s="156">
        <v>0</v>
      </c>
      <c r="CW26" s="156">
        <v>1214</v>
      </c>
      <c r="CX26" s="156">
        <v>0</v>
      </c>
      <c r="CY26" s="156">
        <v>0</v>
      </c>
      <c r="CZ26" s="156" t="str">
        <v/>
      </c>
      <c r="DA26" s="156">
        <v>0</v>
      </c>
      <c r="DB26" s="156">
        <v>14300</v>
      </c>
    </row>
    <row r="27" spans="2:106" ht="18" customHeight="1">
      <c r="B27" s="159">
        <v>14</v>
      </c>
      <c r="C27" s="161" cm="1">
        <f t="array" ref="C27">SUMPRODUCT(--(ISNUMBER(SEARCH(DATE($B$6,$E$6,$B27),출고표[발송일]))),출고표[거래처지급액],--(ISNUMBER(SEARCH($C$13,출고표[쇼핑몰구분]))))</f>
        <v>162670</v>
      </c>
      <c r="D27" s="161" cm="1">
        <f t="array" ref="D27">SUMPRODUCT(--(ISNUMBER(SEARCH(DATE($B$6,$E$6,$B27),출고표[발송일]))),출고표[총판매금액],--(ISNUMBER(SEARCH($C$13,출고표[쇼핑몰구분]))))</f>
        <v>223360</v>
      </c>
      <c r="E27" s="161" cm="1">
        <f t="array" ref="E27">SUMPRODUCT(--(ISNUMBER(SEARCH(DATE($B$6,$E$6,$B27),출고표[발송일]))),출고표[총판매금액],--(ISNUMBER(SEARCH($E$13,출고표[쇼핑몰구분]))))</f>
        <v>172440</v>
      </c>
      <c r="H27" s="173">
        <v>44</v>
      </c>
      <c r="I27" s="156" t="str">
        <v>비닐스토리</v>
      </c>
      <c r="J27" s="177">
        <v>45446</v>
      </c>
      <c r="K27" s="176" t="str">
        <v>7100051227112</v>
      </c>
      <c r="L27" s="176" t="str">
        <v>쿠팡</v>
      </c>
      <c r="M27" s="176" t="str">
        <v>방국희</v>
      </c>
      <c r="N27" s="176" t="str">
        <v>sp*****@ho</v>
      </c>
      <c r="O27" s="177" t="str">
        <v>0502-1431-1508</v>
      </c>
      <c r="P27" s="177">
        <v>45447</v>
      </c>
      <c r="Q27" s="176" t="str">
        <v>CJ대한통운</v>
      </c>
      <c r="R27" s="176" t="str">
        <v>540213347853</v>
      </c>
      <c r="S27" s="178">
        <v>0</v>
      </c>
      <c r="T27" s="176" t="str">
        <v>SE.307</v>
      </c>
      <c r="U27" s="176" t="str">
        <v>투명</v>
      </c>
      <c r="V27" s="176">
        <v>1</v>
      </c>
      <c r="W27" s="176" t="str">
        <v>방국희(부산집)</v>
      </c>
      <c r="X27" s="176" t="str">
        <v>0502-1431-1508</v>
      </c>
      <c r="Y27" s="176">
        <v>0</v>
      </c>
      <c r="Z27" s="176" t="str">
        <v>부산광역시 사하구 괴정동 427-68번지 14/2</v>
      </c>
      <c r="AA27" s="190" t="str">
        <v xml:space="preserve"> 연락이 안될시 대영슈퍼에 맡겨주세요</v>
      </c>
      <c r="AB27" s="190">
        <v>0</v>
      </c>
      <c r="AC27" s="277">
        <v>0</v>
      </c>
      <c r="AD27" s="190">
        <v>12470</v>
      </c>
      <c r="AE27" s="190">
        <v>0</v>
      </c>
      <c r="AF27" s="190">
        <v>3000</v>
      </c>
      <c r="AG27" s="190">
        <v>3000</v>
      </c>
      <c r="AH27" s="190">
        <v>0</v>
      </c>
      <c r="AI27" s="190">
        <v>0</v>
      </c>
      <c r="AJ27" s="190">
        <v>0</v>
      </c>
      <c r="AK27" s="190" t="str">
        <v>떡외겹 30*30</v>
      </c>
      <c r="AL27" s="190">
        <v>0</v>
      </c>
      <c r="AM27" s="173">
        <v>11780</v>
      </c>
      <c r="AN27" s="173">
        <v>7260</v>
      </c>
      <c r="AO27" s="206">
        <v>15470</v>
      </c>
      <c r="AP27" s="206">
        <v>10260</v>
      </c>
      <c r="AQ27" s="173">
        <v>1580</v>
      </c>
      <c r="AR27" s="173">
        <v>3630</v>
      </c>
      <c r="AS27" s="173">
        <v>0.2346</v>
      </c>
      <c r="AT27" s="173">
        <v>0</v>
      </c>
      <c r="AU27" s="173" t="str">
        <v>ptDB47</v>
      </c>
      <c r="AV27" s="173">
        <v>0</v>
      </c>
      <c r="AW27" s="173">
        <v>15470</v>
      </c>
      <c r="AX27" s="173">
        <v>10260</v>
      </c>
      <c r="AY27" s="173">
        <v>1580</v>
      </c>
      <c r="AZ27" s="173">
        <v>3630</v>
      </c>
      <c r="BA27" s="173">
        <v>0.2346</v>
      </c>
      <c r="BB27" s="173" t="str">
        <v/>
      </c>
      <c r="BC27" s="173">
        <v>0</v>
      </c>
      <c r="BD27" s="156">
        <v>7260</v>
      </c>
      <c r="BF27" s="156">
        <v>49</v>
      </c>
      <c r="BG27" s="156" t="str">
        <v>비닐팩토리</v>
      </c>
      <c r="BH27" s="198">
        <v>45446</v>
      </c>
      <c r="BI27" s="199" t="str">
        <v>2024060374861381</v>
      </c>
      <c r="BJ27" s="199" t="str">
        <v>스마트 스토어</v>
      </c>
      <c r="BK27" s="199" t="str">
        <v>조선옥</v>
      </c>
      <c r="BL27" s="199" t="str">
        <v>leec****</v>
      </c>
      <c r="BM27" s="199" t="str">
        <v>010-7321-8989</v>
      </c>
      <c r="BN27" s="198">
        <v>45447</v>
      </c>
      <c r="BO27" s="199" t="str">
        <v>CJ대한통운</v>
      </c>
      <c r="BP27" s="199" t="str">
        <v>540213347002</v>
      </c>
      <c r="BQ27" s="199">
        <v>0</v>
      </c>
      <c r="BR27" s="199" t="str">
        <v>SE.204</v>
      </c>
      <c r="BS27" s="199" t="str">
        <v>투명</v>
      </c>
      <c r="BT27" s="199">
        <v>1</v>
      </c>
      <c r="BU27" s="199" t="str">
        <v>조선옥</v>
      </c>
      <c r="BV27" s="199" t="str">
        <v>010-7321-8989</v>
      </c>
      <c r="BW27" s="199">
        <v>0</v>
      </c>
      <c r="BX27" s="199" t="str">
        <v>세종특별자치시 다정남로 123 가온마을 12단지 1206동 802호</v>
      </c>
      <c r="BY27" s="199">
        <v>0</v>
      </c>
      <c r="BZ27" s="199">
        <v>0</v>
      </c>
      <c r="CA27" s="273">
        <v>0</v>
      </c>
      <c r="CB27" s="199">
        <v>20800</v>
      </c>
      <c r="CC27" s="199">
        <v>0</v>
      </c>
      <c r="CD27" s="199">
        <v>3000</v>
      </c>
      <c r="CE27" s="200">
        <v>3000</v>
      </c>
      <c r="CF27" s="200">
        <v>0</v>
      </c>
      <c r="CG27" s="200">
        <v>0</v>
      </c>
      <c r="CH27" s="200">
        <v>0</v>
      </c>
      <c r="CI27" s="200" t="str">
        <v>떡롤 30*400</v>
      </c>
      <c r="CJ27" s="200">
        <v>0</v>
      </c>
      <c r="CK27" s="200">
        <v>20800</v>
      </c>
      <c r="CL27" s="200">
        <v>14300</v>
      </c>
      <c r="CM27" s="200">
        <v>23800</v>
      </c>
      <c r="CN27" s="156">
        <v>0</v>
      </c>
      <c r="CO27" s="156">
        <v>1214</v>
      </c>
      <c r="CP27" s="156">
        <v>0</v>
      </c>
      <c r="CQ27" s="156">
        <v>0</v>
      </c>
      <c r="CR27" s="156">
        <v>0</v>
      </c>
      <c r="CS27" s="156" t="str">
        <v>ptDB47</v>
      </c>
      <c r="CT27" s="156">
        <v>0</v>
      </c>
      <c r="CU27" s="156">
        <v>23800</v>
      </c>
      <c r="CV27" s="156">
        <v>0</v>
      </c>
      <c r="CW27" s="156">
        <v>1214</v>
      </c>
      <c r="CX27" s="156">
        <v>0</v>
      </c>
      <c r="CY27" s="156">
        <v>0</v>
      </c>
      <c r="CZ27" s="156" t="str">
        <v/>
      </c>
      <c r="DA27" s="156">
        <v>0</v>
      </c>
      <c r="DB27" s="156">
        <v>14300</v>
      </c>
    </row>
    <row r="28" spans="2:106" ht="18" customHeight="1">
      <c r="B28" s="159">
        <v>15</v>
      </c>
      <c r="C28" s="161" cm="1">
        <f t="array" ref="C28">SUMPRODUCT(--(ISNUMBER(SEARCH(DATE($B$6,$E$6,$B28),출고표[발송일]))),출고표[거래처지급액],--(ISNUMBER(SEARCH($C$13,출고표[쇼핑몰구분]))))</f>
        <v>0</v>
      </c>
      <c r="D28" s="161" cm="1">
        <f t="array" ref="D28">SUMPRODUCT(--(ISNUMBER(SEARCH(DATE($B$6,$E$6,$B28),출고표[발송일]))),출고표[총판매금액],--(ISNUMBER(SEARCH($C$13,출고표[쇼핑몰구분]))))</f>
        <v>0</v>
      </c>
      <c r="E28" s="161" cm="1">
        <f t="array" ref="E28">SUMPRODUCT(--(ISNUMBER(SEARCH(DATE($B$6,$E$6,$B28),출고표[발송일]))),출고표[총판매금액],--(ISNUMBER(SEARCH($E$13,출고표[쇼핑몰구분]))))</f>
        <v>0</v>
      </c>
      <c r="H28" s="173">
        <v>45</v>
      </c>
      <c r="I28" s="156" t="str">
        <v>비닐스토리</v>
      </c>
      <c r="J28" s="177">
        <v>45447</v>
      </c>
      <c r="K28" s="176" t="str">
        <v>21100051322437</v>
      </c>
      <c r="L28" s="176" t="str">
        <v>쿠팡</v>
      </c>
      <c r="M28" s="176" t="str">
        <v>성준우</v>
      </c>
      <c r="N28" s="176" t="str">
        <v>wa*****@na</v>
      </c>
      <c r="O28" s="177" t="str">
        <v>0502-1752-6141</v>
      </c>
      <c r="P28" s="177">
        <v>45447</v>
      </c>
      <c r="Q28" s="176" t="str">
        <v>CJ대한통운</v>
      </c>
      <c r="R28" s="176" t="str">
        <v>540213347094</v>
      </c>
      <c r="S28" s="178">
        <v>0</v>
      </c>
      <c r="T28" s="176" t="str">
        <v>SE.102</v>
      </c>
      <c r="U28" s="176" t="str">
        <v>투명</v>
      </c>
      <c r="V28" s="176">
        <v>1</v>
      </c>
      <c r="W28" s="176" t="str">
        <v>성준우</v>
      </c>
      <c r="X28" s="176" t="str">
        <v>0502-1752-6141</v>
      </c>
      <c r="Y28" s="176">
        <v>0</v>
      </c>
      <c r="Z28" s="176" t="str">
        <v>대전광역시 유성구 원내동 383 진잠타운아파트 207동1203호</v>
      </c>
      <c r="AA28" s="190" t="str">
        <v>문 앞</v>
      </c>
      <c r="AB28" s="190">
        <v>0</v>
      </c>
      <c r="AC28" s="277">
        <v>0</v>
      </c>
      <c r="AD28" s="190">
        <v>1150</v>
      </c>
      <c r="AE28" s="190">
        <v>0</v>
      </c>
      <c r="AF28" s="190">
        <v>3000</v>
      </c>
      <c r="AG28" s="190">
        <v>3000</v>
      </c>
      <c r="AH28" s="190">
        <v>0</v>
      </c>
      <c r="AI28" s="190">
        <v>0</v>
      </c>
      <c r="AJ28" s="190">
        <v>0</v>
      </c>
      <c r="AK28" s="190" t="str">
        <v>소폭 12*26</v>
      </c>
      <c r="AL28" s="190">
        <v>0</v>
      </c>
      <c r="AM28" s="173">
        <v>1070</v>
      </c>
      <c r="AN28" s="173">
        <v>660</v>
      </c>
      <c r="AO28" s="206">
        <v>4150</v>
      </c>
      <c r="AP28" s="206">
        <v>3660</v>
      </c>
      <c r="AQ28" s="173">
        <v>236</v>
      </c>
      <c r="AR28" s="173">
        <v>254</v>
      </c>
      <c r="AS28" s="173">
        <v>6.1199999999999997E-2</v>
      </c>
      <c r="AT28" s="173">
        <v>0</v>
      </c>
      <c r="AU28" s="173" t="str">
        <v>ptDB47</v>
      </c>
      <c r="AV28" s="173">
        <v>0</v>
      </c>
      <c r="AW28" s="173">
        <v>4150</v>
      </c>
      <c r="AX28" s="173">
        <v>3660</v>
      </c>
      <c r="AY28" s="173">
        <v>236</v>
      </c>
      <c r="AZ28" s="173">
        <v>254</v>
      </c>
      <c r="BA28" s="173">
        <v>6.1199999999999997E-2</v>
      </c>
      <c r="BB28" s="173" t="str">
        <v/>
      </c>
      <c r="BC28" s="173">
        <v>0</v>
      </c>
      <c r="BD28" s="156">
        <v>660</v>
      </c>
      <c r="BF28" s="156">
        <v>50</v>
      </c>
      <c r="BG28" s="156" t="str">
        <v>비닐팩토리</v>
      </c>
      <c r="BH28" s="198">
        <v>45447</v>
      </c>
      <c r="BI28" s="199" t="str">
        <v>45470394</v>
      </c>
      <c r="BJ28" s="199" t="str">
        <v>대표</v>
      </c>
      <c r="BK28" s="199">
        <v>0</v>
      </c>
      <c r="BL28" s="199">
        <v>0</v>
      </c>
      <c r="BM28" s="199">
        <v>0</v>
      </c>
      <c r="BN28" s="198">
        <v>45447</v>
      </c>
      <c r="BO28" s="199" t="str">
        <v>CJ대한통운</v>
      </c>
      <c r="BP28" s="199" t="str">
        <v>540213347956</v>
      </c>
      <c r="BQ28" s="199">
        <v>0</v>
      </c>
      <c r="BR28" s="199" t="str">
        <v>SE.1000</v>
      </c>
      <c r="BS28" s="199" t="str">
        <v>투명</v>
      </c>
      <c r="BT28" s="199">
        <v>1</v>
      </c>
      <c r="BU28" s="199" t="str">
        <v>운문로컬푸드</v>
      </c>
      <c r="BV28" s="199" t="str">
        <v>054-372-8181</v>
      </c>
      <c r="BW28" s="199">
        <v>0</v>
      </c>
      <c r="BX28" s="199" t="str">
        <v>경북 청도군 운문면 운문사길 129-8 운문로컬푸드</v>
      </c>
      <c r="BY28" s="199">
        <v>0</v>
      </c>
      <c r="BZ28" s="199">
        <v>0</v>
      </c>
      <c r="CA28" s="273">
        <v>0</v>
      </c>
      <c r="CB28" s="199">
        <v>0</v>
      </c>
      <c r="CC28" s="199">
        <v>0</v>
      </c>
      <c r="CD28" s="199">
        <v>0</v>
      </c>
      <c r="CE28" s="200">
        <v>0</v>
      </c>
      <c r="CF28" s="200">
        <v>0</v>
      </c>
      <c r="CG28" s="200">
        <v>0</v>
      </c>
      <c r="CH28" s="200">
        <v>0</v>
      </c>
      <c r="CI28" s="200" t="str">
        <v>대표</v>
      </c>
      <c r="CJ28" s="200" t="str">
        <v>재구매</v>
      </c>
      <c r="CK28" s="200">
        <v>0</v>
      </c>
      <c r="CL28" s="200">
        <v>0</v>
      </c>
      <c r="CM28" s="200">
        <v>0</v>
      </c>
      <c r="CN28" s="156">
        <v>0</v>
      </c>
      <c r="CO28" s="156">
        <v>0</v>
      </c>
      <c r="CP28" s="156">
        <v>0</v>
      </c>
      <c r="CQ28" s="156">
        <v>0</v>
      </c>
      <c r="CR28" s="156">
        <v>0</v>
      </c>
      <c r="CS28" s="156" t="str">
        <v>ptDB47</v>
      </c>
      <c r="CT28" s="156">
        <v>0</v>
      </c>
      <c r="CU28" s="156">
        <v>0</v>
      </c>
      <c r="CV28" s="156">
        <v>0</v>
      </c>
      <c r="CW28" s="156">
        <v>0</v>
      </c>
      <c r="CX28" s="156">
        <v>0</v>
      </c>
      <c r="CY28" s="156">
        <v>0</v>
      </c>
      <c r="CZ28" s="156" t="str">
        <v/>
      </c>
      <c r="DA28" s="156">
        <v>0</v>
      </c>
      <c r="DB28" s="156">
        <v>0</v>
      </c>
    </row>
    <row r="29" spans="2:106" ht="18" customHeight="1">
      <c r="B29" s="159">
        <v>16</v>
      </c>
      <c r="C29" s="161" cm="1">
        <f t="array" ref="C29">SUMPRODUCT(--(ISNUMBER(SEARCH(DATE($B$6,$E$6,$B29),출고표[발송일]))),출고표[거래처지급액],--(ISNUMBER(SEARCH($C$13,출고표[쇼핑몰구분]))))</f>
        <v>0</v>
      </c>
      <c r="D29" s="161" cm="1">
        <f t="array" ref="D29">SUMPRODUCT(--(ISNUMBER(SEARCH(DATE($B$6,$E$6,$B29),출고표[발송일]))),출고표[총판매금액],--(ISNUMBER(SEARCH($C$13,출고표[쇼핑몰구분]))))</f>
        <v>0</v>
      </c>
      <c r="E29" s="161" cm="1">
        <f t="array" ref="E29">SUMPRODUCT(--(ISNUMBER(SEARCH(DATE($B$6,$E$6,$B29),출고표[발송일]))),출고표[총판매금액],--(ISNUMBER(SEARCH($E$13,출고표[쇼핑몰구분]))))</f>
        <v>0</v>
      </c>
      <c r="H29" s="173">
        <v>46</v>
      </c>
      <c r="I29" s="156" t="str">
        <v>비닐스토리</v>
      </c>
      <c r="J29" s="177">
        <v>45447</v>
      </c>
      <c r="K29" s="176" t="str">
        <v>11100051193765</v>
      </c>
      <c r="L29" s="176" t="str">
        <v>쿠팡</v>
      </c>
      <c r="M29" s="176" t="str">
        <v>김명준</v>
      </c>
      <c r="N29" s="176" t="str">
        <v>wo*****@na</v>
      </c>
      <c r="O29" s="177" t="str">
        <v>0504-4953-1243</v>
      </c>
      <c r="P29" s="177">
        <v>45447</v>
      </c>
      <c r="Q29" s="176" t="str">
        <v>CJ대한통운</v>
      </c>
      <c r="R29" s="176" t="str">
        <v>530214334735</v>
      </c>
      <c r="S29" s="178">
        <v>0</v>
      </c>
      <c r="T29" s="176" t="str">
        <v>SE.206</v>
      </c>
      <c r="U29" s="176" t="str">
        <v>투명</v>
      </c>
      <c r="V29" s="176">
        <v>1</v>
      </c>
      <c r="W29" s="176" t="str">
        <v>김범준</v>
      </c>
      <c r="X29" s="176" t="str">
        <v>0504-4953-1243</v>
      </c>
      <c r="Y29" s="176">
        <v>0</v>
      </c>
      <c r="Z29" s="176" t="str">
        <v>인천광역시 서구 경서로31번길 15 단지내상가1층 웰니스카페 ( 경서동, 북청라하우스토리 )</v>
      </c>
      <c r="AA29" s="190" t="str">
        <v>문 앞</v>
      </c>
      <c r="AB29" s="190">
        <v>0</v>
      </c>
      <c r="AC29" s="277">
        <v>0</v>
      </c>
      <c r="AD29" s="190">
        <v>34020</v>
      </c>
      <c r="AE29" s="190">
        <v>0</v>
      </c>
      <c r="AF29" s="190">
        <v>3000</v>
      </c>
      <c r="AG29" s="190">
        <v>3500</v>
      </c>
      <c r="AH29" s="190">
        <v>0</v>
      </c>
      <c r="AI29" s="190">
        <v>0</v>
      </c>
      <c r="AJ29" s="190">
        <v>0</v>
      </c>
      <c r="AK29" s="190" t="str">
        <v>떡롤 45*330</v>
      </c>
      <c r="AL29" s="190">
        <v>0</v>
      </c>
      <c r="AM29" s="173">
        <v>32130</v>
      </c>
      <c r="AN29" s="173">
        <v>19800</v>
      </c>
      <c r="AO29" s="206">
        <v>37020</v>
      </c>
      <c r="AP29" s="206">
        <v>23300</v>
      </c>
      <c r="AQ29" s="173">
        <v>4141</v>
      </c>
      <c r="AR29" s="173">
        <v>9579</v>
      </c>
      <c r="AS29" s="173">
        <v>0.25879999999999997</v>
      </c>
      <c r="AT29" s="173">
        <v>0</v>
      </c>
      <c r="AU29" s="173" t="str">
        <v>ptDB47</v>
      </c>
      <c r="AV29" s="173">
        <v>0</v>
      </c>
      <c r="AW29" s="173">
        <v>37020</v>
      </c>
      <c r="AX29" s="173">
        <v>23300</v>
      </c>
      <c r="AY29" s="173">
        <v>4141</v>
      </c>
      <c r="AZ29" s="173">
        <v>9579</v>
      </c>
      <c r="BA29" s="173">
        <v>0.25879999999999997</v>
      </c>
      <c r="BB29" s="173" t="str">
        <v/>
      </c>
      <c r="BC29" s="173">
        <v>0</v>
      </c>
      <c r="BD29" s="156">
        <v>19800</v>
      </c>
      <c r="BF29" s="156">
        <v>51</v>
      </c>
      <c r="BG29" s="156" t="str">
        <v>비닐팩토리</v>
      </c>
      <c r="BH29" s="198">
        <v>45447</v>
      </c>
      <c r="BI29" s="199" t="str">
        <v>45470734</v>
      </c>
      <c r="BJ29" s="199" t="str">
        <v>대표</v>
      </c>
      <c r="BK29" s="199">
        <v>0</v>
      </c>
      <c r="BL29" s="199">
        <v>0</v>
      </c>
      <c r="BM29" s="199">
        <v>0</v>
      </c>
      <c r="BN29" s="198">
        <v>45447</v>
      </c>
      <c r="BO29" s="199" t="str">
        <v>CJ대한통운</v>
      </c>
      <c r="BP29" s="199" t="str">
        <v>530214334540</v>
      </c>
      <c r="BQ29" s="199">
        <v>0</v>
      </c>
      <c r="BR29" s="199" t="str">
        <v>SE.1000</v>
      </c>
      <c r="BS29" s="199" t="str">
        <v>투명</v>
      </c>
      <c r="BT29" s="199">
        <v>1</v>
      </c>
      <c r="BU29" s="199" t="str">
        <v>운문로컬푸드</v>
      </c>
      <c r="BV29" s="199" t="str">
        <v>054-372-8181</v>
      </c>
      <c r="BW29" s="199">
        <v>0</v>
      </c>
      <c r="BX29" s="199" t="str">
        <v>경북 청도군 운문면 운문사길 129-8 운문로컬푸드</v>
      </c>
      <c r="BY29" s="199">
        <v>0</v>
      </c>
      <c r="BZ29" s="199">
        <v>0</v>
      </c>
      <c r="CA29" s="273">
        <v>0</v>
      </c>
      <c r="CB29" s="199">
        <v>0</v>
      </c>
      <c r="CC29" s="199">
        <v>0</v>
      </c>
      <c r="CD29" s="199">
        <v>0</v>
      </c>
      <c r="CE29" s="200">
        <v>0</v>
      </c>
      <c r="CF29" s="200">
        <v>0</v>
      </c>
      <c r="CG29" s="200">
        <v>0</v>
      </c>
      <c r="CH29" s="200">
        <v>0</v>
      </c>
      <c r="CI29" s="200" t="str">
        <v>대표</v>
      </c>
      <c r="CJ29" s="200" t="str">
        <v>재구매</v>
      </c>
      <c r="CK29" s="200">
        <v>0</v>
      </c>
      <c r="CL29" s="200">
        <v>0</v>
      </c>
      <c r="CM29" s="200">
        <v>0</v>
      </c>
      <c r="CN29" s="156">
        <v>0</v>
      </c>
      <c r="CO29" s="156">
        <v>0</v>
      </c>
      <c r="CP29" s="156">
        <v>0</v>
      </c>
      <c r="CQ29" s="156">
        <v>0</v>
      </c>
      <c r="CR29" s="156">
        <v>0</v>
      </c>
      <c r="CS29" s="156" t="str">
        <v>ptDB47</v>
      </c>
      <c r="CT29" s="156">
        <v>0</v>
      </c>
      <c r="CU29" s="156">
        <v>0</v>
      </c>
      <c r="CV29" s="156">
        <v>0</v>
      </c>
      <c r="CW29" s="156">
        <v>0</v>
      </c>
      <c r="CX29" s="156">
        <v>0</v>
      </c>
      <c r="CY29" s="156">
        <v>0</v>
      </c>
      <c r="CZ29" s="156" t="str">
        <v/>
      </c>
      <c r="DA29" s="156">
        <v>0</v>
      </c>
      <c r="DB29" s="156">
        <v>0</v>
      </c>
    </row>
    <row r="30" spans="2:106" ht="18" customHeight="1">
      <c r="B30" s="159">
        <v>17</v>
      </c>
      <c r="C30" s="161" cm="1">
        <f t="array" ref="C30">SUMPRODUCT(--(ISNUMBER(SEARCH(DATE($B$6,$E$6,$B30),출고표[발송일]))),출고표[거래처지급액],--(ISNUMBER(SEARCH($C$13,출고표[쇼핑몰구분]))))</f>
        <v>0</v>
      </c>
      <c r="D30" s="161" cm="1">
        <f t="array" ref="D30">SUMPRODUCT(--(ISNUMBER(SEARCH(DATE($B$6,$E$6,$B30),출고표[발송일]))),출고표[총판매금액],--(ISNUMBER(SEARCH($C$13,출고표[쇼핑몰구분]))))</f>
        <v>0</v>
      </c>
      <c r="E30" s="161" cm="1">
        <f t="array" ref="E30">SUMPRODUCT(--(ISNUMBER(SEARCH(DATE($B$6,$E$6,$B30),출고표[발송일]))),출고표[총판매금액],--(ISNUMBER(SEARCH($E$13,출고표[쇼핑몰구분]))))</f>
        <v>0</v>
      </c>
      <c r="H30" s="173">
        <v>53</v>
      </c>
      <c r="I30" s="156" t="str">
        <v>비닐스토리</v>
      </c>
      <c r="J30" s="177">
        <v>45447</v>
      </c>
      <c r="K30" s="176" t="str">
        <v>24060402</v>
      </c>
      <c r="L30" s="176" t="str">
        <v>올웨이즈</v>
      </c>
      <c r="M30" s="176">
        <v>0</v>
      </c>
      <c r="N30" s="176">
        <v>0</v>
      </c>
      <c r="O30" s="177">
        <v>0</v>
      </c>
      <c r="P30" s="177">
        <v>45447</v>
      </c>
      <c r="Q30" s="176" t="str">
        <v>CJ대한통운</v>
      </c>
      <c r="R30" s="176" t="str">
        <v>540213347260</v>
      </c>
      <c r="S30" s="178">
        <v>0</v>
      </c>
      <c r="T30" s="176" t="str">
        <v>SE.118</v>
      </c>
      <c r="U30" s="176" t="str">
        <v>투명</v>
      </c>
      <c r="V30" s="176">
        <v>1</v>
      </c>
      <c r="W30" s="176" t="str">
        <v>여나</v>
      </c>
      <c r="X30" s="176" t="str">
        <v>010-2959-1232</v>
      </c>
      <c r="Y30" s="176">
        <v>0</v>
      </c>
      <c r="Z30" s="176" t="str">
        <v>울산 북구 두부곡4길 8 2층</v>
      </c>
      <c r="AA30" s="190">
        <v>0</v>
      </c>
      <c r="AB30" s="190">
        <v>0</v>
      </c>
      <c r="AC30" s="277">
        <v>0</v>
      </c>
      <c r="AD30" s="190">
        <v>0</v>
      </c>
      <c r="AE30" s="190">
        <v>0</v>
      </c>
      <c r="AF30" s="190">
        <v>0</v>
      </c>
      <c r="AG30" s="190">
        <v>3000</v>
      </c>
      <c r="AH30" s="190">
        <v>0</v>
      </c>
      <c r="AI30" s="190">
        <v>0</v>
      </c>
      <c r="AJ30" s="190">
        <v>0</v>
      </c>
      <c r="AK30" s="190" t="str">
        <v>막지 40*60</v>
      </c>
      <c r="AL30" s="190" t="str">
        <v>재구매</v>
      </c>
      <c r="AM30" s="173">
        <v>3900</v>
      </c>
      <c r="AN30" s="173">
        <v>2530</v>
      </c>
      <c r="AO30" s="206">
        <v>0</v>
      </c>
      <c r="AP30" s="206">
        <v>0</v>
      </c>
      <c r="AQ30" s="173">
        <v>0</v>
      </c>
      <c r="AR30" s="173">
        <v>0</v>
      </c>
      <c r="AS30" s="173">
        <v>0</v>
      </c>
      <c r="AT30" s="173">
        <v>0</v>
      </c>
      <c r="AU30" s="173" t="str">
        <v>ptDB46</v>
      </c>
      <c r="AV30" s="173">
        <v>0</v>
      </c>
      <c r="AW30" s="173">
        <v>0</v>
      </c>
      <c r="AX30" s="173">
        <v>5530</v>
      </c>
      <c r="AY30" s="173">
        <v>80</v>
      </c>
      <c r="AZ30" s="173">
        <v>-5610</v>
      </c>
      <c r="BA30" s="173">
        <v>0</v>
      </c>
      <c r="BB30" s="173" t="str">
        <v>Check</v>
      </c>
      <c r="BC30" s="173">
        <v>0</v>
      </c>
      <c r="BD30" s="156">
        <v>2530</v>
      </c>
      <c r="BF30" s="156">
        <v>52</v>
      </c>
      <c r="BG30" s="156" t="str">
        <v>비닐팩토리</v>
      </c>
      <c r="BH30" s="198">
        <v>45447</v>
      </c>
      <c r="BI30" s="199" t="str">
        <v>45470770</v>
      </c>
      <c r="BJ30" s="199" t="str">
        <v>대표</v>
      </c>
      <c r="BK30" s="199">
        <v>0</v>
      </c>
      <c r="BL30" s="199">
        <v>0</v>
      </c>
      <c r="BM30" s="199">
        <v>0</v>
      </c>
      <c r="BN30" s="198">
        <v>45447</v>
      </c>
      <c r="BO30" s="199" t="str">
        <v>CJ대한통운</v>
      </c>
      <c r="BP30" s="199" t="str">
        <v>530214334643</v>
      </c>
      <c r="BQ30" s="199">
        <v>0</v>
      </c>
      <c r="BR30" s="199" t="str">
        <v>SE.1000</v>
      </c>
      <c r="BS30" s="199" t="str">
        <v>투명</v>
      </c>
      <c r="BT30" s="199">
        <v>1</v>
      </c>
      <c r="BU30" s="199" t="str">
        <v>운문로컬푸드</v>
      </c>
      <c r="BV30" s="199" t="str">
        <v>054-372-8181</v>
      </c>
      <c r="BW30" s="199">
        <v>0</v>
      </c>
      <c r="BX30" s="199" t="str">
        <v>경북 청도군 운문면 운문사길 129-8 운문로컬푸드</v>
      </c>
      <c r="BY30" s="199">
        <v>0</v>
      </c>
      <c r="BZ30" s="199">
        <v>0</v>
      </c>
      <c r="CA30" s="273">
        <v>0</v>
      </c>
      <c r="CB30" s="199">
        <v>0</v>
      </c>
      <c r="CC30" s="199">
        <v>0</v>
      </c>
      <c r="CD30" s="199">
        <v>0</v>
      </c>
      <c r="CE30" s="200">
        <v>5500</v>
      </c>
      <c r="CF30" s="200">
        <v>0</v>
      </c>
      <c r="CG30" s="200">
        <v>0</v>
      </c>
      <c r="CH30" s="200">
        <v>0</v>
      </c>
      <c r="CI30" s="200" t="str">
        <v>대표</v>
      </c>
      <c r="CJ30" s="200" t="str">
        <v>재구매</v>
      </c>
      <c r="CK30" s="200">
        <v>0</v>
      </c>
      <c r="CL30" s="200">
        <v>0</v>
      </c>
      <c r="CM30" s="200">
        <v>0</v>
      </c>
      <c r="CN30" s="156">
        <v>0</v>
      </c>
      <c r="CO30" s="156">
        <v>0</v>
      </c>
      <c r="CP30" s="156">
        <v>0</v>
      </c>
      <c r="CQ30" s="156">
        <v>0</v>
      </c>
      <c r="CR30" s="156">
        <v>0</v>
      </c>
      <c r="CS30" s="156" t="str">
        <v>ptDB47</v>
      </c>
      <c r="CT30" s="156">
        <v>0</v>
      </c>
      <c r="CU30" s="156">
        <v>0</v>
      </c>
      <c r="CV30" s="156">
        <v>0</v>
      </c>
      <c r="CW30" s="156">
        <v>0</v>
      </c>
      <c r="CX30" s="156">
        <v>0</v>
      </c>
      <c r="CY30" s="156">
        <v>0</v>
      </c>
      <c r="CZ30" s="156" t="str">
        <v/>
      </c>
      <c r="DA30" s="156">
        <v>0</v>
      </c>
      <c r="DB30" s="156">
        <v>0</v>
      </c>
    </row>
    <row r="31" spans="2:106" ht="18" customHeight="1">
      <c r="B31" s="159">
        <v>18</v>
      </c>
      <c r="C31" s="161" cm="1">
        <f t="array" ref="C31">SUMPRODUCT(--(ISNUMBER(SEARCH(DATE($B$6,$E$6,$B31),출고표[발송일]))),출고표[거래처지급액],--(ISNUMBER(SEARCH($C$13,출고표[쇼핑몰구분]))))</f>
        <v>0</v>
      </c>
      <c r="D31" s="161" cm="1">
        <f t="array" ref="D31">SUMPRODUCT(--(ISNUMBER(SEARCH(DATE($B$6,$E$6,$B31),출고표[발송일]))),출고표[총판매금액],--(ISNUMBER(SEARCH($C$13,출고표[쇼핑몰구분]))))</f>
        <v>0</v>
      </c>
      <c r="E31" s="161" cm="1">
        <f t="array" ref="E31">SUMPRODUCT(--(ISNUMBER(SEARCH(DATE($B$6,$E$6,$B31),출고표[발송일]))),출고표[총판매금액],--(ISNUMBER(SEARCH($E$13,출고표[쇼핑몰구분]))))</f>
        <v>0</v>
      </c>
      <c r="H31" s="173">
        <v>54</v>
      </c>
      <c r="I31" s="156" t="str">
        <v>비닐스토리</v>
      </c>
      <c r="J31" s="177">
        <v>45447</v>
      </c>
      <c r="K31" s="176" t="str">
        <v>24060401</v>
      </c>
      <c r="L31" s="176" t="str">
        <v>올웨이즈</v>
      </c>
      <c r="M31" s="176">
        <v>0</v>
      </c>
      <c r="N31" s="176">
        <v>0</v>
      </c>
      <c r="O31" s="177">
        <v>0</v>
      </c>
      <c r="P31" s="177">
        <v>45447</v>
      </c>
      <c r="Q31" s="176" t="str">
        <v>CJ대한통운</v>
      </c>
      <c r="R31" s="176" t="str">
        <v>530214334411</v>
      </c>
      <c r="S31" s="178">
        <v>0</v>
      </c>
      <c r="T31" s="176" t="str">
        <v>SE.121</v>
      </c>
      <c r="U31" s="176" t="str">
        <v>투명</v>
      </c>
      <c r="V31" s="176">
        <v>1</v>
      </c>
      <c r="W31" s="176" t="str">
        <v xml:space="preserve">김양순	</v>
      </c>
      <c r="X31" s="176" t="str">
        <v>010-3637-9321</v>
      </c>
      <c r="Y31" s="176">
        <v>0</v>
      </c>
      <c r="Z31" s="176" t="str">
        <v>경기 화성시 장안면 온수골1길 55-1</v>
      </c>
      <c r="AA31" s="190">
        <v>0</v>
      </c>
      <c r="AB31" s="190">
        <v>0</v>
      </c>
      <c r="AC31" s="277">
        <v>0</v>
      </c>
      <c r="AD31" s="190">
        <v>0</v>
      </c>
      <c r="AE31" s="190">
        <v>0</v>
      </c>
      <c r="AF31" s="190">
        <v>0</v>
      </c>
      <c r="AG31" s="190">
        <v>3000</v>
      </c>
      <c r="AH31" s="190">
        <v>0</v>
      </c>
      <c r="AI31" s="190">
        <v>0</v>
      </c>
      <c r="AJ31" s="190">
        <v>0</v>
      </c>
      <c r="AK31" s="190" t="str">
        <v>막지 63*90</v>
      </c>
      <c r="AL31" s="190" t="str">
        <v>재구매</v>
      </c>
      <c r="AM31" s="173">
        <v>5250</v>
      </c>
      <c r="AN31" s="173">
        <v>3410</v>
      </c>
      <c r="AO31" s="206">
        <v>0</v>
      </c>
      <c r="AP31" s="206">
        <v>0</v>
      </c>
      <c r="AQ31" s="173">
        <v>0</v>
      </c>
      <c r="AR31" s="173">
        <v>0</v>
      </c>
      <c r="AS31" s="173">
        <v>0</v>
      </c>
      <c r="AT31" s="173">
        <v>0</v>
      </c>
      <c r="AU31" s="173" t="str">
        <v>ptDB46</v>
      </c>
      <c r="AV31" s="173">
        <v>0</v>
      </c>
      <c r="AW31" s="173">
        <v>0</v>
      </c>
      <c r="AX31" s="173">
        <v>6410</v>
      </c>
      <c r="AY31" s="173">
        <v>80</v>
      </c>
      <c r="AZ31" s="173">
        <v>-6490</v>
      </c>
      <c r="BA31" s="173">
        <v>0</v>
      </c>
      <c r="BB31" s="173" t="str">
        <v>Check</v>
      </c>
      <c r="BC31" s="173">
        <v>0</v>
      </c>
      <c r="BD31" s="156">
        <v>3410</v>
      </c>
      <c r="BF31" s="156">
        <v>55</v>
      </c>
      <c r="BG31" s="156" t="str">
        <v>비닐팩토리</v>
      </c>
      <c r="BH31" s="198">
        <v>45446</v>
      </c>
      <c r="BI31" s="199" t="str">
        <v>25100051185893</v>
      </c>
      <c r="BJ31" s="199" t="str">
        <v>쿠팡</v>
      </c>
      <c r="BK31" s="199" t="str">
        <v>김형희</v>
      </c>
      <c r="BL31" s="199" t="str">
        <v>gu*****@ha</v>
      </c>
      <c r="BM31" s="199" t="str">
        <v>0502-4733-5563</v>
      </c>
      <c r="BN31" s="198">
        <v>45447</v>
      </c>
      <c r="BO31" s="199" t="str">
        <v>CJ대한통운</v>
      </c>
      <c r="BP31" s="199" t="str">
        <v>530214334702</v>
      </c>
      <c r="BQ31" s="199">
        <v>0</v>
      </c>
      <c r="BR31" s="199" t="str">
        <v>SE.205</v>
      </c>
      <c r="BS31" s="199" t="str">
        <v>투명</v>
      </c>
      <c r="BT31" s="199">
        <v>1</v>
      </c>
      <c r="BU31" s="199" t="str">
        <v>김형희</v>
      </c>
      <c r="BV31" s="199" t="str">
        <v>0502-4733-5563</v>
      </c>
      <c r="BW31" s="199">
        <v>0</v>
      </c>
      <c r="BX31" s="199" t="str">
        <v>전라남도 강진군 군동면 호계리 호계길5 떡마루</v>
      </c>
      <c r="BY31" s="199" t="str">
        <v>직접 받고 부재 시 문 앞</v>
      </c>
      <c r="BZ31" s="199">
        <v>0</v>
      </c>
      <c r="CA31" s="273">
        <v>0</v>
      </c>
      <c r="CB31" s="199">
        <v>25200</v>
      </c>
      <c r="CC31" s="199">
        <v>0</v>
      </c>
      <c r="CD31" s="199">
        <v>3000</v>
      </c>
      <c r="CE31" s="200">
        <v>3000</v>
      </c>
      <c r="CF31" s="200">
        <v>0</v>
      </c>
      <c r="CG31" s="200">
        <v>0</v>
      </c>
      <c r="CH31" s="200">
        <v>0</v>
      </c>
      <c r="CI31" s="200" t="str">
        <v>떡롤 35*400</v>
      </c>
      <c r="CJ31" s="200">
        <v>0</v>
      </c>
      <c r="CK31" s="200">
        <v>25200</v>
      </c>
      <c r="CL31" s="200">
        <v>16500</v>
      </c>
      <c r="CM31" s="200">
        <v>28200</v>
      </c>
      <c r="CN31" s="156">
        <v>0</v>
      </c>
      <c r="CO31" s="156">
        <v>3093</v>
      </c>
      <c r="CP31" s="156">
        <v>0</v>
      </c>
      <c r="CQ31" s="156">
        <v>0</v>
      </c>
      <c r="CR31" s="156">
        <v>0</v>
      </c>
      <c r="CS31" s="156" t="str">
        <v>ptDB47</v>
      </c>
      <c r="CT31" s="156">
        <v>0</v>
      </c>
      <c r="CU31" s="156">
        <v>28200</v>
      </c>
      <c r="CV31" s="156">
        <v>0</v>
      </c>
      <c r="CW31" s="156">
        <v>3093</v>
      </c>
      <c r="CX31" s="156">
        <v>0</v>
      </c>
      <c r="CY31" s="156">
        <v>0</v>
      </c>
      <c r="CZ31" s="156" t="str">
        <v/>
      </c>
      <c r="DA31" s="156">
        <v>0</v>
      </c>
      <c r="DB31" s="156">
        <v>16500</v>
      </c>
    </row>
    <row r="32" spans="2:106" ht="18" customHeight="1">
      <c r="B32" s="159">
        <v>19</v>
      </c>
      <c r="C32" s="161" cm="1">
        <f t="array" ref="C32">SUMPRODUCT(--(ISNUMBER(SEARCH(DATE($B$6,$E$6,$B32),출고표[발송일]))),출고표[거래처지급액],--(ISNUMBER(SEARCH($C$13,출고표[쇼핑몰구분]))))</f>
        <v>0</v>
      </c>
      <c r="D32" s="161" cm="1">
        <f t="array" ref="D32">SUMPRODUCT(--(ISNUMBER(SEARCH(DATE($B$6,$E$6,$B32),출고표[발송일]))),출고표[총판매금액],--(ISNUMBER(SEARCH($C$13,출고표[쇼핑몰구분]))))</f>
        <v>0</v>
      </c>
      <c r="E32" s="161" cm="1">
        <f t="array" ref="E32">SUMPRODUCT(--(ISNUMBER(SEARCH(DATE($B$6,$E$6,$B32),출고표[발송일]))),출고표[총판매금액],--(ISNUMBER(SEARCH($E$13,출고표[쇼핑몰구분]))))</f>
        <v>0</v>
      </c>
      <c r="H32" s="173">
        <v>60</v>
      </c>
      <c r="I32" s="156" t="str">
        <v>비닐스토리</v>
      </c>
      <c r="J32" s="177">
        <v>45448</v>
      </c>
      <c r="K32" s="176" t="str">
        <v>2024060553504051</v>
      </c>
      <c r="L32" s="176" t="str">
        <v>스마트 스토어</v>
      </c>
      <c r="M32" s="176" t="str">
        <v>이상숙</v>
      </c>
      <c r="N32" s="176" t="str">
        <v>sang****</v>
      </c>
      <c r="O32" s="177" t="str">
        <v>010-7458-6672</v>
      </c>
      <c r="P32" s="177">
        <v>45448</v>
      </c>
      <c r="Q32" s="176" t="str">
        <v>CJ대한통운</v>
      </c>
      <c r="R32" s="176" t="str">
        <v>530215355501</v>
      </c>
      <c r="S32" s="178">
        <v>0</v>
      </c>
      <c r="T32" s="176" t="str">
        <v>SE.201</v>
      </c>
      <c r="U32" s="176" t="str">
        <v>투명</v>
      </c>
      <c r="V32" s="176">
        <v>1</v>
      </c>
      <c r="W32" s="176" t="str">
        <v>카페모들</v>
      </c>
      <c r="X32" s="176" t="str">
        <v>010-7458-6672</v>
      </c>
      <c r="Y32" s="176">
        <v>0</v>
      </c>
      <c r="Z32" s="176" t="str">
        <v>경기도 화성시 동탄기흥로 393-20 (오산동, 동탄역 파라곤) 1층190호 내측상가(선명희피자맞은편</v>
      </c>
      <c r="AA32" s="190">
        <v>0</v>
      </c>
      <c r="AB32" s="190">
        <v>0</v>
      </c>
      <c r="AC32" s="277">
        <v>0</v>
      </c>
      <c r="AD32" s="190">
        <v>14580</v>
      </c>
      <c r="AE32" s="190">
        <v>1620</v>
      </c>
      <c r="AF32" s="190">
        <v>3000</v>
      </c>
      <c r="AG32" s="190">
        <v>3000</v>
      </c>
      <c r="AH32" s="190">
        <v>0</v>
      </c>
      <c r="AI32" s="190">
        <v>0</v>
      </c>
      <c r="AJ32" s="190">
        <v>0</v>
      </c>
      <c r="AK32" s="190" t="str">
        <v>떡롤 20*400</v>
      </c>
      <c r="AL32" s="190">
        <v>0</v>
      </c>
      <c r="AM32" s="173">
        <v>15300</v>
      </c>
      <c r="AN32" s="173">
        <v>9900</v>
      </c>
      <c r="AO32" s="206">
        <v>17580</v>
      </c>
      <c r="AP32" s="206">
        <v>12900</v>
      </c>
      <c r="AQ32" s="173">
        <v>719</v>
      </c>
      <c r="AR32" s="173">
        <v>3961</v>
      </c>
      <c r="AS32" s="173">
        <v>0.2253</v>
      </c>
      <c r="AT32" s="173">
        <v>0</v>
      </c>
      <c r="AU32" s="173" t="str">
        <v>ptDB47</v>
      </c>
      <c r="AV32" s="173">
        <v>0</v>
      </c>
      <c r="AW32" s="173">
        <v>17580</v>
      </c>
      <c r="AX32" s="173">
        <v>12900</v>
      </c>
      <c r="AY32" s="173">
        <v>719</v>
      </c>
      <c r="AZ32" s="173">
        <v>3961</v>
      </c>
      <c r="BA32" s="173">
        <v>0.2253</v>
      </c>
      <c r="BB32" s="173" t="str">
        <v/>
      </c>
      <c r="BC32" s="173">
        <v>0</v>
      </c>
      <c r="BD32" s="156">
        <v>9900</v>
      </c>
      <c r="BF32" s="156">
        <v>56</v>
      </c>
      <c r="BG32" s="156" t="str">
        <v>비닐팩토리</v>
      </c>
      <c r="BH32" s="198">
        <v>45446</v>
      </c>
      <c r="BI32" s="199" t="str">
        <v>26100051000988</v>
      </c>
      <c r="BJ32" s="199" t="str">
        <v>쿠팡</v>
      </c>
      <c r="BK32" s="199" t="str">
        <v>박인섭</v>
      </c>
      <c r="BL32" s="199" t="str">
        <v>kj*****@na</v>
      </c>
      <c r="BM32" s="199" t="str">
        <v>0502-4802-6019</v>
      </c>
      <c r="BN32" s="198">
        <v>45447</v>
      </c>
      <c r="BO32" s="199" t="str">
        <v>CJ대한통운</v>
      </c>
      <c r="BP32" s="199" t="str">
        <v>540213351456</v>
      </c>
      <c r="BQ32" s="199">
        <v>0</v>
      </c>
      <c r="BR32" s="199" t="str">
        <v>SE.201</v>
      </c>
      <c r="BS32" s="199" t="str">
        <v>투명</v>
      </c>
      <c r="BT32" s="199">
        <v>1</v>
      </c>
      <c r="BU32" s="199" t="str">
        <v>김지언</v>
      </c>
      <c r="BV32" s="199" t="str">
        <v>0502-4802-6019</v>
      </c>
      <c r="BW32" s="199">
        <v>0</v>
      </c>
      <c r="BX32" s="199" t="str">
        <v>경기도 성남시 분당구 백현동 535 크래프톤타워 3층 서울강정형외과</v>
      </c>
      <c r="BY32" s="199" t="str">
        <v>직접 받고 부재 시 문 앞</v>
      </c>
      <c r="BZ32" s="199">
        <v>0</v>
      </c>
      <c r="CA32" s="273">
        <v>0</v>
      </c>
      <c r="CB32" s="199">
        <v>15120</v>
      </c>
      <c r="CC32" s="199">
        <v>0</v>
      </c>
      <c r="CD32" s="199">
        <v>3000</v>
      </c>
      <c r="CE32" s="200">
        <v>3000</v>
      </c>
      <c r="CF32" s="200">
        <v>0</v>
      </c>
      <c r="CG32" s="200">
        <v>0</v>
      </c>
      <c r="CH32" s="200">
        <v>0</v>
      </c>
      <c r="CI32" s="200" t="str">
        <v>떡롤 20*400</v>
      </c>
      <c r="CJ32" s="200">
        <v>0</v>
      </c>
      <c r="CK32" s="200">
        <v>15120</v>
      </c>
      <c r="CL32" s="200">
        <v>9900</v>
      </c>
      <c r="CM32" s="200">
        <v>18120</v>
      </c>
      <c r="CN32" s="156">
        <v>0</v>
      </c>
      <c r="CO32" s="156">
        <v>1895</v>
      </c>
      <c r="CP32" s="156">
        <v>0</v>
      </c>
      <c r="CQ32" s="156">
        <v>0</v>
      </c>
      <c r="CR32" s="156">
        <v>0</v>
      </c>
      <c r="CS32" s="156" t="str">
        <v>ptDB47</v>
      </c>
      <c r="CT32" s="156">
        <v>0</v>
      </c>
      <c r="CU32" s="156">
        <v>18120</v>
      </c>
      <c r="CV32" s="156">
        <v>0</v>
      </c>
      <c r="CW32" s="156">
        <v>1895</v>
      </c>
      <c r="CX32" s="156">
        <v>0</v>
      </c>
      <c r="CY32" s="156">
        <v>0</v>
      </c>
      <c r="CZ32" s="156" t="str">
        <v/>
      </c>
      <c r="DA32" s="156">
        <v>0</v>
      </c>
      <c r="DB32" s="156">
        <v>9900</v>
      </c>
    </row>
    <row r="33" spans="2:106" ht="18" customHeight="1">
      <c r="B33" s="159">
        <v>20</v>
      </c>
      <c r="C33" s="161" cm="1">
        <f t="array" ref="C33">SUMPRODUCT(--(ISNUMBER(SEARCH(DATE($B$6,$E$6,$B33),출고표[발송일]))),출고표[거래처지급액],--(ISNUMBER(SEARCH($C$13,출고표[쇼핑몰구분]))))</f>
        <v>0</v>
      </c>
      <c r="D33" s="161" cm="1">
        <f t="array" ref="D33">SUMPRODUCT(--(ISNUMBER(SEARCH(DATE($B$6,$E$6,$B33),출고표[발송일]))),출고표[총판매금액],--(ISNUMBER(SEARCH($C$13,출고표[쇼핑몰구분]))))</f>
        <v>0</v>
      </c>
      <c r="E33" s="161" cm="1">
        <f t="array" ref="E33">SUMPRODUCT(--(ISNUMBER(SEARCH(DATE($B$6,$E$6,$B33),출고표[발송일]))),출고표[총판매금액],--(ISNUMBER(SEARCH($E$13,출고표[쇼핑몰구분]))))</f>
        <v>0</v>
      </c>
      <c r="H33" s="173">
        <v>61</v>
      </c>
      <c r="I33" s="156" t="str">
        <v>비닐스토리</v>
      </c>
      <c r="J33" s="177">
        <v>45448</v>
      </c>
      <c r="K33" s="176" t="str">
        <v>2024060541249481</v>
      </c>
      <c r="L33" s="176" t="str">
        <v>스마트 스토어</v>
      </c>
      <c r="M33" s="176" t="str">
        <v>송순희</v>
      </c>
      <c r="N33" s="176" t="str">
        <v>sshh****</v>
      </c>
      <c r="O33" s="177" t="str">
        <v>010-4118-9402</v>
      </c>
      <c r="P33" s="177">
        <v>45448</v>
      </c>
      <c r="Q33" s="176" t="str">
        <v>CJ대한통운</v>
      </c>
      <c r="R33" s="176" t="str">
        <v>530215273800</v>
      </c>
      <c r="S33" s="178">
        <v>0</v>
      </c>
      <c r="T33" s="176" t="str">
        <v>SE.204</v>
      </c>
      <c r="U33" s="176" t="str">
        <v>투명</v>
      </c>
      <c r="V33" s="176">
        <v>2</v>
      </c>
      <c r="W33" s="176" t="str">
        <v>이레떡방</v>
      </c>
      <c r="X33" s="176" t="str">
        <v>010-4118-9402</v>
      </c>
      <c r="Y33" s="176" t="str">
        <v>010-3706-7755</v>
      </c>
      <c r="Z33" s="176" t="str">
        <v>서울특별시 강서구 허준로 121 (가양동, 대림경동아파트) 대림경동상가 114호</v>
      </c>
      <c r="AA33" s="190" t="str">
        <v>문 앞에 놓아주세요</v>
      </c>
      <c r="AB33" s="190">
        <v>0</v>
      </c>
      <c r="AC33" s="277">
        <v>0</v>
      </c>
      <c r="AD33" s="190">
        <v>42120</v>
      </c>
      <c r="AE33" s="190">
        <v>4680</v>
      </c>
      <c r="AF33" s="190">
        <v>0</v>
      </c>
      <c r="AG33" s="190">
        <v>4400</v>
      </c>
      <c r="AH33" s="190">
        <v>0</v>
      </c>
      <c r="AI33" s="190">
        <v>0</v>
      </c>
      <c r="AJ33" s="190">
        <v>0</v>
      </c>
      <c r="AK33" s="190" t="str">
        <v>떡롤 30*400</v>
      </c>
      <c r="AL33" s="190">
        <v>0</v>
      </c>
      <c r="AM33" s="173">
        <v>22100</v>
      </c>
      <c r="AN33" s="173">
        <v>14300</v>
      </c>
      <c r="AO33" s="206">
        <v>42120</v>
      </c>
      <c r="AP33" s="206">
        <v>33000</v>
      </c>
      <c r="AQ33" s="173">
        <v>1756</v>
      </c>
      <c r="AR33" s="173">
        <v>7364</v>
      </c>
      <c r="AS33" s="173">
        <v>0.17480000000000001</v>
      </c>
      <c r="AT33" s="173">
        <v>0</v>
      </c>
      <c r="AU33" s="173" t="str">
        <v>ptDB47</v>
      </c>
      <c r="AV33" s="173">
        <v>0</v>
      </c>
      <c r="AW33" s="173">
        <v>42120</v>
      </c>
      <c r="AX33" s="173">
        <v>33000</v>
      </c>
      <c r="AY33" s="173">
        <v>1756</v>
      </c>
      <c r="AZ33" s="173">
        <v>7364</v>
      </c>
      <c r="BA33" s="173">
        <v>0.17480000000000001</v>
      </c>
      <c r="BB33" s="173" t="str">
        <v/>
      </c>
      <c r="BC33" s="173">
        <v>0</v>
      </c>
      <c r="BD33" s="156">
        <v>28600</v>
      </c>
      <c r="BF33" s="156">
        <v>57</v>
      </c>
      <c r="BG33" s="156" t="str">
        <v>비닐팩토리</v>
      </c>
      <c r="BH33" s="198">
        <v>45448</v>
      </c>
      <c r="BI33" s="199" t="str">
        <v>45470535</v>
      </c>
      <c r="BJ33" s="199" t="str">
        <v>대표</v>
      </c>
      <c r="BK33" s="199">
        <v>0</v>
      </c>
      <c r="BL33" s="199">
        <v>0</v>
      </c>
      <c r="BM33" s="199">
        <v>0</v>
      </c>
      <c r="BN33" s="198">
        <v>45448</v>
      </c>
      <c r="BO33" s="199" t="str">
        <v>CJ대한통운</v>
      </c>
      <c r="BP33" s="199" t="str">
        <v>530215380023</v>
      </c>
      <c r="BQ33" s="199">
        <v>0</v>
      </c>
      <c r="BR33" s="199" t="str">
        <v>SE.1000</v>
      </c>
      <c r="BS33" s="199" t="str">
        <v>투명</v>
      </c>
      <c r="BT33" s="199">
        <v>3</v>
      </c>
      <c r="BU33" s="199" t="str">
        <v>이동한</v>
      </c>
      <c r="BV33" s="199" t="str">
        <v>010-4902-5844</v>
      </c>
      <c r="BW33" s="199">
        <v>0</v>
      </c>
      <c r="BX33" s="199" t="str">
        <v>경북 성주군 월항면 안포1길 34</v>
      </c>
      <c r="BY33" s="199">
        <v>0</v>
      </c>
      <c r="BZ33" s="199">
        <v>0</v>
      </c>
      <c r="CA33" s="273">
        <v>0</v>
      </c>
      <c r="CB33" s="199">
        <v>0</v>
      </c>
      <c r="CC33" s="199">
        <v>0</v>
      </c>
      <c r="CD33" s="199">
        <v>0</v>
      </c>
      <c r="CE33" s="200">
        <v>5500</v>
      </c>
      <c r="CF33" s="200">
        <v>0</v>
      </c>
      <c r="CG33" s="200">
        <v>0</v>
      </c>
      <c r="CH33" s="200">
        <v>0</v>
      </c>
      <c r="CI33" s="200" t="str">
        <v>대표</v>
      </c>
      <c r="CJ33" s="200" t="str">
        <v>재구매</v>
      </c>
      <c r="CK33" s="200">
        <v>0</v>
      </c>
      <c r="CL33" s="200">
        <v>0</v>
      </c>
      <c r="CM33" s="200">
        <v>0</v>
      </c>
      <c r="CN33" s="156">
        <v>0</v>
      </c>
      <c r="CO33" s="156">
        <v>0</v>
      </c>
      <c r="CP33" s="156">
        <v>0</v>
      </c>
      <c r="CQ33" s="156">
        <v>0</v>
      </c>
      <c r="CR33" s="156">
        <v>0</v>
      </c>
      <c r="CS33" s="156" t="str">
        <v>ptDB47</v>
      </c>
      <c r="CT33" s="156">
        <v>0</v>
      </c>
      <c r="CU33" s="156">
        <v>0</v>
      </c>
      <c r="CV33" s="156">
        <v>0</v>
      </c>
      <c r="CW33" s="156">
        <v>0</v>
      </c>
      <c r="CX33" s="156">
        <v>0</v>
      </c>
      <c r="CY33" s="156">
        <v>0</v>
      </c>
      <c r="CZ33" s="156" t="str">
        <v/>
      </c>
      <c r="DA33" s="156">
        <v>0</v>
      </c>
      <c r="DB33" s="156">
        <v>0</v>
      </c>
    </row>
    <row r="34" spans="2:106" ht="18" customHeight="1">
      <c r="B34" s="159">
        <v>21</v>
      </c>
      <c r="C34" s="161" cm="1">
        <f t="array" ref="C34">SUMPRODUCT(--(ISNUMBER(SEARCH(DATE($B$6,$E$6,$B34),출고표[발송일]))),출고표[거래처지급액],--(ISNUMBER(SEARCH($C$13,출고표[쇼핑몰구분]))))</f>
        <v>0</v>
      </c>
      <c r="D34" s="161" cm="1">
        <f t="array" ref="D34">SUMPRODUCT(--(ISNUMBER(SEARCH(DATE($B$6,$E$6,$B34),출고표[발송일]))),출고표[총판매금액],--(ISNUMBER(SEARCH($C$13,출고표[쇼핑몰구분]))))</f>
        <v>0</v>
      </c>
      <c r="E34" s="161" cm="1">
        <f t="array" ref="E34">SUMPRODUCT(--(ISNUMBER(SEARCH(DATE($B$6,$E$6,$B34),출고표[발송일]))),출고표[총판매금액],--(ISNUMBER(SEARCH($E$13,출고표[쇼핑몰구분]))))</f>
        <v>0</v>
      </c>
      <c r="H34" s="173">
        <v>62</v>
      </c>
      <c r="I34" s="156" t="str">
        <v>비닐스토리</v>
      </c>
      <c r="J34" s="177">
        <v>45447</v>
      </c>
      <c r="K34" s="176" t="str">
        <v>2024060427503191</v>
      </c>
      <c r="L34" s="176" t="str">
        <v>스마트 스토어</v>
      </c>
      <c r="M34" s="176" t="str">
        <v>박경숙</v>
      </c>
      <c r="N34" s="176" t="str">
        <v>bobd****</v>
      </c>
      <c r="O34" s="177" t="str">
        <v>010-2684-8642</v>
      </c>
      <c r="P34" s="177">
        <v>45448</v>
      </c>
      <c r="Q34" s="176" t="str">
        <v>CJ대한통운</v>
      </c>
      <c r="R34" s="176" t="str">
        <v>530215273892</v>
      </c>
      <c r="S34" s="178">
        <v>0</v>
      </c>
      <c r="T34" s="176" t="str">
        <v>SE.22</v>
      </c>
      <c r="U34" s="176" t="str">
        <v>검정</v>
      </c>
      <c r="V34" s="176">
        <v>4</v>
      </c>
      <c r="W34" s="176" t="str">
        <v>박경숙</v>
      </c>
      <c r="X34" s="176" t="str">
        <v>010-2684-8642</v>
      </c>
      <c r="Y34" s="176">
        <v>0</v>
      </c>
      <c r="Z34" s="176" t="str">
        <v>경기도 파주시 책향기로 439 (동패동, 책향기마을동문굿모닝힐) 10단지 1016동1106</v>
      </c>
      <c r="AA34" s="190">
        <v>0</v>
      </c>
      <c r="AB34" s="190">
        <v>0</v>
      </c>
      <c r="AC34" s="277">
        <v>0</v>
      </c>
      <c r="AD34" s="190">
        <v>15480</v>
      </c>
      <c r="AE34" s="190">
        <v>0</v>
      </c>
      <c r="AF34" s="190">
        <v>3000</v>
      </c>
      <c r="AG34" s="190">
        <v>3000</v>
      </c>
      <c r="AH34" s="190">
        <v>0</v>
      </c>
      <c r="AI34" s="190">
        <v>0</v>
      </c>
      <c r="AJ34" s="190">
        <v>0</v>
      </c>
      <c r="AK34" s="190" t="str">
        <v xml:space="preserve">왕특A </v>
      </c>
      <c r="AL34" s="190">
        <v>0</v>
      </c>
      <c r="AM34" s="173">
        <v>3700</v>
      </c>
      <c r="AN34" s="173">
        <v>2365</v>
      </c>
      <c r="AO34" s="206">
        <v>18480</v>
      </c>
      <c r="AP34" s="206">
        <v>12460</v>
      </c>
      <c r="AQ34" s="173">
        <v>755</v>
      </c>
      <c r="AR34" s="173">
        <v>5265</v>
      </c>
      <c r="AS34" s="173">
        <v>0.28489999999999999</v>
      </c>
      <c r="AT34" s="173">
        <v>0</v>
      </c>
      <c r="AU34" s="173" t="str">
        <v>ptDB47</v>
      </c>
      <c r="AV34" s="173">
        <v>0</v>
      </c>
      <c r="AW34" s="173">
        <v>18480</v>
      </c>
      <c r="AX34" s="173">
        <v>12460</v>
      </c>
      <c r="AY34" s="173">
        <v>755</v>
      </c>
      <c r="AZ34" s="173">
        <v>5265</v>
      </c>
      <c r="BA34" s="173">
        <v>0.28489999999999999</v>
      </c>
      <c r="BB34" s="173" t="str">
        <v/>
      </c>
      <c r="BC34" s="173">
        <v>0</v>
      </c>
      <c r="BD34" s="156">
        <v>9460</v>
      </c>
      <c r="BF34" s="156">
        <v>58</v>
      </c>
      <c r="BG34" s="156" t="str">
        <v>비닐팩토리</v>
      </c>
      <c r="BH34" s="198">
        <v>45448</v>
      </c>
      <c r="BI34" s="199" t="str">
        <v>45470453</v>
      </c>
      <c r="BJ34" s="199" t="str">
        <v>대표</v>
      </c>
      <c r="BK34" s="199">
        <v>0</v>
      </c>
      <c r="BL34" s="199">
        <v>0</v>
      </c>
      <c r="BM34" s="199">
        <v>0</v>
      </c>
      <c r="BN34" s="198">
        <v>45448</v>
      </c>
      <c r="BO34" s="199" t="str">
        <v>CJ대한통운</v>
      </c>
      <c r="BP34" s="199" t="str">
        <v>530215380001</v>
      </c>
      <c r="BQ34" s="199">
        <v>0</v>
      </c>
      <c r="BR34" s="199" t="str">
        <v>SE.1000</v>
      </c>
      <c r="BS34" s="199" t="str">
        <v>투명</v>
      </c>
      <c r="BT34" s="199">
        <v>3</v>
      </c>
      <c r="BU34" s="199" t="str">
        <v>이동한</v>
      </c>
      <c r="BV34" s="199" t="str">
        <v>010-4902-5844</v>
      </c>
      <c r="BW34" s="199">
        <v>0</v>
      </c>
      <c r="BX34" s="199" t="str">
        <v>경북 성주군 월항면 안포1길 34</v>
      </c>
      <c r="BY34" s="199">
        <v>0</v>
      </c>
      <c r="BZ34" s="199">
        <v>0</v>
      </c>
      <c r="CA34" s="273">
        <v>0</v>
      </c>
      <c r="CB34" s="199">
        <v>0</v>
      </c>
      <c r="CC34" s="199">
        <v>0</v>
      </c>
      <c r="CD34" s="199">
        <v>0</v>
      </c>
      <c r="CE34" s="200">
        <v>5500</v>
      </c>
      <c r="CF34" s="200">
        <v>0</v>
      </c>
      <c r="CG34" s="200">
        <v>0</v>
      </c>
      <c r="CH34" s="200">
        <v>0</v>
      </c>
      <c r="CI34" s="200" t="str">
        <v>대표</v>
      </c>
      <c r="CJ34" s="200" t="str">
        <v>재구매</v>
      </c>
      <c r="CK34" s="200">
        <v>0</v>
      </c>
      <c r="CL34" s="200">
        <v>0</v>
      </c>
      <c r="CM34" s="200">
        <v>0</v>
      </c>
      <c r="CN34" s="156">
        <v>0</v>
      </c>
      <c r="CO34" s="156">
        <v>0</v>
      </c>
      <c r="CP34" s="156">
        <v>0</v>
      </c>
      <c r="CQ34" s="156">
        <v>0</v>
      </c>
      <c r="CR34" s="156">
        <v>0</v>
      </c>
      <c r="CS34" s="156" t="str">
        <v>ptDB47</v>
      </c>
      <c r="CT34" s="156">
        <v>0</v>
      </c>
      <c r="CU34" s="156">
        <v>0</v>
      </c>
      <c r="CV34" s="156">
        <v>0</v>
      </c>
      <c r="CW34" s="156">
        <v>0</v>
      </c>
      <c r="CX34" s="156">
        <v>0</v>
      </c>
      <c r="CY34" s="156">
        <v>0</v>
      </c>
      <c r="CZ34" s="156" t="str">
        <v/>
      </c>
      <c r="DA34" s="156">
        <v>0</v>
      </c>
      <c r="DB34" s="156">
        <v>0</v>
      </c>
    </row>
    <row r="35" spans="2:106" ht="18" customHeight="1">
      <c r="B35" s="159">
        <v>22</v>
      </c>
      <c r="C35" s="161" cm="1">
        <f t="array" ref="C35">SUMPRODUCT(--(ISNUMBER(SEARCH(DATE($B$6,$E$6,$B35),출고표[발송일]))),출고표[거래처지급액],--(ISNUMBER(SEARCH($C$13,출고표[쇼핑몰구분]))))</f>
        <v>0</v>
      </c>
      <c r="D35" s="161" cm="1">
        <f t="array" ref="D35">SUMPRODUCT(--(ISNUMBER(SEARCH(DATE($B$6,$E$6,$B35),출고표[발송일]))),출고표[총판매금액],--(ISNUMBER(SEARCH($C$13,출고표[쇼핑몰구분]))))</f>
        <v>0</v>
      </c>
      <c r="E35" s="161" cm="1">
        <f t="array" ref="E35">SUMPRODUCT(--(ISNUMBER(SEARCH(DATE($B$6,$E$6,$B35),출고표[발송일]))),출고표[총판매금액],--(ISNUMBER(SEARCH($E$13,출고표[쇼핑몰구분]))))</f>
        <v>0</v>
      </c>
      <c r="H35" s="173">
        <v>63</v>
      </c>
      <c r="I35" s="156" t="str">
        <v>비닐스토리</v>
      </c>
      <c r="J35" s="177">
        <v>45447</v>
      </c>
      <c r="K35" s="176" t="str">
        <v>2024060414211401</v>
      </c>
      <c r="L35" s="176" t="str">
        <v>스마트 스토어</v>
      </c>
      <c r="M35" s="176" t="str">
        <v>장미미</v>
      </c>
      <c r="N35" s="176" t="str">
        <v>alal****</v>
      </c>
      <c r="O35" s="177" t="str">
        <v>010-9415-1378</v>
      </c>
      <c r="P35" s="177">
        <v>45448</v>
      </c>
      <c r="Q35" s="176" t="str">
        <v>CJ대한통운</v>
      </c>
      <c r="R35" s="176" t="str">
        <v>540214280673</v>
      </c>
      <c r="S35" s="178">
        <v>0</v>
      </c>
      <c r="T35" s="176" t="str">
        <v>SE.303</v>
      </c>
      <c r="U35" s="176" t="str">
        <v>투명</v>
      </c>
      <c r="V35" s="176">
        <v>1</v>
      </c>
      <c r="W35" s="176" t="str">
        <v>장미미</v>
      </c>
      <c r="X35" s="176" t="str">
        <v>010-9415-1378</v>
      </c>
      <c r="Y35" s="176">
        <v>0</v>
      </c>
      <c r="Z35" s="176" t="str">
        <v>경기도 양평군 양동면 양동역길 9 (양동면) 역전방앗간</v>
      </c>
      <c r="AA35" s="190">
        <v>0</v>
      </c>
      <c r="AB35" s="190">
        <v>0</v>
      </c>
      <c r="AC35" s="277">
        <v>0</v>
      </c>
      <c r="AD35" s="190">
        <v>22190</v>
      </c>
      <c r="AE35" s="190">
        <v>2470</v>
      </c>
      <c r="AF35" s="190">
        <v>3000</v>
      </c>
      <c r="AG35" s="190">
        <v>3000</v>
      </c>
      <c r="AH35" s="190">
        <v>0</v>
      </c>
      <c r="AI35" s="190">
        <v>0</v>
      </c>
      <c r="AJ35" s="190">
        <v>0</v>
      </c>
      <c r="AK35" s="190" t="str">
        <v>떡외겹 25*25</v>
      </c>
      <c r="AL35" s="190">
        <v>0</v>
      </c>
      <c r="AM35" s="173">
        <v>23290</v>
      </c>
      <c r="AN35" s="173">
        <v>15070</v>
      </c>
      <c r="AO35" s="206">
        <v>25190</v>
      </c>
      <c r="AP35" s="206">
        <v>18070</v>
      </c>
      <c r="AQ35" s="173">
        <v>1022</v>
      </c>
      <c r="AR35" s="173">
        <v>6098</v>
      </c>
      <c r="AS35" s="173">
        <v>0.24210000000000001</v>
      </c>
      <c r="AT35" s="173">
        <v>0</v>
      </c>
      <c r="AU35" s="173" t="str">
        <v>ptDB47</v>
      </c>
      <c r="AV35" s="173">
        <v>0</v>
      </c>
      <c r="AW35" s="173">
        <v>25190</v>
      </c>
      <c r="AX35" s="173">
        <v>18070</v>
      </c>
      <c r="AY35" s="173">
        <v>1022</v>
      </c>
      <c r="AZ35" s="173">
        <v>6098</v>
      </c>
      <c r="BA35" s="173">
        <v>0.24210000000000001</v>
      </c>
      <c r="BB35" s="173" t="str">
        <v/>
      </c>
      <c r="BC35" s="173">
        <v>0</v>
      </c>
      <c r="BD35" s="156">
        <v>15070</v>
      </c>
      <c r="BF35" s="156">
        <v>59</v>
      </c>
      <c r="BG35" s="156" t="str">
        <v>비닐팩토리</v>
      </c>
      <c r="BH35" s="198">
        <v>45448</v>
      </c>
      <c r="BI35" s="199" t="str">
        <v>45470870</v>
      </c>
      <c r="BJ35" s="199" t="str">
        <v>대표</v>
      </c>
      <c r="BK35" s="199">
        <v>0</v>
      </c>
      <c r="BL35" s="199">
        <v>0</v>
      </c>
      <c r="BM35" s="199">
        <v>0</v>
      </c>
      <c r="BN35" s="198">
        <v>45448</v>
      </c>
      <c r="BO35" s="199" t="str">
        <v>CJ대한통운</v>
      </c>
      <c r="BP35" s="199" t="str">
        <v>540214280603</v>
      </c>
      <c r="BQ35" s="199">
        <v>0</v>
      </c>
      <c r="BR35" s="199" t="str">
        <v>SE.1000</v>
      </c>
      <c r="BS35" s="199" t="str">
        <v>투명</v>
      </c>
      <c r="BT35" s="199">
        <v>1</v>
      </c>
      <c r="BU35" s="199" t="str">
        <v>풍년농약사</v>
      </c>
      <c r="BV35" s="199" t="str">
        <v>010-2049-5007</v>
      </c>
      <c r="BW35" s="199">
        <v>0</v>
      </c>
      <c r="BX35" s="199" t="str">
        <v>경북 포항시 남구 오천읍 장기로 1688-1 풍년농약사</v>
      </c>
      <c r="BY35" s="199">
        <v>0</v>
      </c>
      <c r="BZ35" s="199">
        <v>0</v>
      </c>
      <c r="CA35" s="273">
        <v>0</v>
      </c>
      <c r="CB35" s="199">
        <v>0</v>
      </c>
      <c r="CC35" s="199">
        <v>0</v>
      </c>
      <c r="CD35" s="199">
        <v>0</v>
      </c>
      <c r="CE35" s="200">
        <v>0</v>
      </c>
      <c r="CF35" s="200">
        <v>0</v>
      </c>
      <c r="CG35" s="200">
        <v>0</v>
      </c>
      <c r="CH35" s="200">
        <v>0</v>
      </c>
      <c r="CI35" s="200" t="str">
        <v>대표</v>
      </c>
      <c r="CJ35" s="200" t="str">
        <v>재구매</v>
      </c>
      <c r="CK35" s="200">
        <v>0</v>
      </c>
      <c r="CL35" s="200">
        <v>0</v>
      </c>
      <c r="CM35" s="200">
        <v>0</v>
      </c>
      <c r="CN35" s="156">
        <v>0</v>
      </c>
      <c r="CO35" s="156">
        <v>0</v>
      </c>
      <c r="CP35" s="156">
        <v>0</v>
      </c>
      <c r="CQ35" s="156">
        <v>0</v>
      </c>
      <c r="CR35" s="156">
        <v>0</v>
      </c>
      <c r="CS35" s="156" t="str">
        <v>ptDB47</v>
      </c>
      <c r="CT35" s="156">
        <v>0</v>
      </c>
      <c r="CU35" s="156">
        <v>0</v>
      </c>
      <c r="CV35" s="156">
        <v>0</v>
      </c>
      <c r="CW35" s="156">
        <v>0</v>
      </c>
      <c r="CX35" s="156">
        <v>0</v>
      </c>
      <c r="CY35" s="156">
        <v>0</v>
      </c>
      <c r="CZ35" s="156" t="str">
        <v/>
      </c>
      <c r="DA35" s="156">
        <v>0</v>
      </c>
      <c r="DB35" s="156">
        <v>0</v>
      </c>
    </row>
    <row r="36" spans="2:106" ht="18" customHeight="1">
      <c r="B36" s="159">
        <v>23</v>
      </c>
      <c r="C36" s="161" cm="1">
        <f t="array" ref="C36">SUMPRODUCT(--(ISNUMBER(SEARCH(DATE($B$6,$E$6,$B36),출고표[발송일]))),출고표[거래처지급액],--(ISNUMBER(SEARCH($C$13,출고표[쇼핑몰구분]))))</f>
        <v>0</v>
      </c>
      <c r="D36" s="161" cm="1">
        <f t="array" ref="D36">SUMPRODUCT(--(ISNUMBER(SEARCH(DATE($B$6,$E$6,$B36),출고표[발송일]))),출고표[총판매금액],--(ISNUMBER(SEARCH($C$13,출고표[쇼핑몰구분]))))</f>
        <v>0</v>
      </c>
      <c r="E36" s="161" cm="1">
        <f t="array" ref="E36">SUMPRODUCT(--(ISNUMBER(SEARCH(DATE($B$6,$E$6,$B36),출고표[발송일]))),출고표[총판매금액],--(ISNUMBER(SEARCH($E$13,출고표[쇼핑몰구분]))))</f>
        <v>0</v>
      </c>
      <c r="H36" s="173">
        <v>67</v>
      </c>
      <c r="I36" s="156" t="str">
        <v>비닐스토리</v>
      </c>
      <c r="J36" s="177">
        <v>45447</v>
      </c>
      <c r="K36" s="176" t="str">
        <v>17100051349040</v>
      </c>
      <c r="L36" s="176" t="str">
        <v>쿠팡</v>
      </c>
      <c r="M36" s="176" t="str">
        <v>유윤정</v>
      </c>
      <c r="N36" s="176" t="str">
        <v>bu*****@ka</v>
      </c>
      <c r="O36" s="177" t="str">
        <v>0504-4333-5093</v>
      </c>
      <c r="P36" s="177">
        <v>45448</v>
      </c>
      <c r="Q36" s="176" t="str">
        <v>CJ대한통운</v>
      </c>
      <c r="R36" s="176" t="str">
        <v>540214280640</v>
      </c>
      <c r="S36" s="178">
        <v>0</v>
      </c>
      <c r="T36" s="176" t="str">
        <v>SE.102</v>
      </c>
      <c r="U36" s="176" t="str">
        <v>투명</v>
      </c>
      <c r="V36" s="176">
        <v>10</v>
      </c>
      <c r="W36" s="176" t="str">
        <v>유윤정</v>
      </c>
      <c r="X36" s="176" t="str">
        <v>0504-4333-5093</v>
      </c>
      <c r="Y36" s="176">
        <v>0</v>
      </c>
      <c r="Z36" s="176" t="str">
        <v>경기도 안양시 만안구 안양동 190-6 광신프로그레스리버뷰203동702호</v>
      </c>
      <c r="AA36" s="190" t="str">
        <v>문 앞</v>
      </c>
      <c r="AB36" s="190">
        <v>0</v>
      </c>
      <c r="AC36" s="277">
        <v>0</v>
      </c>
      <c r="AD36" s="190">
        <v>11500</v>
      </c>
      <c r="AE36" s="190">
        <v>0</v>
      </c>
      <c r="AF36" s="190">
        <v>3000</v>
      </c>
      <c r="AG36" s="190">
        <v>3000</v>
      </c>
      <c r="AH36" s="190">
        <v>0</v>
      </c>
      <c r="AI36" s="190">
        <v>0</v>
      </c>
      <c r="AJ36" s="190">
        <v>0</v>
      </c>
      <c r="AK36" s="190" t="str">
        <v>소폭 12*26</v>
      </c>
      <c r="AL36" s="190">
        <v>0</v>
      </c>
      <c r="AM36" s="173">
        <v>1070</v>
      </c>
      <c r="AN36" s="173">
        <v>660</v>
      </c>
      <c r="AO36" s="206">
        <v>14500</v>
      </c>
      <c r="AP36" s="206">
        <v>9600</v>
      </c>
      <c r="AQ36" s="173">
        <v>1465</v>
      </c>
      <c r="AR36" s="173">
        <v>3435</v>
      </c>
      <c r="AS36" s="173">
        <v>0.2369</v>
      </c>
      <c r="AT36" s="173">
        <v>0</v>
      </c>
      <c r="AU36" s="173" t="str">
        <v>ptDB47</v>
      </c>
      <c r="AV36" s="173">
        <v>0</v>
      </c>
      <c r="AW36" s="173">
        <v>14500</v>
      </c>
      <c r="AX36" s="173">
        <v>9600</v>
      </c>
      <c r="AY36" s="173">
        <v>1465</v>
      </c>
      <c r="AZ36" s="173">
        <v>3435</v>
      </c>
      <c r="BA36" s="173">
        <v>0.2369</v>
      </c>
      <c r="BB36" s="173" t="str">
        <v/>
      </c>
      <c r="BC36" s="173">
        <v>0</v>
      </c>
      <c r="BD36" s="156">
        <v>6600</v>
      </c>
      <c r="BF36" s="156">
        <v>64</v>
      </c>
      <c r="BG36" s="156" t="str">
        <v>비닐팩토리</v>
      </c>
      <c r="BH36" s="198">
        <v>45448</v>
      </c>
      <c r="BI36" s="199" t="str">
        <v>2024060552559121</v>
      </c>
      <c r="BJ36" s="199" t="str">
        <v>스마트 스토어</v>
      </c>
      <c r="BK36" s="199" t="str">
        <v>방현진</v>
      </c>
      <c r="BL36" s="199" t="str">
        <v>litt****</v>
      </c>
      <c r="BM36" s="199" t="str">
        <v>010-8671-1750</v>
      </c>
      <c r="BN36" s="198">
        <v>45448</v>
      </c>
      <c r="BO36" s="199" t="str">
        <v>CJ대한통운</v>
      </c>
      <c r="BP36" s="199" t="str">
        <v>540214302620</v>
      </c>
      <c r="BQ36" s="199">
        <v>0</v>
      </c>
      <c r="BR36" s="199" t="str">
        <v>SE.206</v>
      </c>
      <c r="BS36" s="199" t="str">
        <v>투명</v>
      </c>
      <c r="BT36" s="199">
        <v>3</v>
      </c>
      <c r="BU36" s="199" t="str">
        <v>방현진</v>
      </c>
      <c r="BV36" s="199" t="str">
        <v>010-8671-1750</v>
      </c>
      <c r="BW36" s="199" t="str">
        <v>041-632-9497</v>
      </c>
      <c r="BX36" s="199" t="str">
        <v>충청남도 홍성군 홍북면 내용길275번길 9 내덕리 564-2</v>
      </c>
      <c r="BY36" s="199">
        <v>0</v>
      </c>
      <c r="BZ36" s="199">
        <v>0</v>
      </c>
      <c r="CA36" s="273">
        <v>0</v>
      </c>
      <c r="CB36" s="199">
        <v>85200</v>
      </c>
      <c r="CC36" s="199">
        <v>0</v>
      </c>
      <c r="CD36" s="199">
        <v>0</v>
      </c>
      <c r="CE36" s="200">
        <v>0</v>
      </c>
      <c r="CF36" s="200">
        <v>0</v>
      </c>
      <c r="CG36" s="200">
        <v>0</v>
      </c>
      <c r="CH36" s="200">
        <v>0</v>
      </c>
      <c r="CI36" s="200" t="str">
        <v>떡롤 45*330</v>
      </c>
      <c r="CJ36" s="200">
        <v>0</v>
      </c>
      <c r="CK36" s="200">
        <v>28800</v>
      </c>
      <c r="CL36" s="200">
        <v>19800</v>
      </c>
      <c r="CM36" s="200">
        <v>85200</v>
      </c>
      <c r="CN36" s="156">
        <v>0</v>
      </c>
      <c r="CO36" s="156">
        <v>4361</v>
      </c>
      <c r="CP36" s="156">
        <v>0</v>
      </c>
      <c r="CQ36" s="156">
        <v>0</v>
      </c>
      <c r="CR36" s="156">
        <v>0</v>
      </c>
      <c r="CS36" s="156" t="str">
        <v>ptDB47</v>
      </c>
      <c r="CT36" s="156">
        <v>0</v>
      </c>
      <c r="CU36" s="156">
        <v>85200</v>
      </c>
      <c r="CV36" s="156">
        <v>0</v>
      </c>
      <c r="CW36" s="156">
        <v>4361</v>
      </c>
      <c r="CX36" s="156">
        <v>0</v>
      </c>
      <c r="CY36" s="156">
        <v>0</v>
      </c>
      <c r="CZ36" s="156" t="str">
        <v/>
      </c>
      <c r="DA36" s="156">
        <v>0</v>
      </c>
      <c r="DB36" s="156">
        <v>59400</v>
      </c>
    </row>
    <row r="37" spans="2:106" ht="18" customHeight="1">
      <c r="B37" s="159">
        <v>24</v>
      </c>
      <c r="C37" s="161" cm="1">
        <f t="array" ref="C37">SUMPRODUCT(--(ISNUMBER(SEARCH(DATE($B$6,$E$6,$B37),출고표[발송일]))),출고표[거래처지급액],--(ISNUMBER(SEARCH($C$13,출고표[쇼핑몰구분]))))</f>
        <v>0</v>
      </c>
      <c r="D37" s="161" cm="1">
        <f t="array" ref="D37">SUMPRODUCT(--(ISNUMBER(SEARCH(DATE($B$6,$E$6,$B37),출고표[발송일]))),출고표[총판매금액],--(ISNUMBER(SEARCH($C$13,출고표[쇼핑몰구분]))))</f>
        <v>0</v>
      </c>
      <c r="E37" s="161" cm="1">
        <f t="array" ref="E37">SUMPRODUCT(--(ISNUMBER(SEARCH(DATE($B$6,$E$6,$B37),출고표[발송일]))),출고표[총판매금액],--(ISNUMBER(SEARCH($E$13,출고표[쇼핑몰구분]))))</f>
        <v>0</v>
      </c>
      <c r="H37" s="173">
        <v>68</v>
      </c>
      <c r="I37" s="156" t="str">
        <v>비닐스토리</v>
      </c>
      <c r="J37" s="177">
        <v>45447</v>
      </c>
      <c r="K37" s="176" t="str">
        <v>24100051338432</v>
      </c>
      <c r="L37" s="176" t="str">
        <v>쿠팡</v>
      </c>
      <c r="M37" s="176" t="str">
        <v>고성관</v>
      </c>
      <c r="N37" s="176" t="str">
        <v>dk*****@na</v>
      </c>
      <c r="O37" s="177" t="str">
        <v>0502-4654-2053</v>
      </c>
      <c r="P37" s="177">
        <v>45448</v>
      </c>
      <c r="Q37" s="176" t="str">
        <v>CJ대한통운</v>
      </c>
      <c r="R37" s="176" t="str">
        <v>530215273796</v>
      </c>
      <c r="S37" s="178">
        <v>0</v>
      </c>
      <c r="T37" s="176" t="str">
        <v>SE.307</v>
      </c>
      <c r="U37" s="176" t="str">
        <v>투명</v>
      </c>
      <c r="V37" s="176">
        <v>1</v>
      </c>
      <c r="W37" s="176" t="str">
        <v>을찌로떡볶이</v>
      </c>
      <c r="X37" s="176" t="str">
        <v>0502-4654-2053</v>
      </c>
      <c r="Y37" s="176">
        <v>0</v>
      </c>
      <c r="Z37" s="176" t="str">
        <v>경기도 광명시 안재로6번길 24 1층 을찌로떡볶이 ( 하안동 )</v>
      </c>
      <c r="AA37" s="190" t="str">
        <v>문 앞</v>
      </c>
      <c r="AB37" s="190">
        <v>0</v>
      </c>
      <c r="AC37" s="277">
        <v>0</v>
      </c>
      <c r="AD37" s="190">
        <v>12470</v>
      </c>
      <c r="AE37" s="190">
        <v>0</v>
      </c>
      <c r="AF37" s="190">
        <v>3000</v>
      </c>
      <c r="AG37" s="190">
        <v>3000</v>
      </c>
      <c r="AH37" s="190">
        <v>0</v>
      </c>
      <c r="AI37" s="190">
        <v>0</v>
      </c>
      <c r="AJ37" s="190">
        <v>0</v>
      </c>
      <c r="AK37" s="190" t="str">
        <v>떡외겹 30*30</v>
      </c>
      <c r="AL37" s="190">
        <v>0</v>
      </c>
      <c r="AM37" s="173">
        <v>11780</v>
      </c>
      <c r="AN37" s="173">
        <v>7260</v>
      </c>
      <c r="AO37" s="206">
        <v>15470</v>
      </c>
      <c r="AP37" s="206">
        <v>10260</v>
      </c>
      <c r="AQ37" s="173">
        <v>1580</v>
      </c>
      <c r="AR37" s="173">
        <v>3630</v>
      </c>
      <c r="AS37" s="173">
        <v>0.2346</v>
      </c>
      <c r="AT37" s="173">
        <v>0</v>
      </c>
      <c r="AU37" s="173" t="str">
        <v>ptDB47</v>
      </c>
      <c r="AV37" s="173">
        <v>0</v>
      </c>
      <c r="AW37" s="173">
        <v>15470</v>
      </c>
      <c r="AX37" s="173">
        <v>10260</v>
      </c>
      <c r="AY37" s="173">
        <v>1580</v>
      </c>
      <c r="AZ37" s="173">
        <v>3630</v>
      </c>
      <c r="BA37" s="173">
        <v>0.2346</v>
      </c>
      <c r="BB37" s="173" t="str">
        <v/>
      </c>
      <c r="BC37" s="173">
        <v>0</v>
      </c>
      <c r="BD37" s="156">
        <v>7260</v>
      </c>
      <c r="BF37" s="156">
        <v>65</v>
      </c>
      <c r="BG37" s="156" t="str">
        <v>비닐팩토리</v>
      </c>
      <c r="BH37" s="198">
        <v>45448</v>
      </c>
      <c r="BI37" s="199" t="str">
        <v>2024060550366461</v>
      </c>
      <c r="BJ37" s="199" t="str">
        <v>스마트 스토어</v>
      </c>
      <c r="BK37" s="199" t="str">
        <v>신성자</v>
      </c>
      <c r="BL37" s="199" t="str">
        <v>mipe****</v>
      </c>
      <c r="BM37" s="199" t="str">
        <v>010-4806-1561</v>
      </c>
      <c r="BN37" s="198">
        <v>45448</v>
      </c>
      <c r="BO37" s="199" t="str">
        <v>CJ대한통운</v>
      </c>
      <c r="BP37" s="199" t="str">
        <v>530215273844</v>
      </c>
      <c r="BQ37" s="199">
        <v>0</v>
      </c>
      <c r="BR37" s="199" t="str">
        <v>SE.204</v>
      </c>
      <c r="BS37" s="199" t="str">
        <v>투명</v>
      </c>
      <c r="BT37" s="199">
        <v>1</v>
      </c>
      <c r="BU37" s="199" t="str">
        <v>신성자</v>
      </c>
      <c r="BV37" s="199" t="str">
        <v>010-4806-1561</v>
      </c>
      <c r="BW37" s="199">
        <v>0</v>
      </c>
      <c r="BX37" s="199" t="str">
        <v>서울특별시 양천구 목동동로8길 33 (신정동) 1층</v>
      </c>
      <c r="BY37" s="199" t="str">
        <v>1층가게 문앞에 두고가세여</v>
      </c>
      <c r="BZ37" s="199">
        <v>0</v>
      </c>
      <c r="CA37" s="273">
        <v>0</v>
      </c>
      <c r="CB37" s="199">
        <v>20800</v>
      </c>
      <c r="CC37" s="199">
        <v>0</v>
      </c>
      <c r="CD37" s="199">
        <v>3000</v>
      </c>
      <c r="CE37" s="200">
        <v>3000</v>
      </c>
      <c r="CF37" s="200">
        <v>0</v>
      </c>
      <c r="CG37" s="200">
        <v>0</v>
      </c>
      <c r="CH37" s="200">
        <v>0</v>
      </c>
      <c r="CI37" s="200" t="str">
        <v>떡롤 30*400</v>
      </c>
      <c r="CJ37" s="200">
        <v>0</v>
      </c>
      <c r="CK37" s="200">
        <v>20800</v>
      </c>
      <c r="CL37" s="200">
        <v>14300</v>
      </c>
      <c r="CM37" s="200">
        <v>23800</v>
      </c>
      <c r="CN37" s="156">
        <v>0</v>
      </c>
      <c r="CO37" s="156">
        <v>1214</v>
      </c>
      <c r="CP37" s="156">
        <v>0</v>
      </c>
      <c r="CQ37" s="156">
        <v>0</v>
      </c>
      <c r="CR37" s="156">
        <v>0</v>
      </c>
      <c r="CS37" s="156" t="str">
        <v>ptDB47</v>
      </c>
      <c r="CT37" s="156">
        <v>0</v>
      </c>
      <c r="CU37" s="156">
        <v>23800</v>
      </c>
      <c r="CV37" s="156">
        <v>0</v>
      </c>
      <c r="CW37" s="156">
        <v>1214</v>
      </c>
      <c r="CX37" s="156">
        <v>0</v>
      </c>
      <c r="CY37" s="156">
        <v>0</v>
      </c>
      <c r="CZ37" s="156" t="str">
        <v/>
      </c>
      <c r="DA37" s="156">
        <v>0</v>
      </c>
      <c r="DB37" s="156">
        <v>14300</v>
      </c>
    </row>
    <row r="38" spans="2:106" ht="18" customHeight="1">
      <c r="B38" s="159">
        <v>25</v>
      </c>
      <c r="C38" s="161" cm="1">
        <f t="array" ref="C38">SUMPRODUCT(--(ISNUMBER(SEARCH(DATE($B$6,$E$6,$B38),출고표[발송일]))),출고표[거래처지급액],--(ISNUMBER(SEARCH($C$13,출고표[쇼핑몰구분]))))</f>
        <v>0</v>
      </c>
      <c r="D38" s="161" cm="1">
        <f t="array" ref="D38">SUMPRODUCT(--(ISNUMBER(SEARCH(DATE($B$6,$E$6,$B38),출고표[발송일]))),출고표[총판매금액],--(ISNUMBER(SEARCH($C$13,출고표[쇼핑몰구분]))))</f>
        <v>0</v>
      </c>
      <c r="E38" s="161" cm="1">
        <f t="array" ref="E38">SUMPRODUCT(--(ISNUMBER(SEARCH(DATE($B$6,$E$6,$B38),출고표[발송일]))),출고표[총판매금액],--(ISNUMBER(SEARCH($E$13,출고표[쇼핑몰구분]))))</f>
        <v>0</v>
      </c>
      <c r="H38" s="173">
        <v>77</v>
      </c>
      <c r="I38" s="156" t="str">
        <v>비닐스토리</v>
      </c>
      <c r="J38" s="177">
        <v>45450</v>
      </c>
      <c r="K38" s="176" t="str">
        <v>2024060719461551</v>
      </c>
      <c r="L38" s="176" t="str">
        <v>스마트 스토어</v>
      </c>
      <c r="M38" s="176" t="str">
        <v>이재영</v>
      </c>
      <c r="N38" s="176" t="str">
        <v>usal****</v>
      </c>
      <c r="O38" s="177" t="str">
        <v>010-9358-1362</v>
      </c>
      <c r="P38" s="177">
        <v>45450</v>
      </c>
      <c r="Q38" s="176" t="str">
        <v>CJ대한통운</v>
      </c>
      <c r="R38" s="176" t="str">
        <v>540215391525</v>
      </c>
      <c r="S38" s="178">
        <v>0</v>
      </c>
      <c r="T38" s="176" t="str">
        <v>SE.21</v>
      </c>
      <c r="U38" s="176" t="str">
        <v>유백</v>
      </c>
      <c r="V38" s="176">
        <v>5</v>
      </c>
      <c r="W38" s="176" t="str">
        <v>더리터 경산 사동점</v>
      </c>
      <c r="X38" s="176" t="str">
        <v>053-814-3337</v>
      </c>
      <c r="Y38" s="176">
        <v>0</v>
      </c>
      <c r="Z38" s="176" t="str">
        <v>경상북도 경산시 백자로 61 (사동) 106호(더리터 경산 사동점)</v>
      </c>
      <c r="AA38" s="190">
        <v>0</v>
      </c>
      <c r="AB38" s="190">
        <v>0</v>
      </c>
      <c r="AC38" s="277">
        <v>0</v>
      </c>
      <c r="AD38" s="190">
        <v>18900</v>
      </c>
      <c r="AE38" s="190">
        <v>0</v>
      </c>
      <c r="AF38" s="190">
        <v>3000</v>
      </c>
      <c r="AG38" s="190">
        <v>3000</v>
      </c>
      <c r="AH38" s="190">
        <v>0</v>
      </c>
      <c r="AI38" s="190">
        <v>0</v>
      </c>
      <c r="AJ38" s="190">
        <v>0</v>
      </c>
      <c r="AK38" s="190" t="str">
        <v>왕특B</v>
      </c>
      <c r="AL38" s="190">
        <v>0</v>
      </c>
      <c r="AM38" s="173">
        <v>3620</v>
      </c>
      <c r="AN38" s="173">
        <v>2310</v>
      </c>
      <c r="AO38" s="206">
        <v>21900</v>
      </c>
      <c r="AP38" s="206">
        <v>14550</v>
      </c>
      <c r="AQ38" s="173">
        <v>891</v>
      </c>
      <c r="AR38" s="173">
        <v>6459</v>
      </c>
      <c r="AS38" s="173">
        <v>0.2949</v>
      </c>
      <c r="AT38" s="173">
        <v>0</v>
      </c>
      <c r="AU38" s="173" t="str">
        <v>ptDB47</v>
      </c>
      <c r="AV38" s="173">
        <v>0</v>
      </c>
      <c r="AW38" s="173">
        <v>21900</v>
      </c>
      <c r="AX38" s="173">
        <v>14550</v>
      </c>
      <c r="AY38" s="173">
        <v>891</v>
      </c>
      <c r="AZ38" s="173">
        <v>6459</v>
      </c>
      <c r="BA38" s="173">
        <v>0.2949</v>
      </c>
      <c r="BB38" s="173" t="str">
        <v/>
      </c>
      <c r="BC38" s="173">
        <v>0</v>
      </c>
      <c r="BD38" s="156">
        <v>11550</v>
      </c>
      <c r="BF38" s="156">
        <v>66</v>
      </c>
      <c r="BG38" s="156" t="str">
        <v>비닐팩토리</v>
      </c>
      <c r="BH38" s="198">
        <v>45447</v>
      </c>
      <c r="BI38" s="199" t="str">
        <v>29100051408736</v>
      </c>
      <c r="BJ38" s="199" t="str">
        <v>쿠팡</v>
      </c>
      <c r="BK38" s="199" t="str">
        <v>PIAO SHUNDAO</v>
      </c>
      <c r="BL38" s="199" t="str">
        <v>pi*****@na</v>
      </c>
      <c r="BM38" s="199" t="str">
        <v>0502-4630-5725</v>
      </c>
      <c r="BN38" s="198">
        <v>45448</v>
      </c>
      <c r="BO38" s="199" t="str">
        <v>CJ대한통운</v>
      </c>
      <c r="BP38" s="199" t="str">
        <v>530215273870</v>
      </c>
      <c r="BQ38" s="199">
        <v>0</v>
      </c>
      <c r="BR38" s="199" t="str">
        <v>SE.307</v>
      </c>
      <c r="BS38" s="199" t="str">
        <v>투명</v>
      </c>
      <c r="BT38" s="199">
        <v>10</v>
      </c>
      <c r="BU38" s="199" t="str">
        <v>황용해</v>
      </c>
      <c r="BV38" s="199" t="str">
        <v>0502-4630-5725</v>
      </c>
      <c r="BW38" s="199">
        <v>0</v>
      </c>
      <c r="BX38" s="199" t="str">
        <v>충청남도 천안시 동남구 천중3길 3 2층미스터용 ( 문화동 )</v>
      </c>
      <c r="BY38" s="199" t="str">
        <v>문 앞</v>
      </c>
      <c r="BZ38" s="199">
        <v>0</v>
      </c>
      <c r="CA38" s="273">
        <v>0</v>
      </c>
      <c r="CB38" s="199">
        <v>110900</v>
      </c>
      <c r="CC38" s="199">
        <v>0</v>
      </c>
      <c r="CD38" s="199">
        <v>0</v>
      </c>
      <c r="CE38" s="200">
        <v>0</v>
      </c>
      <c r="CF38" s="200">
        <v>0</v>
      </c>
      <c r="CG38" s="200">
        <v>0</v>
      </c>
      <c r="CH38" s="200">
        <v>0</v>
      </c>
      <c r="CI38" s="200" t="str">
        <v>떡외겹 30*30</v>
      </c>
      <c r="CJ38" s="200">
        <v>0</v>
      </c>
      <c r="CK38" s="200">
        <v>11090</v>
      </c>
      <c r="CL38" s="200">
        <v>7260</v>
      </c>
      <c r="CM38" s="200">
        <v>110900</v>
      </c>
      <c r="CN38" s="156">
        <v>0</v>
      </c>
      <c r="CO38" s="156">
        <v>13175</v>
      </c>
      <c r="CP38" s="156">
        <v>0</v>
      </c>
      <c r="CQ38" s="156">
        <v>0</v>
      </c>
      <c r="CR38" s="156">
        <v>0</v>
      </c>
      <c r="CS38" s="156" t="str">
        <v>ptDB47</v>
      </c>
      <c r="CT38" s="156">
        <v>0</v>
      </c>
      <c r="CU38" s="156">
        <v>110900</v>
      </c>
      <c r="CV38" s="156">
        <v>0</v>
      </c>
      <c r="CW38" s="156">
        <v>13175</v>
      </c>
      <c r="CX38" s="156">
        <v>0</v>
      </c>
      <c r="CY38" s="156">
        <v>0</v>
      </c>
      <c r="CZ38" s="156" t="str">
        <v/>
      </c>
      <c r="DA38" s="156">
        <v>0</v>
      </c>
      <c r="DB38" s="156">
        <v>72600</v>
      </c>
    </row>
    <row r="39" spans="2:106" ht="18" customHeight="1">
      <c r="B39" s="159">
        <v>26</v>
      </c>
      <c r="C39" s="161" cm="1">
        <f t="array" ref="C39">SUMPRODUCT(--(ISNUMBER(SEARCH(DATE($B$6,$E$6,$B39),출고표[발송일]))),출고표[거래처지급액],--(ISNUMBER(SEARCH($C$13,출고표[쇼핑몰구분]))))</f>
        <v>0</v>
      </c>
      <c r="D39" s="161" cm="1">
        <f t="array" ref="D39">SUMPRODUCT(--(ISNUMBER(SEARCH(DATE($B$6,$E$6,$B39),출고표[발송일]))),출고표[총판매금액],--(ISNUMBER(SEARCH($C$13,출고표[쇼핑몰구분]))))</f>
        <v>0</v>
      </c>
      <c r="E39" s="161" cm="1">
        <f t="array" ref="E39">SUMPRODUCT(--(ISNUMBER(SEARCH(DATE($B$6,$E$6,$B39),출고표[발송일]))),출고표[총판매금액],--(ISNUMBER(SEARCH($E$13,출고표[쇼핑몰구분]))))</f>
        <v>0</v>
      </c>
      <c r="H39" s="173">
        <v>78</v>
      </c>
      <c r="I39" s="156" t="str">
        <v>비닐스토리</v>
      </c>
      <c r="J39" s="177">
        <v>45450</v>
      </c>
      <c r="K39" s="176" t="str">
        <v>2024060715739931</v>
      </c>
      <c r="L39" s="176" t="str">
        <v>스마트 스토어</v>
      </c>
      <c r="M39" s="176" t="str">
        <v>최동호</v>
      </c>
      <c r="N39" s="176" t="str">
        <v>hoeh****</v>
      </c>
      <c r="O39" s="177" t="str">
        <v>010-3465-3768</v>
      </c>
      <c r="P39" s="177">
        <v>45450</v>
      </c>
      <c r="Q39" s="176" t="str">
        <v>CJ대한통운</v>
      </c>
      <c r="R39" s="176" t="str">
        <v>540215391433</v>
      </c>
      <c r="S39" s="178">
        <v>0</v>
      </c>
      <c r="T39" s="176" t="str">
        <v>SE.206</v>
      </c>
      <c r="U39" s="176" t="str">
        <v>투명</v>
      </c>
      <c r="V39" s="176">
        <v>1</v>
      </c>
      <c r="W39" s="176" t="str">
        <v>최동호</v>
      </c>
      <c r="X39" s="176" t="str">
        <v>010-3465-3768</v>
      </c>
      <c r="Y39" s="176">
        <v>0</v>
      </c>
      <c r="Z39" s="176" t="str">
        <v>충청북도 청주시 상당구 남일면 단재로 469 (남일면) 효자촌묵집</v>
      </c>
      <c r="AA39" s="190">
        <v>0</v>
      </c>
      <c r="AB39" s="190">
        <v>0</v>
      </c>
      <c r="AC39" s="277">
        <v>0</v>
      </c>
      <c r="AD39" s="190">
        <v>28620</v>
      </c>
      <c r="AE39" s="190">
        <v>3180</v>
      </c>
      <c r="AF39" s="190">
        <v>3000</v>
      </c>
      <c r="AG39" s="190">
        <v>3500</v>
      </c>
      <c r="AH39" s="190">
        <v>0</v>
      </c>
      <c r="AI39" s="190">
        <v>0</v>
      </c>
      <c r="AJ39" s="190">
        <v>0</v>
      </c>
      <c r="AK39" s="190" t="str">
        <v>떡롤 45*330</v>
      </c>
      <c r="AL39" s="190">
        <v>0</v>
      </c>
      <c r="AM39" s="173">
        <v>30600</v>
      </c>
      <c r="AN39" s="173">
        <v>19800</v>
      </c>
      <c r="AO39" s="206">
        <v>31620</v>
      </c>
      <c r="AP39" s="206">
        <v>23300</v>
      </c>
      <c r="AQ39" s="173">
        <v>1278</v>
      </c>
      <c r="AR39" s="173">
        <v>7042</v>
      </c>
      <c r="AS39" s="173">
        <v>0.22270000000000001</v>
      </c>
      <c r="AT39" s="173">
        <v>0</v>
      </c>
      <c r="AU39" s="173" t="str">
        <v>ptDB47</v>
      </c>
      <c r="AV39" s="173">
        <v>0</v>
      </c>
      <c r="AW39" s="173">
        <v>31620</v>
      </c>
      <c r="AX39" s="173">
        <v>23300</v>
      </c>
      <c r="AY39" s="173">
        <v>1278</v>
      </c>
      <c r="AZ39" s="173">
        <v>7042</v>
      </c>
      <c r="BA39" s="173">
        <v>0.22270000000000001</v>
      </c>
      <c r="BB39" s="173" t="str">
        <v/>
      </c>
      <c r="BC39" s="173">
        <v>0</v>
      </c>
      <c r="BD39" s="156">
        <v>19800</v>
      </c>
      <c r="BF39" s="156">
        <v>69</v>
      </c>
      <c r="BG39" s="156" t="str">
        <v>비닐팩토리</v>
      </c>
      <c r="BH39" s="198">
        <v>45450</v>
      </c>
      <c r="BI39" s="199" t="str">
        <v>45470585</v>
      </c>
      <c r="BJ39" s="199" t="str">
        <v>대표</v>
      </c>
      <c r="BK39" s="199">
        <v>0</v>
      </c>
      <c r="BL39" s="199">
        <v>0</v>
      </c>
      <c r="BM39" s="199">
        <v>0</v>
      </c>
      <c r="BN39" s="198">
        <v>45450</v>
      </c>
      <c r="BO39" s="199" t="str">
        <v>CJ대한통운</v>
      </c>
      <c r="BP39" s="199" t="str">
        <v>540215666102</v>
      </c>
      <c r="BQ39" s="199">
        <v>0</v>
      </c>
      <c r="BR39" s="199" t="str">
        <v>SE.1000</v>
      </c>
      <c r="BS39" s="199" t="str">
        <v>투명</v>
      </c>
      <c r="BT39" s="199">
        <v>1</v>
      </c>
      <c r="BU39" s="199" t="str">
        <v>효떡집</v>
      </c>
      <c r="BV39" s="199" t="str">
        <v>010-2104-9556</v>
      </c>
      <c r="BW39" s="199">
        <v>0</v>
      </c>
      <c r="BX39" s="199" t="str">
        <v>인천 남동구 논현동 771-7 1층 효떡집</v>
      </c>
      <c r="BY39" s="199">
        <v>0</v>
      </c>
      <c r="BZ39" s="199">
        <v>0</v>
      </c>
      <c r="CA39" s="273">
        <v>0</v>
      </c>
      <c r="CB39" s="199">
        <v>0</v>
      </c>
      <c r="CC39" s="199">
        <v>0</v>
      </c>
      <c r="CD39" s="199">
        <v>0</v>
      </c>
      <c r="CE39" s="200">
        <v>5500</v>
      </c>
      <c r="CF39" s="200">
        <v>0</v>
      </c>
      <c r="CG39" s="200">
        <v>0</v>
      </c>
      <c r="CH39" s="200">
        <v>0</v>
      </c>
      <c r="CI39" s="200" t="str">
        <v>대표</v>
      </c>
      <c r="CJ39" s="200" t="str">
        <v>재구매</v>
      </c>
      <c r="CK39" s="200">
        <v>0</v>
      </c>
      <c r="CL39" s="200">
        <v>0</v>
      </c>
      <c r="CM39" s="200">
        <v>0</v>
      </c>
      <c r="CN39" s="156">
        <v>0</v>
      </c>
      <c r="CO39" s="156">
        <v>0</v>
      </c>
      <c r="CP39" s="156">
        <v>0</v>
      </c>
      <c r="CQ39" s="156">
        <v>0</v>
      </c>
      <c r="CR39" s="156">
        <v>0</v>
      </c>
      <c r="CS39" s="156" t="str">
        <v>ptDB47</v>
      </c>
      <c r="CT39" s="156">
        <v>0</v>
      </c>
      <c r="CU39" s="156">
        <v>0</v>
      </c>
      <c r="CV39" s="156">
        <v>0</v>
      </c>
      <c r="CW39" s="156">
        <v>0</v>
      </c>
      <c r="CX39" s="156">
        <v>0</v>
      </c>
      <c r="CY39" s="156">
        <v>0</v>
      </c>
      <c r="CZ39" s="156" t="str">
        <v/>
      </c>
      <c r="DA39" s="156">
        <v>0</v>
      </c>
      <c r="DB39" s="156">
        <v>0</v>
      </c>
    </row>
    <row r="40" spans="2:106" ht="18" customHeight="1">
      <c r="B40" s="159">
        <v>27</v>
      </c>
      <c r="C40" s="161" cm="1">
        <f t="array" ref="C40">SUMPRODUCT(--(ISNUMBER(SEARCH(DATE($B$6,$E$6,$B40),출고표[발송일]))),출고표[거래처지급액],--(ISNUMBER(SEARCH($C$13,출고표[쇼핑몰구분]))))</f>
        <v>0</v>
      </c>
      <c r="D40" s="161" cm="1">
        <f t="array" ref="D40">SUMPRODUCT(--(ISNUMBER(SEARCH(DATE($B$6,$E$6,$B40),출고표[발송일]))),출고표[총판매금액],--(ISNUMBER(SEARCH($C$13,출고표[쇼핑몰구분]))))</f>
        <v>0</v>
      </c>
      <c r="E40" s="161" cm="1">
        <f t="array" ref="E40">SUMPRODUCT(--(ISNUMBER(SEARCH(DATE($B$6,$E$6,$B40),출고표[발송일]))),출고표[총판매금액],--(ISNUMBER(SEARCH($E$13,출고표[쇼핑몰구분]))))</f>
        <v>0</v>
      </c>
      <c r="H40" s="173">
        <v>79</v>
      </c>
      <c r="I40" s="156" t="str">
        <v>비닐스토리</v>
      </c>
      <c r="J40" s="177">
        <v>45449</v>
      </c>
      <c r="K40" s="176" t="str">
        <v>2024060689730391</v>
      </c>
      <c r="L40" s="176" t="str">
        <v>스마트 스토어</v>
      </c>
      <c r="M40" s="176" t="str">
        <v>이정민</v>
      </c>
      <c r="N40" s="176" t="str">
        <v>leij****</v>
      </c>
      <c r="O40" s="177" t="str">
        <v>010-3712-4033</v>
      </c>
      <c r="P40" s="177">
        <v>45450</v>
      </c>
      <c r="Q40" s="176" t="str">
        <v>CJ대한통운</v>
      </c>
      <c r="R40" s="176" t="str">
        <v>540215391746</v>
      </c>
      <c r="S40" s="178">
        <v>0</v>
      </c>
      <c r="T40" s="176" t="str">
        <v>SE.18</v>
      </c>
      <c r="U40" s="176" t="str">
        <v>청백</v>
      </c>
      <c r="V40" s="176">
        <v>4</v>
      </c>
      <c r="W40" s="176" t="str">
        <v>이정민</v>
      </c>
      <c r="X40" s="176" t="str">
        <v>010-3712-4033</v>
      </c>
      <c r="Y40" s="176">
        <v>0</v>
      </c>
      <c r="Z40" s="176" t="str">
        <v>전라북도 부안군 부안읍 선돌로 208-8 (부안읍) 신흥리 741번지 두레골가든</v>
      </c>
      <c r="AA40" s="190">
        <v>0</v>
      </c>
      <c r="AB40" s="190">
        <v>0</v>
      </c>
      <c r="AC40" s="277">
        <v>0</v>
      </c>
      <c r="AD40" s="190">
        <v>8480</v>
      </c>
      <c r="AE40" s="190">
        <v>0</v>
      </c>
      <c r="AF40" s="190">
        <v>3000</v>
      </c>
      <c r="AG40" s="190">
        <v>3000</v>
      </c>
      <c r="AH40" s="190">
        <v>0</v>
      </c>
      <c r="AI40" s="190">
        <v>0</v>
      </c>
      <c r="AJ40" s="190">
        <v>0</v>
      </c>
      <c r="AK40" s="190" t="str">
        <v>왕대A</v>
      </c>
      <c r="AL40" s="190">
        <v>0</v>
      </c>
      <c r="AM40" s="173">
        <v>2030</v>
      </c>
      <c r="AN40" s="173">
        <v>1293</v>
      </c>
      <c r="AO40" s="206">
        <v>11480</v>
      </c>
      <c r="AP40" s="206">
        <v>8172</v>
      </c>
      <c r="AQ40" s="173">
        <v>477</v>
      </c>
      <c r="AR40" s="173">
        <v>2831</v>
      </c>
      <c r="AS40" s="173">
        <v>0.24660000000000001</v>
      </c>
      <c r="AT40" s="173">
        <v>0</v>
      </c>
      <c r="AU40" s="173" t="str">
        <v>ptDB47</v>
      </c>
      <c r="AV40" s="173">
        <v>0</v>
      </c>
      <c r="AW40" s="173">
        <v>11480</v>
      </c>
      <c r="AX40" s="173">
        <v>8172</v>
      </c>
      <c r="AY40" s="173">
        <v>477</v>
      </c>
      <c r="AZ40" s="173">
        <v>2831</v>
      </c>
      <c r="BA40" s="173">
        <v>0.24660000000000001</v>
      </c>
      <c r="BB40" s="173" t="str">
        <v/>
      </c>
      <c r="BC40" s="173">
        <v>0</v>
      </c>
      <c r="BD40" s="156">
        <v>5172</v>
      </c>
      <c r="BF40" s="156">
        <v>70</v>
      </c>
      <c r="BG40" s="156" t="str">
        <v>비닐팩토리</v>
      </c>
      <c r="BH40" s="198">
        <v>45450</v>
      </c>
      <c r="BI40" s="199" t="str">
        <v>45470121</v>
      </c>
      <c r="BJ40" s="199" t="str">
        <v>대표</v>
      </c>
      <c r="BK40" s="199">
        <v>0</v>
      </c>
      <c r="BL40" s="199">
        <v>0</v>
      </c>
      <c r="BM40" s="199">
        <v>0</v>
      </c>
      <c r="BN40" s="198">
        <v>45450</v>
      </c>
      <c r="BO40" s="199" t="str">
        <v>CJ대한통운</v>
      </c>
      <c r="BP40" s="199" t="str">
        <v>530216665551</v>
      </c>
      <c r="BQ40" s="199">
        <v>0</v>
      </c>
      <c r="BR40" s="199" t="str">
        <v>SE.1000</v>
      </c>
      <c r="BS40" s="199" t="str">
        <v>투명</v>
      </c>
      <c r="BT40" s="199">
        <v>1</v>
      </c>
      <c r="BU40" s="199" t="str">
        <v>효떡집</v>
      </c>
      <c r="BV40" s="199" t="str">
        <v>010-2104-9556</v>
      </c>
      <c r="BW40" s="199">
        <v>0</v>
      </c>
      <c r="BX40" s="199" t="str">
        <v>인천 남동구 논현동 771-7 1층 효떡집</v>
      </c>
      <c r="BY40" s="199">
        <v>0</v>
      </c>
      <c r="BZ40" s="199">
        <v>0</v>
      </c>
      <c r="CA40" s="273">
        <v>0</v>
      </c>
      <c r="CB40" s="199">
        <v>0</v>
      </c>
      <c r="CC40" s="199">
        <v>0</v>
      </c>
      <c r="CD40" s="199">
        <v>0</v>
      </c>
      <c r="CE40" s="200">
        <v>0</v>
      </c>
      <c r="CF40" s="200">
        <v>0</v>
      </c>
      <c r="CG40" s="200">
        <v>0</v>
      </c>
      <c r="CH40" s="200">
        <v>0</v>
      </c>
      <c r="CI40" s="200" t="str">
        <v>대표</v>
      </c>
      <c r="CJ40" s="200" t="str">
        <v>재구매</v>
      </c>
      <c r="CK40" s="200">
        <v>0</v>
      </c>
      <c r="CL40" s="200">
        <v>0</v>
      </c>
      <c r="CM40" s="200">
        <v>0</v>
      </c>
      <c r="CN40" s="156">
        <v>0</v>
      </c>
      <c r="CO40" s="156">
        <v>0</v>
      </c>
      <c r="CP40" s="156">
        <v>0</v>
      </c>
      <c r="CQ40" s="156">
        <v>0</v>
      </c>
      <c r="CR40" s="156">
        <v>0</v>
      </c>
      <c r="CS40" s="156" t="str">
        <v>ptDB47</v>
      </c>
      <c r="CT40" s="156">
        <v>0</v>
      </c>
      <c r="CU40" s="156">
        <v>0</v>
      </c>
      <c r="CV40" s="156">
        <v>0</v>
      </c>
      <c r="CW40" s="156">
        <v>0</v>
      </c>
      <c r="CX40" s="156">
        <v>0</v>
      </c>
      <c r="CY40" s="156">
        <v>0</v>
      </c>
      <c r="CZ40" s="156" t="str">
        <v/>
      </c>
      <c r="DA40" s="156">
        <v>0</v>
      </c>
      <c r="DB40" s="156">
        <v>0</v>
      </c>
    </row>
    <row r="41" spans="2:106" ht="18" customHeight="1">
      <c r="B41" s="159">
        <v>28</v>
      </c>
      <c r="C41" s="161" cm="1">
        <f t="array" ref="C41">SUMPRODUCT(--(ISNUMBER(SEARCH(DATE($B$6,$E$6,$B41),출고표[발송일]))),출고표[거래처지급액],--(ISNUMBER(SEARCH($C$13,출고표[쇼핑몰구분]))))</f>
        <v>0</v>
      </c>
      <c r="D41" s="161" cm="1">
        <f t="array" ref="D41">SUMPRODUCT(--(ISNUMBER(SEARCH(DATE($B$6,$E$6,$B41),출고표[발송일]))),출고표[총판매금액],--(ISNUMBER(SEARCH($C$13,출고표[쇼핑몰구분]))))</f>
        <v>0</v>
      </c>
      <c r="E41" s="161" cm="1">
        <f t="array" ref="E41">SUMPRODUCT(--(ISNUMBER(SEARCH(DATE($B$6,$E$6,$B41),출고표[발송일]))),출고표[총판매금액],--(ISNUMBER(SEARCH($E$13,출고표[쇼핑몰구분]))))</f>
        <v>0</v>
      </c>
      <c r="H41" s="173">
        <v>80</v>
      </c>
      <c r="I41" s="156" t="str">
        <v>비닐스토리</v>
      </c>
      <c r="J41" s="177">
        <v>45448</v>
      </c>
      <c r="K41" s="176" t="str">
        <v>2024060556292961</v>
      </c>
      <c r="L41" s="176" t="str">
        <v>스마트 스토어</v>
      </c>
      <c r="M41" s="176" t="str">
        <v>임선화</v>
      </c>
      <c r="N41" s="176" t="str">
        <v>ssou****</v>
      </c>
      <c r="O41" s="177" t="str">
        <v>010-8991-4862</v>
      </c>
      <c r="P41" s="177">
        <v>45450</v>
      </c>
      <c r="Q41" s="176" t="str">
        <v>CJ대한통운</v>
      </c>
      <c r="R41" s="176" t="str">
        <v>540215391643</v>
      </c>
      <c r="S41" s="178">
        <v>0</v>
      </c>
      <c r="T41" s="176" t="str">
        <v>SE.105</v>
      </c>
      <c r="U41" s="176" t="str">
        <v>투명</v>
      </c>
      <c r="V41" s="176">
        <v>1</v>
      </c>
      <c r="W41" s="176" t="str">
        <v>임선화</v>
      </c>
      <c r="X41" s="176" t="str">
        <v>010-4696-2023</v>
      </c>
      <c r="Y41" s="176">
        <v>0</v>
      </c>
      <c r="Z41" s="176" t="str">
        <v>경상남도 양산시 동면 금오3길 12-1 (동면) 1층 상가</v>
      </c>
      <c r="AA41" s="190">
        <v>0</v>
      </c>
      <c r="AB41" s="190">
        <v>0</v>
      </c>
      <c r="AC41" s="277">
        <v>0</v>
      </c>
      <c r="AD41" s="190">
        <v>2780</v>
      </c>
      <c r="AE41" s="190">
        <v>0</v>
      </c>
      <c r="AF41" s="190">
        <v>3000</v>
      </c>
      <c r="AG41" s="190">
        <v>3000</v>
      </c>
      <c r="AH41" s="190">
        <v>0</v>
      </c>
      <c r="AI41" s="190">
        <v>0</v>
      </c>
      <c r="AJ41" s="190">
        <v>0</v>
      </c>
      <c r="AK41" s="190" t="str">
        <v>소폭 20*38</v>
      </c>
      <c r="AL41" s="190">
        <v>0</v>
      </c>
      <c r="AM41" s="173">
        <v>2550</v>
      </c>
      <c r="AN41" s="173">
        <v>1650</v>
      </c>
      <c r="AO41" s="206">
        <v>5780</v>
      </c>
      <c r="AP41" s="206">
        <v>4650</v>
      </c>
      <c r="AQ41" s="173">
        <v>250</v>
      </c>
      <c r="AR41" s="173">
        <v>-2120</v>
      </c>
      <c r="AS41" s="173">
        <v>-0.36680000000000001</v>
      </c>
      <c r="AT41" s="173">
        <v>0</v>
      </c>
      <c r="AU41" s="173" t="str">
        <v>ptDB47</v>
      </c>
      <c r="AV41" s="173">
        <v>0</v>
      </c>
      <c r="AW41" s="173">
        <v>5780</v>
      </c>
      <c r="AX41" s="173">
        <v>4650</v>
      </c>
      <c r="AY41" s="173">
        <v>250</v>
      </c>
      <c r="AZ41" s="173">
        <v>880</v>
      </c>
      <c r="BA41" s="173">
        <v>0.1522</v>
      </c>
      <c r="BB41" s="173" t="str">
        <v>Check</v>
      </c>
      <c r="BC41" s="173">
        <v>0</v>
      </c>
      <c r="BD41" s="156">
        <v>1650</v>
      </c>
      <c r="BF41" s="156">
        <v>71</v>
      </c>
      <c r="BG41" s="156" t="str">
        <v>비닐팩토리</v>
      </c>
      <c r="BH41" s="198">
        <v>45450</v>
      </c>
      <c r="BI41" s="199" t="str">
        <v>45470272</v>
      </c>
      <c r="BJ41" s="199" t="str">
        <v>대표</v>
      </c>
      <c r="BK41" s="199">
        <v>0</v>
      </c>
      <c r="BL41" s="199">
        <v>0</v>
      </c>
      <c r="BM41" s="199">
        <v>0</v>
      </c>
      <c r="BN41" s="198">
        <v>45450</v>
      </c>
      <c r="BO41" s="199" t="str">
        <v>CJ대한통운</v>
      </c>
      <c r="BP41" s="199" t="str">
        <v>540215527244</v>
      </c>
      <c r="BQ41" s="199">
        <v>0</v>
      </c>
      <c r="BR41" s="199" t="str">
        <v>SE.1000</v>
      </c>
      <c r="BS41" s="199" t="str">
        <v>투명</v>
      </c>
      <c r="BT41" s="199">
        <v>1</v>
      </c>
      <c r="BU41" s="199" t="str">
        <v>김필순</v>
      </c>
      <c r="BV41" s="199" t="str">
        <v>010-6590-0696</v>
      </c>
      <c r="BW41" s="199">
        <v>0</v>
      </c>
      <c r="BX41" s="199" t="str">
        <v>경남 창원시 마산합포구 현동3길 1 (창원현동엘에이치아파트) 102동 201호</v>
      </c>
      <c r="BY41" s="199">
        <v>0</v>
      </c>
      <c r="BZ41" s="199">
        <v>0</v>
      </c>
      <c r="CA41" s="273">
        <v>0</v>
      </c>
      <c r="CB41" s="199">
        <v>0</v>
      </c>
      <c r="CC41" s="199">
        <v>0</v>
      </c>
      <c r="CD41" s="199">
        <v>0</v>
      </c>
      <c r="CE41" s="200">
        <v>3000</v>
      </c>
      <c r="CF41" s="200">
        <v>0</v>
      </c>
      <c r="CG41" s="200">
        <v>0</v>
      </c>
      <c r="CH41" s="200">
        <v>0</v>
      </c>
      <c r="CI41" s="200" t="str">
        <v>대표</v>
      </c>
      <c r="CJ41" s="200" t="str">
        <v>재구매</v>
      </c>
      <c r="CK41" s="200">
        <v>0</v>
      </c>
      <c r="CL41" s="200">
        <v>0</v>
      </c>
      <c r="CM41" s="200">
        <v>0</v>
      </c>
      <c r="CN41" s="156">
        <v>0</v>
      </c>
      <c r="CO41" s="156">
        <v>0</v>
      </c>
      <c r="CP41" s="156">
        <v>0</v>
      </c>
      <c r="CQ41" s="156">
        <v>0</v>
      </c>
      <c r="CR41" s="156">
        <v>0</v>
      </c>
      <c r="CS41" s="156" t="str">
        <v>ptDB47</v>
      </c>
      <c r="CT41" s="156">
        <v>0</v>
      </c>
      <c r="CU41" s="156">
        <v>0</v>
      </c>
      <c r="CV41" s="156">
        <v>0</v>
      </c>
      <c r="CW41" s="156">
        <v>0</v>
      </c>
      <c r="CX41" s="156">
        <v>0</v>
      </c>
      <c r="CY41" s="156">
        <v>0</v>
      </c>
      <c r="CZ41" s="156" t="str">
        <v/>
      </c>
      <c r="DA41" s="156">
        <v>0</v>
      </c>
      <c r="DB41" s="156">
        <v>0</v>
      </c>
    </row>
    <row r="42" spans="2:106" ht="18" customHeight="1">
      <c r="B42" s="159">
        <v>29</v>
      </c>
      <c r="C42" s="161" cm="1">
        <f t="array" ref="C42">SUMPRODUCT(--(ISNUMBER(SEARCH(DATE($B$6,$E$6,$B42),출고표[발송일]))),출고표[거래처지급액],--(ISNUMBER(SEARCH($C$13,출고표[쇼핑몰구분]))))</f>
        <v>0</v>
      </c>
      <c r="D42" s="161" cm="1">
        <f t="array" ref="D42">SUMPRODUCT(--(ISNUMBER(SEARCH(DATE($B$6,$E$6,$B42),출고표[발송일]))),출고표[총판매금액],--(ISNUMBER(SEARCH($C$13,출고표[쇼핑몰구분]))))</f>
        <v>0</v>
      </c>
      <c r="E42" s="161" cm="1">
        <f t="array" ref="E42">SUMPRODUCT(--(ISNUMBER(SEARCH(DATE($B$6,$E$6,$B42),출고표[발송일]))),출고표[총판매금액],--(ISNUMBER(SEARCH($E$13,출고표[쇼핑몰구분]))))</f>
        <v>0</v>
      </c>
      <c r="H42" s="173">
        <v>81</v>
      </c>
      <c r="I42" s="156" t="str">
        <v>비닐스토리</v>
      </c>
      <c r="J42" s="177">
        <v>45448</v>
      </c>
      <c r="K42" s="176" t="str">
        <v>2024060556292951</v>
      </c>
      <c r="L42" s="176" t="str">
        <v>스마트 스토어</v>
      </c>
      <c r="M42" s="176" t="str">
        <v>임선화</v>
      </c>
      <c r="N42" s="176" t="str">
        <v>ssou****</v>
      </c>
      <c r="O42" s="177" t="str">
        <v>010-8991-4862</v>
      </c>
      <c r="P42" s="177">
        <v>45450</v>
      </c>
      <c r="Q42" s="176" t="str">
        <v>CJ대한통운</v>
      </c>
      <c r="R42" s="176" t="str">
        <v>540215391643</v>
      </c>
      <c r="S42" s="178">
        <v>0</v>
      </c>
      <c r="T42" s="176" t="str">
        <v>SE.107</v>
      </c>
      <c r="U42" s="176" t="str">
        <v>투명</v>
      </c>
      <c r="V42" s="176">
        <v>1</v>
      </c>
      <c r="W42" s="176" t="str">
        <v>임선화</v>
      </c>
      <c r="X42" s="176" t="str">
        <v>010-4696-2023</v>
      </c>
      <c r="Y42" s="176">
        <v>0</v>
      </c>
      <c r="Z42" s="176" t="str">
        <v>경상남도 양산시 동면 금오3길 12-1 (동면) 1층 상가</v>
      </c>
      <c r="AA42" s="190">
        <v>0</v>
      </c>
      <c r="AB42" s="190">
        <v>0</v>
      </c>
      <c r="AC42" s="277">
        <v>0</v>
      </c>
      <c r="AD42" s="190">
        <v>3330</v>
      </c>
      <c r="AE42" s="190">
        <v>0</v>
      </c>
      <c r="AF42" s="190">
        <v>0</v>
      </c>
      <c r="AG42" s="190">
        <v>0</v>
      </c>
      <c r="AH42" s="190">
        <v>0</v>
      </c>
      <c r="AI42" s="190">
        <v>0</v>
      </c>
      <c r="AJ42" s="190">
        <v>0</v>
      </c>
      <c r="AK42" s="190" t="str">
        <v>소폭 30*51</v>
      </c>
      <c r="AL42" s="190" t="str">
        <v>재구매</v>
      </c>
      <c r="AM42" s="173">
        <v>3340</v>
      </c>
      <c r="AN42" s="173">
        <v>2156</v>
      </c>
      <c r="AO42" s="206">
        <v>3330</v>
      </c>
      <c r="AP42" s="206">
        <v>2156</v>
      </c>
      <c r="AQ42" s="173">
        <v>213</v>
      </c>
      <c r="AR42" s="173">
        <v>961</v>
      </c>
      <c r="AS42" s="173">
        <v>0.28860000000000002</v>
      </c>
      <c r="AT42" s="173">
        <v>0</v>
      </c>
      <c r="AU42" s="173" t="str">
        <v>ptDB47</v>
      </c>
      <c r="AV42" s="173">
        <v>0</v>
      </c>
      <c r="AW42" s="173">
        <v>3330</v>
      </c>
      <c r="AX42" s="173">
        <v>2156</v>
      </c>
      <c r="AY42" s="173">
        <v>213</v>
      </c>
      <c r="AZ42" s="173">
        <v>961</v>
      </c>
      <c r="BA42" s="173">
        <v>0.28860000000000002</v>
      </c>
      <c r="BB42" s="173" t="str">
        <v/>
      </c>
      <c r="BC42" s="173">
        <v>0</v>
      </c>
      <c r="BD42" s="156">
        <v>2156</v>
      </c>
      <c r="BF42" s="156">
        <v>72</v>
      </c>
      <c r="BG42" s="156" t="str">
        <v>비닐팩토리</v>
      </c>
      <c r="BH42" s="198">
        <v>45450</v>
      </c>
      <c r="BI42" s="199" t="str">
        <v>45470646</v>
      </c>
      <c r="BJ42" s="199" t="str">
        <v>대표</v>
      </c>
      <c r="BK42" s="199">
        <v>0</v>
      </c>
      <c r="BL42" s="199">
        <v>0</v>
      </c>
      <c r="BM42" s="199">
        <v>0</v>
      </c>
      <c r="BN42" s="198">
        <v>45450</v>
      </c>
      <c r="BO42" s="199" t="str">
        <v>CJ대한통운</v>
      </c>
      <c r="BP42" s="199" t="str">
        <v>540215666216</v>
      </c>
      <c r="BQ42" s="199">
        <v>0</v>
      </c>
      <c r="BR42" s="199" t="str">
        <v>SE.1000</v>
      </c>
      <c r="BS42" s="199" t="str">
        <v>투명</v>
      </c>
      <c r="BT42" s="199">
        <v>1</v>
      </c>
      <c r="BU42" s="199" t="str">
        <v>효떡집</v>
      </c>
      <c r="BV42" s="199" t="str">
        <v>010-2104-9556</v>
      </c>
      <c r="BW42" s="199">
        <v>0</v>
      </c>
      <c r="BX42" s="199" t="str">
        <v>인천 남동구 논현동 771-7 1층 효떡집</v>
      </c>
      <c r="BY42" s="199">
        <v>0</v>
      </c>
      <c r="BZ42" s="199">
        <v>0</v>
      </c>
      <c r="CA42" s="273">
        <v>0</v>
      </c>
      <c r="CB42" s="199">
        <v>0</v>
      </c>
      <c r="CC42" s="199">
        <v>0</v>
      </c>
      <c r="CD42" s="199">
        <v>0</v>
      </c>
      <c r="CE42" s="200">
        <v>0</v>
      </c>
      <c r="CF42" s="200">
        <v>0</v>
      </c>
      <c r="CG42" s="200">
        <v>0</v>
      </c>
      <c r="CH42" s="200">
        <v>0</v>
      </c>
      <c r="CI42" s="200" t="str">
        <v>대표</v>
      </c>
      <c r="CJ42" s="200" t="str">
        <v>재구매</v>
      </c>
      <c r="CK42" s="200">
        <v>0</v>
      </c>
      <c r="CL42" s="200">
        <v>0</v>
      </c>
      <c r="CM42" s="200">
        <v>0</v>
      </c>
      <c r="CN42" s="156">
        <v>0</v>
      </c>
      <c r="CO42" s="156">
        <v>0</v>
      </c>
      <c r="CP42" s="156">
        <v>0</v>
      </c>
      <c r="CQ42" s="156">
        <v>0</v>
      </c>
      <c r="CR42" s="156">
        <v>0</v>
      </c>
      <c r="CS42" s="156" t="str">
        <v>ptDB47</v>
      </c>
      <c r="CT42" s="156">
        <v>0</v>
      </c>
      <c r="CU42" s="156">
        <v>0</v>
      </c>
      <c r="CV42" s="156">
        <v>0</v>
      </c>
      <c r="CW42" s="156">
        <v>0</v>
      </c>
      <c r="CX42" s="156">
        <v>0</v>
      </c>
      <c r="CY42" s="156">
        <v>0</v>
      </c>
      <c r="CZ42" s="156" t="str">
        <v/>
      </c>
      <c r="DA42" s="156">
        <v>0</v>
      </c>
      <c r="DB42" s="156">
        <v>0</v>
      </c>
    </row>
    <row r="43" spans="2:106" ht="18" customHeight="1">
      <c r="B43" s="159">
        <v>30</v>
      </c>
      <c r="C43" s="161" cm="1">
        <f t="array" ref="C43">SUMPRODUCT(--(ISNUMBER(SEARCH(DATE($B$6,$E$6,$B43),출고표[발송일]))),출고표[거래처지급액],--(ISNUMBER(SEARCH($C$13,출고표[쇼핑몰구분]))))</f>
        <v>0</v>
      </c>
      <c r="D43" s="161" cm="1">
        <f t="array" ref="D43">SUMPRODUCT(--(ISNUMBER(SEARCH(DATE($B$6,$E$6,$B43),출고표[발송일]))),출고표[총판매금액],--(ISNUMBER(SEARCH($C$13,출고표[쇼핑몰구분]))))</f>
        <v>0</v>
      </c>
      <c r="E43" s="161" cm="1">
        <f t="array" ref="E43">SUMPRODUCT(--(ISNUMBER(SEARCH(DATE($B$6,$E$6,$B43),출고표[발송일]))),출고표[총판매금액],--(ISNUMBER(SEARCH($E$13,출고표[쇼핑몰구분]))))</f>
        <v>0</v>
      </c>
      <c r="H43" s="173">
        <v>82</v>
      </c>
      <c r="I43" s="156" t="str">
        <v>비닐스토리</v>
      </c>
      <c r="J43" s="177">
        <v>45448</v>
      </c>
      <c r="K43" s="176" t="str">
        <v>2024060556292941</v>
      </c>
      <c r="L43" s="176" t="str">
        <v>스마트 스토어</v>
      </c>
      <c r="M43" s="176" t="str">
        <v>임선화</v>
      </c>
      <c r="N43" s="176" t="str">
        <v>ssou****</v>
      </c>
      <c r="O43" s="177" t="str">
        <v>010-8991-4862</v>
      </c>
      <c r="P43" s="177">
        <v>45450</v>
      </c>
      <c r="Q43" s="176" t="str">
        <v>CJ대한통운</v>
      </c>
      <c r="R43" s="176" t="str">
        <v>540215391643</v>
      </c>
      <c r="S43" s="178">
        <v>0</v>
      </c>
      <c r="T43" s="176" t="str">
        <v>SE.108</v>
      </c>
      <c r="U43" s="176" t="str">
        <v>투명</v>
      </c>
      <c r="V43" s="176">
        <v>1</v>
      </c>
      <c r="W43" s="176" t="str">
        <v>임선화</v>
      </c>
      <c r="X43" s="176" t="str">
        <v>010-4696-2023</v>
      </c>
      <c r="Y43" s="176">
        <v>0</v>
      </c>
      <c r="Z43" s="176" t="str">
        <v>경상남도 양산시 동면 금오3길 12-1 (동면) 1층 상가</v>
      </c>
      <c r="AA43" s="190">
        <v>0</v>
      </c>
      <c r="AB43" s="190">
        <v>0</v>
      </c>
      <c r="AC43" s="277">
        <v>0</v>
      </c>
      <c r="AD43" s="190">
        <v>1640</v>
      </c>
      <c r="AE43" s="190">
        <v>0</v>
      </c>
      <c r="AF43" s="190">
        <v>0</v>
      </c>
      <c r="AG43" s="190">
        <v>0</v>
      </c>
      <c r="AH43" s="190">
        <v>0</v>
      </c>
      <c r="AI43" s="190">
        <v>0</v>
      </c>
      <c r="AJ43" s="190">
        <v>0</v>
      </c>
      <c r="AK43" s="190" t="str">
        <v>고추 45*75</v>
      </c>
      <c r="AL43" s="190" t="str">
        <v>재구매</v>
      </c>
      <c r="AM43" s="173">
        <v>1110</v>
      </c>
      <c r="AN43" s="173">
        <v>715</v>
      </c>
      <c r="AO43" s="206">
        <v>1640</v>
      </c>
      <c r="AP43" s="206">
        <v>715</v>
      </c>
      <c r="AQ43" s="173">
        <v>145</v>
      </c>
      <c r="AR43" s="173">
        <v>780</v>
      </c>
      <c r="AS43" s="173">
        <v>0.47560000000000002</v>
      </c>
      <c r="AT43" s="173">
        <v>0</v>
      </c>
      <c r="AU43" s="173" t="str">
        <v>ptDB47</v>
      </c>
      <c r="AV43" s="173">
        <v>0</v>
      </c>
      <c r="AW43" s="173">
        <v>1640</v>
      </c>
      <c r="AX43" s="173">
        <v>715</v>
      </c>
      <c r="AY43" s="173">
        <v>145</v>
      </c>
      <c r="AZ43" s="173">
        <v>780</v>
      </c>
      <c r="BA43" s="173">
        <v>0.47560000000000002</v>
      </c>
      <c r="BB43" s="173" t="str">
        <v/>
      </c>
      <c r="BC43" s="173">
        <v>0</v>
      </c>
      <c r="BD43" s="156">
        <v>715</v>
      </c>
      <c r="BF43" s="156">
        <v>73</v>
      </c>
      <c r="BG43" s="156" t="str">
        <v>비닐팩토리</v>
      </c>
      <c r="BH43" s="198">
        <v>45450</v>
      </c>
      <c r="BI43" s="199" t="str">
        <v>2024060720131911</v>
      </c>
      <c r="BJ43" s="199" t="str">
        <v>스마트 스토어</v>
      </c>
      <c r="BK43" s="199" t="str">
        <v>김영희</v>
      </c>
      <c r="BL43" s="199" t="str">
        <v>hapt****</v>
      </c>
      <c r="BM43" s="199" t="str">
        <v>010-8563-3273</v>
      </c>
      <c r="BN43" s="198">
        <v>45450</v>
      </c>
      <c r="BO43" s="199" t="str">
        <v>CJ대한통운</v>
      </c>
      <c r="BP43" s="199" t="str">
        <v>540215483284</v>
      </c>
      <c r="BQ43" s="199">
        <v>0</v>
      </c>
      <c r="BR43" s="199" t="str">
        <v>SE.206</v>
      </c>
      <c r="BS43" s="199" t="str">
        <v>투명</v>
      </c>
      <c r="BT43" s="199">
        <v>1</v>
      </c>
      <c r="BU43" s="199" t="str">
        <v>김영희</v>
      </c>
      <c r="BV43" s="199" t="str">
        <v>0502-3778-2814</v>
      </c>
      <c r="BW43" s="199">
        <v>0</v>
      </c>
      <c r="BX43" s="199" t="str">
        <v>경기도 남양주시 와부읍 수레로 88 (와부읍, 강산빌딩) 코너 103호 인생떡집</v>
      </c>
      <c r="BY43" s="199">
        <v>0</v>
      </c>
      <c r="BZ43" s="199">
        <v>0</v>
      </c>
      <c r="CA43" s="273">
        <v>0</v>
      </c>
      <c r="CB43" s="199">
        <v>28400</v>
      </c>
      <c r="CC43" s="199">
        <v>0</v>
      </c>
      <c r="CD43" s="199">
        <v>3000</v>
      </c>
      <c r="CE43" s="200">
        <v>3000</v>
      </c>
      <c r="CF43" s="200">
        <v>0</v>
      </c>
      <c r="CG43" s="200">
        <v>0</v>
      </c>
      <c r="CH43" s="200">
        <v>0</v>
      </c>
      <c r="CI43" s="200" t="str">
        <v>떡롤 45*330</v>
      </c>
      <c r="CJ43" s="200">
        <v>0</v>
      </c>
      <c r="CK43" s="200">
        <v>28800</v>
      </c>
      <c r="CL43" s="200">
        <v>19800</v>
      </c>
      <c r="CM43" s="200">
        <v>31400</v>
      </c>
      <c r="CN43" s="156">
        <v>0</v>
      </c>
      <c r="CO43" s="156">
        <v>1596</v>
      </c>
      <c r="CP43" s="156">
        <v>0</v>
      </c>
      <c r="CQ43" s="156">
        <v>0</v>
      </c>
      <c r="CR43" s="156">
        <v>0</v>
      </c>
      <c r="CS43" s="156" t="str">
        <v>ptDB47</v>
      </c>
      <c r="CT43" s="156">
        <v>0</v>
      </c>
      <c r="CU43" s="156">
        <v>31400</v>
      </c>
      <c r="CV43" s="156">
        <v>0</v>
      </c>
      <c r="CW43" s="156">
        <v>1596</v>
      </c>
      <c r="CX43" s="156">
        <v>0</v>
      </c>
      <c r="CY43" s="156">
        <v>0</v>
      </c>
      <c r="CZ43" s="156" t="str">
        <v/>
      </c>
      <c r="DA43" s="156">
        <v>0</v>
      </c>
      <c r="DB43" s="156">
        <v>19800</v>
      </c>
    </row>
    <row r="44" spans="2:106" ht="18" customHeight="1">
      <c r="B44" s="159">
        <v>31</v>
      </c>
      <c r="C44" s="161" cm="1">
        <f t="array" ref="C44">SUMPRODUCT(--(ISNUMBER(SEARCH(DATE($B$6,$E$6,$B44),출고표[발송일]))),출고표[거래처지급액],--(ISNUMBER(SEARCH($C$13,출고표[쇼핑몰구분]))))</f>
        <v>0</v>
      </c>
      <c r="D44" s="161" cm="1">
        <f t="array" ref="D44">SUMPRODUCT(--(ISNUMBER(SEARCH(DATE($B$6,$E$6,$B44),출고표[발송일]))),출고표[총판매금액],--(ISNUMBER(SEARCH($C$13,출고표[쇼핑몰구분]))))</f>
        <v>0</v>
      </c>
      <c r="E44" s="161" cm="1">
        <f t="array" ref="E44">SUMPRODUCT(--(ISNUMBER(SEARCH(DATE($B$6,$E$6,$B44),출고표[발송일]))),출고표[총판매금액],--(ISNUMBER(SEARCH($E$13,출고표[쇼핑몰구분]))))</f>
        <v>0</v>
      </c>
      <c r="H44" s="173">
        <v>83</v>
      </c>
      <c r="I44" s="156" t="str">
        <v>비닐스토리</v>
      </c>
      <c r="J44" s="177">
        <v>45448</v>
      </c>
      <c r="K44" s="176" t="str">
        <v>2024060556292931</v>
      </c>
      <c r="L44" s="176" t="str">
        <v>스마트 스토어</v>
      </c>
      <c r="M44" s="176" t="str">
        <v>임선화</v>
      </c>
      <c r="N44" s="176" t="str">
        <v>ssou****</v>
      </c>
      <c r="O44" s="177" t="str">
        <v>010-8991-4862</v>
      </c>
      <c r="P44" s="177">
        <v>45450</v>
      </c>
      <c r="Q44" s="176" t="str">
        <v>CJ대한통운</v>
      </c>
      <c r="R44" s="176" t="str">
        <v>540215391643</v>
      </c>
      <c r="S44" s="178">
        <v>0</v>
      </c>
      <c r="T44" s="176" t="str">
        <v>SE.103</v>
      </c>
      <c r="U44" s="176" t="str">
        <v>투명</v>
      </c>
      <c r="V44" s="176">
        <v>1</v>
      </c>
      <c r="W44" s="176" t="str">
        <v>임선화</v>
      </c>
      <c r="X44" s="176" t="str">
        <v>010-4696-2023</v>
      </c>
      <c r="Y44" s="176">
        <v>0</v>
      </c>
      <c r="Z44" s="176" t="str">
        <v>경상남도 양산시 동면 금오3길 12-1 (동면) 1층 상가</v>
      </c>
      <c r="AA44" s="190">
        <v>0</v>
      </c>
      <c r="AB44" s="190">
        <v>0</v>
      </c>
      <c r="AC44" s="277">
        <v>0</v>
      </c>
      <c r="AD44" s="190">
        <v>1800</v>
      </c>
      <c r="AE44" s="190">
        <v>0</v>
      </c>
      <c r="AF44" s="190">
        <v>0</v>
      </c>
      <c r="AG44" s="190">
        <v>0</v>
      </c>
      <c r="AH44" s="190">
        <v>0</v>
      </c>
      <c r="AI44" s="190">
        <v>0</v>
      </c>
      <c r="AJ44" s="190">
        <v>0</v>
      </c>
      <c r="AK44" s="190" t="str">
        <v>소폭 15*32</v>
      </c>
      <c r="AL44" s="190" t="str">
        <v>재구매</v>
      </c>
      <c r="AM44" s="173">
        <v>1700</v>
      </c>
      <c r="AN44" s="173">
        <v>1100</v>
      </c>
      <c r="AO44" s="206">
        <v>1800</v>
      </c>
      <c r="AP44" s="206">
        <v>1100</v>
      </c>
      <c r="AQ44" s="173">
        <v>152</v>
      </c>
      <c r="AR44" s="173">
        <v>3548</v>
      </c>
      <c r="AS44" s="173">
        <v>1.9711000000000001</v>
      </c>
      <c r="AT44" s="173">
        <v>0</v>
      </c>
      <c r="AU44" s="173" t="str">
        <v>ptDB47</v>
      </c>
      <c r="AV44" s="173">
        <v>0</v>
      </c>
      <c r="AW44" s="173">
        <v>1800</v>
      </c>
      <c r="AX44" s="173">
        <v>1100</v>
      </c>
      <c r="AY44" s="173">
        <v>152</v>
      </c>
      <c r="AZ44" s="173">
        <v>548</v>
      </c>
      <c r="BA44" s="173">
        <v>0.3044</v>
      </c>
      <c r="BB44" s="173" t="str">
        <v>Check</v>
      </c>
      <c r="BC44" s="173">
        <v>0</v>
      </c>
      <c r="BD44" s="156">
        <v>1100</v>
      </c>
      <c r="BF44" s="156">
        <v>74</v>
      </c>
      <c r="BG44" s="156" t="str">
        <v>비닐팩토리</v>
      </c>
      <c r="BH44" s="198">
        <v>45449</v>
      </c>
      <c r="BI44" s="199" t="str">
        <v>2024060673126881</v>
      </c>
      <c r="BJ44" s="199" t="str">
        <v>스마트 스토어</v>
      </c>
      <c r="BK44" s="199" t="str">
        <v>한은혜</v>
      </c>
      <c r="BL44" s="199" t="str">
        <v>lili****</v>
      </c>
      <c r="BM44" s="199" t="str">
        <v>010-7444-5029</v>
      </c>
      <c r="BN44" s="198">
        <v>45450</v>
      </c>
      <c r="BO44" s="199" t="str">
        <v>CJ대한통운</v>
      </c>
      <c r="BP44" s="199" t="str">
        <v>540215391691</v>
      </c>
      <c r="BQ44" s="199">
        <v>0</v>
      </c>
      <c r="BR44" s="199" t="str">
        <v>SE.307</v>
      </c>
      <c r="BS44" s="199" t="str">
        <v>투명</v>
      </c>
      <c r="BT44" s="199">
        <v>2</v>
      </c>
      <c r="BU44" s="199" t="str">
        <v>기찬수제돈까스</v>
      </c>
      <c r="BV44" s="199" t="str">
        <v>010-7444-5029</v>
      </c>
      <c r="BW44" s="199" t="str">
        <v>010-7704-5638</v>
      </c>
      <c r="BX44" s="199" t="str">
        <v>서울특별시 도봉구 도봉로153길 63 (방학동) 1층 좌측</v>
      </c>
      <c r="BY44" s="199">
        <v>0</v>
      </c>
      <c r="BZ44" s="199">
        <v>0</v>
      </c>
      <c r="CA44" s="273">
        <v>0</v>
      </c>
      <c r="CB44" s="199">
        <v>21120</v>
      </c>
      <c r="CC44" s="199">
        <v>0</v>
      </c>
      <c r="CD44" s="199">
        <v>0</v>
      </c>
      <c r="CE44" s="200">
        <v>3500</v>
      </c>
      <c r="CF44" s="200">
        <v>0</v>
      </c>
      <c r="CG44" s="200">
        <v>0</v>
      </c>
      <c r="CH44" s="200">
        <v>0</v>
      </c>
      <c r="CI44" s="200" t="str">
        <v>떡외겹 30*30</v>
      </c>
      <c r="CJ44" s="200">
        <v>0</v>
      </c>
      <c r="CK44" s="200">
        <v>10560</v>
      </c>
      <c r="CL44" s="200">
        <v>7260</v>
      </c>
      <c r="CM44" s="200">
        <v>21120</v>
      </c>
      <c r="CN44" s="156">
        <v>0</v>
      </c>
      <c r="CO44" s="156">
        <v>1141</v>
      </c>
      <c r="CP44" s="156">
        <v>0</v>
      </c>
      <c r="CQ44" s="156">
        <v>0</v>
      </c>
      <c r="CR44" s="156">
        <v>0</v>
      </c>
      <c r="CS44" s="156" t="str">
        <v>ptDB47</v>
      </c>
      <c r="CT44" s="156">
        <v>0</v>
      </c>
      <c r="CU44" s="156">
        <v>21120</v>
      </c>
      <c r="CV44" s="156">
        <v>0</v>
      </c>
      <c r="CW44" s="156">
        <v>1141</v>
      </c>
      <c r="CX44" s="156">
        <v>0</v>
      </c>
      <c r="CY44" s="156">
        <v>0</v>
      </c>
      <c r="CZ44" s="156" t="str">
        <v/>
      </c>
      <c r="DA44" s="156">
        <v>0</v>
      </c>
      <c r="DB44" s="156">
        <v>14520</v>
      </c>
    </row>
    <row r="45" spans="2:106" ht="18" customHeight="1">
      <c r="H45" s="173">
        <v>86</v>
      </c>
      <c r="I45" s="156" t="str">
        <v>비닐스토리</v>
      </c>
      <c r="J45" s="177">
        <v>45448</v>
      </c>
      <c r="K45" s="176" t="str">
        <v>25100051580368</v>
      </c>
      <c r="L45" s="176" t="str">
        <v>쿠팡</v>
      </c>
      <c r="M45" s="176" t="str">
        <v>권유진</v>
      </c>
      <c r="N45" s="176" t="str">
        <v>lo*****@ho</v>
      </c>
      <c r="O45" s="177" t="str">
        <v>0502-1654-1737</v>
      </c>
      <c r="P45" s="177">
        <v>45450</v>
      </c>
      <c r="Q45" s="176" t="str">
        <v>CJ대한통운</v>
      </c>
      <c r="R45" s="176" t="str">
        <v>540215391470</v>
      </c>
      <c r="S45" s="178">
        <v>0</v>
      </c>
      <c r="T45" s="176" t="str">
        <v>SE.206</v>
      </c>
      <c r="U45" s="176" t="str">
        <v>투명</v>
      </c>
      <c r="V45" s="176">
        <v>1</v>
      </c>
      <c r="W45" s="176" t="str">
        <v>다다하다장산점</v>
      </c>
      <c r="X45" s="176" t="str">
        <v>0502-1654-1737</v>
      </c>
      <c r="Y45" s="176">
        <v>0</v>
      </c>
      <c r="Z45" s="176" t="str">
        <v>부산광역시 해운대구 좌동로 105 1층 ( 좌동 )</v>
      </c>
      <c r="AA45" s="190" t="str">
        <v>매장안에 부탁드립니다</v>
      </c>
      <c r="AB45" s="190">
        <v>0</v>
      </c>
      <c r="AC45" s="277">
        <v>0</v>
      </c>
      <c r="AD45" s="190">
        <v>34020</v>
      </c>
      <c r="AE45" s="190">
        <v>0</v>
      </c>
      <c r="AF45" s="190">
        <v>3000</v>
      </c>
      <c r="AG45" s="190">
        <v>3500</v>
      </c>
      <c r="AH45" s="190">
        <v>0</v>
      </c>
      <c r="AI45" s="190">
        <v>0</v>
      </c>
      <c r="AJ45" s="190">
        <v>0</v>
      </c>
      <c r="AK45" s="190" t="str">
        <v>떡롤 45*330</v>
      </c>
      <c r="AL45" s="190">
        <v>0</v>
      </c>
      <c r="AM45" s="173">
        <v>32130</v>
      </c>
      <c r="AN45" s="173">
        <v>19800</v>
      </c>
      <c r="AO45" s="206">
        <v>37020</v>
      </c>
      <c r="AP45" s="206">
        <v>23300</v>
      </c>
      <c r="AQ45" s="173">
        <v>4141</v>
      </c>
      <c r="AR45" s="173">
        <v>9579</v>
      </c>
      <c r="AS45" s="173">
        <v>0.25879999999999997</v>
      </c>
      <c r="AT45" s="173">
        <v>0</v>
      </c>
      <c r="AU45" s="173" t="str">
        <v>ptDB47</v>
      </c>
      <c r="AV45" s="173">
        <v>0</v>
      </c>
      <c r="AW45" s="173">
        <v>37020</v>
      </c>
      <c r="AX45" s="173">
        <v>23300</v>
      </c>
      <c r="AY45" s="173">
        <v>4141</v>
      </c>
      <c r="AZ45" s="173">
        <v>9579</v>
      </c>
      <c r="BA45" s="173">
        <v>0.25879999999999997</v>
      </c>
      <c r="BB45" s="173" t="str">
        <v/>
      </c>
      <c r="BC45" s="173">
        <v>0</v>
      </c>
      <c r="BD45" s="156">
        <v>19800</v>
      </c>
      <c r="BF45" s="156">
        <v>75</v>
      </c>
      <c r="BG45" s="156" t="str">
        <v>비닐팩토리</v>
      </c>
      <c r="BH45" s="198">
        <v>45449</v>
      </c>
      <c r="BI45" s="199" t="str">
        <v>2024060673126871</v>
      </c>
      <c r="BJ45" s="199" t="str">
        <v>스마트 스토어</v>
      </c>
      <c r="BK45" s="199" t="str">
        <v>한은혜</v>
      </c>
      <c r="BL45" s="199" t="str">
        <v>lili****</v>
      </c>
      <c r="BM45" s="199" t="str">
        <v>010-7444-5029</v>
      </c>
      <c r="BN45" s="198">
        <v>45450</v>
      </c>
      <c r="BO45" s="199" t="str">
        <v>CJ대한통운</v>
      </c>
      <c r="BP45" s="199" t="str">
        <v>540215391691</v>
      </c>
      <c r="BQ45" s="199">
        <v>0</v>
      </c>
      <c r="BR45" s="199" t="str">
        <v>SE.14</v>
      </c>
      <c r="BS45" s="199" t="str">
        <v>검정</v>
      </c>
      <c r="BT45" s="199">
        <v>5</v>
      </c>
      <c r="BU45" s="199" t="str">
        <v>기찬수제돈까스</v>
      </c>
      <c r="BV45" s="199" t="str">
        <v>010-7444-5029</v>
      </c>
      <c r="BW45" s="199" t="str">
        <v>010-7704-5638</v>
      </c>
      <c r="BX45" s="199" t="str">
        <v>서울특별시 도봉구 도봉로153길 63 (방학동) 1층 좌측</v>
      </c>
      <c r="BY45" s="199">
        <v>0</v>
      </c>
      <c r="BZ45" s="199">
        <v>0</v>
      </c>
      <c r="CA45" s="273">
        <v>0</v>
      </c>
      <c r="CB45" s="199">
        <v>7150</v>
      </c>
      <c r="CC45" s="199">
        <v>7200</v>
      </c>
      <c r="CD45" s="199">
        <v>0</v>
      </c>
      <c r="CE45" s="200">
        <v>0</v>
      </c>
      <c r="CF45" s="200">
        <v>0</v>
      </c>
      <c r="CG45" s="200">
        <v>0</v>
      </c>
      <c r="CH45" s="200">
        <v>0</v>
      </c>
      <c r="CI45" s="200" t="str">
        <v>특대B</v>
      </c>
      <c r="CJ45" s="200" t="str">
        <v>재구매</v>
      </c>
      <c r="CK45" s="200">
        <v>1430</v>
      </c>
      <c r="CL45" s="200">
        <v>1045</v>
      </c>
      <c r="CM45" s="200">
        <v>7150</v>
      </c>
      <c r="CN45" s="156">
        <v>0</v>
      </c>
      <c r="CO45" s="156">
        <v>439</v>
      </c>
      <c r="CP45" s="156">
        <v>0</v>
      </c>
      <c r="CQ45" s="156">
        <v>0</v>
      </c>
      <c r="CR45" s="156">
        <v>0</v>
      </c>
      <c r="CS45" s="156" t="str">
        <v>ptDB47</v>
      </c>
      <c r="CT45" s="156">
        <v>0</v>
      </c>
      <c r="CU45" s="156">
        <v>7150</v>
      </c>
      <c r="CV45" s="156">
        <v>0</v>
      </c>
      <c r="CW45" s="156">
        <v>439</v>
      </c>
      <c r="CX45" s="156">
        <v>0</v>
      </c>
      <c r="CY45" s="156">
        <v>0</v>
      </c>
      <c r="CZ45" s="156" t="str">
        <v/>
      </c>
      <c r="DA45" s="156">
        <v>0</v>
      </c>
      <c r="DB45" s="156">
        <v>5225</v>
      </c>
    </row>
    <row r="46" spans="2:106" ht="18" customHeight="1">
      <c r="H46" s="173">
        <v>87</v>
      </c>
      <c r="I46" s="156" t="str">
        <v>비닐스토리</v>
      </c>
      <c r="J46" s="177">
        <v>45448</v>
      </c>
      <c r="K46" s="176" t="str">
        <v>21100051630553</v>
      </c>
      <c r="L46" s="176" t="str">
        <v>쿠팡</v>
      </c>
      <c r="M46" s="176" t="str">
        <v>임무열</v>
      </c>
      <c r="N46" s="176" t="str">
        <v>gg*****@na</v>
      </c>
      <c r="O46" s="177" t="str">
        <v>0502-1744-6419</v>
      </c>
      <c r="P46" s="177">
        <v>45450</v>
      </c>
      <c r="Q46" s="176" t="str">
        <v>CJ대한통운</v>
      </c>
      <c r="R46" s="176" t="str">
        <v>540215391632</v>
      </c>
      <c r="S46" s="178">
        <v>0</v>
      </c>
      <c r="T46" s="176" t="str">
        <v>SE.305</v>
      </c>
      <c r="U46" s="176" t="str">
        <v>투명</v>
      </c>
      <c r="V46" s="176">
        <v>2</v>
      </c>
      <c r="W46" s="176" t="str">
        <v>임무열</v>
      </c>
      <c r="X46" s="176" t="str">
        <v>0502-1744-6419</v>
      </c>
      <c r="Y46" s="176">
        <v>0</v>
      </c>
      <c r="Z46" s="176" t="str">
        <v>경상북도 영천시 시장로 47-2 조은밥상 ( 완산동 )</v>
      </c>
      <c r="AA46" s="190" t="str">
        <v>문 앞</v>
      </c>
      <c r="AB46" s="190">
        <v>0</v>
      </c>
      <c r="AC46" s="277">
        <v>0</v>
      </c>
      <c r="AD46" s="190">
        <v>43480</v>
      </c>
      <c r="AE46" s="190">
        <v>0</v>
      </c>
      <c r="AF46" s="190">
        <v>0</v>
      </c>
      <c r="AG46" s="190">
        <v>3500</v>
      </c>
      <c r="AH46" s="190">
        <v>0</v>
      </c>
      <c r="AI46" s="190">
        <v>0</v>
      </c>
      <c r="AJ46" s="190">
        <v>0</v>
      </c>
      <c r="AK46" s="190" t="str">
        <v>떡외겹 39*40</v>
      </c>
      <c r="AL46" s="190">
        <v>0</v>
      </c>
      <c r="AM46" s="173">
        <v>20530</v>
      </c>
      <c r="AN46" s="173">
        <v>12650</v>
      </c>
      <c r="AO46" s="206">
        <v>43480</v>
      </c>
      <c r="AP46" s="206">
        <v>28800</v>
      </c>
      <c r="AQ46" s="173">
        <v>5165</v>
      </c>
      <c r="AR46" s="173">
        <v>9515</v>
      </c>
      <c r="AS46" s="173">
        <v>0.21879999999999999</v>
      </c>
      <c r="AT46" s="173">
        <v>0</v>
      </c>
      <c r="AU46" s="173" t="str">
        <v>ptDB47</v>
      </c>
      <c r="AV46" s="173">
        <v>0</v>
      </c>
      <c r="AW46" s="173">
        <v>43480</v>
      </c>
      <c r="AX46" s="173">
        <v>28800</v>
      </c>
      <c r="AY46" s="173">
        <v>5165</v>
      </c>
      <c r="AZ46" s="173">
        <v>9515</v>
      </c>
      <c r="BA46" s="173">
        <v>0.21879999999999999</v>
      </c>
      <c r="BB46" s="173" t="str">
        <v/>
      </c>
      <c r="BC46" s="173">
        <v>0</v>
      </c>
      <c r="BD46" s="156">
        <v>25300</v>
      </c>
      <c r="BF46" s="156">
        <v>76</v>
      </c>
      <c r="BG46" s="156" t="str">
        <v>비닐팩토리</v>
      </c>
      <c r="BH46" s="198">
        <v>45449</v>
      </c>
      <c r="BI46" s="199" t="str">
        <v>2024060673126861</v>
      </c>
      <c r="BJ46" s="199" t="str">
        <v>스마트 스토어</v>
      </c>
      <c r="BK46" s="199" t="str">
        <v>한은혜</v>
      </c>
      <c r="BL46" s="199" t="str">
        <v>lili****</v>
      </c>
      <c r="BM46" s="199" t="str">
        <v>010-7444-5029</v>
      </c>
      <c r="BN46" s="198">
        <v>45450</v>
      </c>
      <c r="BO46" s="199" t="str">
        <v>CJ대한통운</v>
      </c>
      <c r="BP46" s="199" t="str">
        <v>540215391691</v>
      </c>
      <c r="BQ46" s="199">
        <v>0</v>
      </c>
      <c r="BR46" s="199" t="str">
        <v>SE.107</v>
      </c>
      <c r="BS46" s="199" t="str">
        <v>투명</v>
      </c>
      <c r="BT46" s="199">
        <v>3</v>
      </c>
      <c r="BU46" s="199" t="str">
        <v>기찬수제돈까스</v>
      </c>
      <c r="BV46" s="199" t="str">
        <v>010-7444-5029</v>
      </c>
      <c r="BW46" s="199" t="str">
        <v>010-7704-5638</v>
      </c>
      <c r="BX46" s="199" t="str">
        <v>서울특별시 도봉구 도봉로153길 63 (방학동) 1층 좌측</v>
      </c>
      <c r="BY46" s="199">
        <v>0</v>
      </c>
      <c r="BZ46" s="199">
        <v>0</v>
      </c>
      <c r="CA46" s="273">
        <v>0</v>
      </c>
      <c r="CB46" s="199">
        <v>9720</v>
      </c>
      <c r="CC46" s="199">
        <v>3870</v>
      </c>
      <c r="CD46" s="199">
        <v>0</v>
      </c>
      <c r="CE46" s="200">
        <v>0</v>
      </c>
      <c r="CF46" s="200">
        <v>0</v>
      </c>
      <c r="CG46" s="200">
        <v>0</v>
      </c>
      <c r="CH46" s="200">
        <v>0</v>
      </c>
      <c r="CI46" s="200" t="str">
        <v>소폭 30*51</v>
      </c>
      <c r="CJ46" s="200" t="str">
        <v>재구매</v>
      </c>
      <c r="CK46" s="200">
        <v>3240</v>
      </c>
      <c r="CL46" s="200">
        <v>2156</v>
      </c>
      <c r="CM46" s="200">
        <v>9720</v>
      </c>
      <c r="CN46" s="156">
        <v>0</v>
      </c>
      <c r="CO46" s="156">
        <v>568</v>
      </c>
      <c r="CP46" s="156">
        <v>0</v>
      </c>
      <c r="CQ46" s="156">
        <v>0</v>
      </c>
      <c r="CR46" s="156">
        <v>0</v>
      </c>
      <c r="CS46" s="156" t="str">
        <v>ptDB47</v>
      </c>
      <c r="CT46" s="156">
        <v>0</v>
      </c>
      <c r="CU46" s="156">
        <v>9720</v>
      </c>
      <c r="CV46" s="156">
        <v>0</v>
      </c>
      <c r="CW46" s="156">
        <v>568</v>
      </c>
      <c r="CX46" s="156">
        <v>0</v>
      </c>
      <c r="CY46" s="156">
        <v>0</v>
      </c>
      <c r="CZ46" s="156" t="str">
        <v/>
      </c>
      <c r="DA46" s="156">
        <v>0</v>
      </c>
      <c r="DB46" s="156">
        <v>6468</v>
      </c>
    </row>
    <row r="47" spans="2:106" ht="18" customHeight="1">
      <c r="H47" s="173">
        <v>90</v>
      </c>
      <c r="I47" s="156" t="str">
        <v>비닐스토리</v>
      </c>
      <c r="J47" s="177">
        <v>45450</v>
      </c>
      <c r="K47" s="176" t="str">
        <v>16100052233808</v>
      </c>
      <c r="L47" s="176" t="str">
        <v>쿠팡</v>
      </c>
      <c r="M47" s="176" t="str">
        <v>박명미란</v>
      </c>
      <c r="N47" s="176" t="str">
        <v>to*****@ha</v>
      </c>
      <c r="O47" s="177" t="str">
        <v>0502-1675-6673</v>
      </c>
      <c r="P47" s="177">
        <v>45453</v>
      </c>
      <c r="Q47" s="176" t="str">
        <v>CJ대한통운</v>
      </c>
      <c r="R47" s="176" t="str">
        <v>540216967170</v>
      </c>
      <c r="S47" s="178">
        <v>0</v>
      </c>
      <c r="T47" s="176" t="str">
        <v>SE.204</v>
      </c>
      <c r="U47" s="176" t="str">
        <v>투명</v>
      </c>
      <c r="V47" s="176">
        <v>1</v>
      </c>
      <c r="W47" s="176" t="str">
        <v>박명미란</v>
      </c>
      <c r="X47" s="176" t="str">
        <v>0502-1675-6673</v>
      </c>
      <c r="Y47" s="176">
        <v>0</v>
      </c>
      <c r="Z47" s="176" t="str">
        <v>전라남도 나주시 다시면 문동리 770 지엘</v>
      </c>
      <c r="AA47" s="190" t="str">
        <v>지엘 창고 안에 넣어주세요.</v>
      </c>
      <c r="AB47" s="190">
        <v>0</v>
      </c>
      <c r="AC47" s="277">
        <v>0</v>
      </c>
      <c r="AD47" s="190">
        <v>24570</v>
      </c>
      <c r="AE47" s="190">
        <v>0</v>
      </c>
      <c r="AF47" s="190">
        <v>0</v>
      </c>
      <c r="AG47" s="190">
        <v>4400</v>
      </c>
      <c r="AH47" s="190">
        <v>0</v>
      </c>
      <c r="AI47" s="190">
        <v>0</v>
      </c>
      <c r="AJ47" s="190">
        <v>0</v>
      </c>
      <c r="AK47" s="190" t="str">
        <v>떡롤 30*400</v>
      </c>
      <c r="AL47" s="190">
        <v>0</v>
      </c>
      <c r="AM47" s="173">
        <v>23210</v>
      </c>
      <c r="AN47" s="173">
        <v>14300</v>
      </c>
      <c r="AO47" s="206">
        <v>24570</v>
      </c>
      <c r="AP47" s="206">
        <v>18700</v>
      </c>
      <c r="AQ47" s="173">
        <v>2919</v>
      </c>
      <c r="AR47" s="173">
        <v>2951</v>
      </c>
      <c r="AS47" s="173">
        <v>0.1201</v>
      </c>
      <c r="AT47" s="173">
        <v>0</v>
      </c>
      <c r="AU47" s="173" t="str">
        <v>ptDB47</v>
      </c>
      <c r="AV47" s="173">
        <v>0</v>
      </c>
      <c r="AW47" s="173">
        <v>24570</v>
      </c>
      <c r="AX47" s="173">
        <v>18700</v>
      </c>
      <c r="AY47" s="173">
        <v>2919</v>
      </c>
      <c r="AZ47" s="173">
        <v>2951</v>
      </c>
      <c r="BA47" s="173">
        <v>0.1201</v>
      </c>
      <c r="BB47" s="173" t="str">
        <v/>
      </c>
      <c r="BC47" s="173">
        <v>0</v>
      </c>
      <c r="BD47" s="156">
        <v>14300</v>
      </c>
      <c r="BF47" s="156">
        <v>84</v>
      </c>
      <c r="BG47" s="156" t="str">
        <v>비닐팩토리</v>
      </c>
      <c r="BH47" s="198">
        <v>45448</v>
      </c>
      <c r="BI47" s="199" t="str">
        <v>5100051437810</v>
      </c>
      <c r="BJ47" s="199" t="str">
        <v>쿠팡</v>
      </c>
      <c r="BK47" s="199" t="str">
        <v>김서영</v>
      </c>
      <c r="BL47" s="199" t="str">
        <v>vv*****@na</v>
      </c>
      <c r="BM47" s="199" t="str">
        <v>0502-4860-8914</v>
      </c>
      <c r="BN47" s="198">
        <v>45450</v>
      </c>
      <c r="BO47" s="199" t="str">
        <v>CJ대한통운</v>
      </c>
      <c r="BP47" s="199" t="str">
        <v>540215391573</v>
      </c>
      <c r="BQ47" s="199">
        <v>0</v>
      </c>
      <c r="BR47" s="199" t="str">
        <v>SE.205</v>
      </c>
      <c r="BS47" s="199" t="str">
        <v>투명</v>
      </c>
      <c r="BT47" s="199">
        <v>1</v>
      </c>
      <c r="BU47" s="199" t="str">
        <v>김서영</v>
      </c>
      <c r="BV47" s="199" t="str">
        <v>0502-4860-8914</v>
      </c>
      <c r="BW47" s="199">
        <v>0</v>
      </c>
      <c r="BX47" s="199" t="str">
        <v>부산광역시 부산진구 성지로 37 연지 래미안어반파크 101동 102호 ( 연지동 )</v>
      </c>
      <c r="BY47" s="199" t="str">
        <v>직접 받고 부재 시 문 앞</v>
      </c>
      <c r="BZ47" s="199">
        <v>0</v>
      </c>
      <c r="CA47" s="273">
        <v>0</v>
      </c>
      <c r="CB47" s="199">
        <v>25200</v>
      </c>
      <c r="CC47" s="199">
        <v>0</v>
      </c>
      <c r="CD47" s="199">
        <v>3000</v>
      </c>
      <c r="CE47" s="200">
        <v>3500</v>
      </c>
      <c r="CF47" s="200">
        <v>0</v>
      </c>
      <c r="CG47" s="200">
        <v>0</v>
      </c>
      <c r="CH47" s="200">
        <v>0</v>
      </c>
      <c r="CI47" s="200" t="str">
        <v>떡롤 35*400</v>
      </c>
      <c r="CJ47" s="200">
        <v>0</v>
      </c>
      <c r="CK47" s="200">
        <v>25200</v>
      </c>
      <c r="CL47" s="200">
        <v>16500</v>
      </c>
      <c r="CM47" s="200">
        <v>28200</v>
      </c>
      <c r="CN47" s="156">
        <v>0</v>
      </c>
      <c r="CO47" s="156">
        <v>3093</v>
      </c>
      <c r="CP47" s="156">
        <v>0</v>
      </c>
      <c r="CQ47" s="156">
        <v>0</v>
      </c>
      <c r="CR47" s="156">
        <v>0</v>
      </c>
      <c r="CS47" s="156" t="str">
        <v>ptDB47</v>
      </c>
      <c r="CT47" s="156">
        <v>0</v>
      </c>
      <c r="CU47" s="156">
        <v>28200</v>
      </c>
      <c r="CV47" s="156">
        <v>0</v>
      </c>
      <c r="CW47" s="156">
        <v>3093</v>
      </c>
      <c r="CX47" s="156">
        <v>0</v>
      </c>
      <c r="CY47" s="156">
        <v>0</v>
      </c>
      <c r="CZ47" s="156" t="str">
        <v/>
      </c>
      <c r="DA47" s="156">
        <v>0</v>
      </c>
      <c r="DB47" s="156">
        <v>16500</v>
      </c>
    </row>
    <row r="48" spans="2:106" ht="18" customHeight="1">
      <c r="H48" s="173">
        <v>91</v>
      </c>
      <c r="I48" s="156" t="str">
        <v>비닐스토리</v>
      </c>
      <c r="J48" s="177">
        <v>45450</v>
      </c>
      <c r="K48" s="176" t="str">
        <v>16100052233808</v>
      </c>
      <c r="L48" s="176" t="str">
        <v>쿠팡</v>
      </c>
      <c r="M48" s="176" t="str">
        <v>박명미란</v>
      </c>
      <c r="N48" s="176" t="str">
        <v>to*****@ha</v>
      </c>
      <c r="O48" s="177" t="str">
        <v>0502-1675-6673</v>
      </c>
      <c r="P48" s="177">
        <v>45453</v>
      </c>
      <c r="Q48" s="176" t="str">
        <v>CJ대한통운</v>
      </c>
      <c r="R48" s="176" t="str">
        <v>540216967170</v>
      </c>
      <c r="S48" s="178">
        <v>0</v>
      </c>
      <c r="T48" s="176" t="str">
        <v>SE.205</v>
      </c>
      <c r="U48" s="176" t="str">
        <v>투명</v>
      </c>
      <c r="V48" s="176">
        <v>1</v>
      </c>
      <c r="W48" s="176" t="str">
        <v>박명미란</v>
      </c>
      <c r="X48" s="176" t="str">
        <v>0502-1675-6673</v>
      </c>
      <c r="Y48" s="176">
        <v>0</v>
      </c>
      <c r="Z48" s="176" t="str">
        <v>전라남도 나주시 다시면 문동리 770 지엘</v>
      </c>
      <c r="AA48" s="190" t="str">
        <v>지엘 창고 안에 넣어주세요.</v>
      </c>
      <c r="AB48" s="190">
        <v>0</v>
      </c>
      <c r="AC48" s="277">
        <v>0</v>
      </c>
      <c r="AD48" s="190">
        <v>28350</v>
      </c>
      <c r="AE48" s="190">
        <v>0</v>
      </c>
      <c r="AF48" s="190">
        <v>0</v>
      </c>
      <c r="AG48" s="190">
        <v>0</v>
      </c>
      <c r="AH48" s="190">
        <v>0</v>
      </c>
      <c r="AI48" s="190">
        <v>0</v>
      </c>
      <c r="AJ48" s="190">
        <v>0</v>
      </c>
      <c r="AK48" s="190" t="str">
        <v>떡롤 35*400</v>
      </c>
      <c r="AL48" s="190" t="str">
        <v>재구매</v>
      </c>
      <c r="AM48" s="173">
        <v>26780</v>
      </c>
      <c r="AN48" s="173">
        <v>16500</v>
      </c>
      <c r="AO48" s="206">
        <v>28350</v>
      </c>
      <c r="AP48" s="206">
        <v>16500</v>
      </c>
      <c r="AQ48" s="173">
        <v>3368</v>
      </c>
      <c r="AR48" s="173">
        <v>8482</v>
      </c>
      <c r="AS48" s="173">
        <v>0.29920000000000002</v>
      </c>
      <c r="AT48" s="173">
        <v>0</v>
      </c>
      <c r="AU48" s="173" t="str">
        <v>ptDB47</v>
      </c>
      <c r="AV48" s="173">
        <v>0</v>
      </c>
      <c r="AW48" s="173">
        <v>28350</v>
      </c>
      <c r="AX48" s="173">
        <v>16500</v>
      </c>
      <c r="AY48" s="173">
        <v>3368</v>
      </c>
      <c r="AZ48" s="173">
        <v>8482</v>
      </c>
      <c r="BA48" s="173">
        <v>0.29920000000000002</v>
      </c>
      <c r="BB48" s="173" t="str">
        <v/>
      </c>
      <c r="BC48" s="173">
        <v>0</v>
      </c>
      <c r="BD48" s="156">
        <v>16500</v>
      </c>
      <c r="BF48" s="156">
        <v>85</v>
      </c>
      <c r="BG48" s="156" t="str">
        <v>비닐팩토리</v>
      </c>
      <c r="BH48" s="198">
        <v>45449</v>
      </c>
      <c r="BI48" s="199" t="str">
        <v>13100051693704</v>
      </c>
      <c r="BJ48" s="199" t="str">
        <v>쿠팡</v>
      </c>
      <c r="BK48" s="199" t="str">
        <v>김기옥</v>
      </c>
      <c r="BL48" s="199" t="str">
        <v>ki*****@ha</v>
      </c>
      <c r="BM48" s="199" t="str">
        <v>0502-4592-1021</v>
      </c>
      <c r="BN48" s="198">
        <v>45450</v>
      </c>
      <c r="BO48" s="199" t="str">
        <v>CJ대한통운</v>
      </c>
      <c r="BP48" s="199" t="str">
        <v>540215391374</v>
      </c>
      <c r="BQ48" s="199">
        <v>0</v>
      </c>
      <c r="BR48" s="199" t="str">
        <v>SE.206</v>
      </c>
      <c r="BS48" s="199" t="str">
        <v>투명</v>
      </c>
      <c r="BT48" s="199">
        <v>1</v>
      </c>
      <c r="BU48" s="199" t="str">
        <v>김기옥</v>
      </c>
      <c r="BV48" s="199" t="str">
        <v>0502-4592-1021</v>
      </c>
      <c r="BW48" s="199">
        <v>0</v>
      </c>
      <c r="BX48" s="199" t="str">
        <v>서울특별시 은평구 구산동 16-85 1층 왼쪽</v>
      </c>
      <c r="BY48" s="199" t="str">
        <v>문 앞</v>
      </c>
      <c r="BZ48" s="199">
        <v>0</v>
      </c>
      <c r="CA48" s="273">
        <v>0</v>
      </c>
      <c r="CB48" s="199">
        <v>30240</v>
      </c>
      <c r="CC48" s="199">
        <v>0</v>
      </c>
      <c r="CD48" s="199">
        <v>3000</v>
      </c>
      <c r="CE48" s="200">
        <v>3500</v>
      </c>
      <c r="CF48" s="200">
        <v>0</v>
      </c>
      <c r="CG48" s="200">
        <v>0</v>
      </c>
      <c r="CH48" s="200">
        <v>0</v>
      </c>
      <c r="CI48" s="200" t="str">
        <v>떡롤 45*330</v>
      </c>
      <c r="CJ48" s="200">
        <v>0</v>
      </c>
      <c r="CK48" s="200">
        <v>30240</v>
      </c>
      <c r="CL48" s="200">
        <v>19800</v>
      </c>
      <c r="CM48" s="200">
        <v>33240</v>
      </c>
      <c r="CN48" s="156">
        <v>0</v>
      </c>
      <c r="CO48" s="156">
        <v>3692</v>
      </c>
      <c r="CP48" s="156">
        <v>0</v>
      </c>
      <c r="CQ48" s="156">
        <v>0</v>
      </c>
      <c r="CR48" s="156">
        <v>0</v>
      </c>
      <c r="CS48" s="156" t="str">
        <v>ptDB47</v>
      </c>
      <c r="CT48" s="156">
        <v>0</v>
      </c>
      <c r="CU48" s="156">
        <v>33240</v>
      </c>
      <c r="CV48" s="156">
        <v>0</v>
      </c>
      <c r="CW48" s="156">
        <v>3692</v>
      </c>
      <c r="CX48" s="156">
        <v>0</v>
      </c>
      <c r="CY48" s="156">
        <v>0</v>
      </c>
      <c r="CZ48" s="156" t="str">
        <v/>
      </c>
      <c r="DA48" s="156">
        <v>0</v>
      </c>
      <c r="DB48" s="156">
        <v>19800</v>
      </c>
    </row>
    <row r="49" spans="8:106" ht="18" customHeight="1">
      <c r="H49" s="173">
        <v>92</v>
      </c>
      <c r="I49" s="156" t="str">
        <v>비닐스토리</v>
      </c>
      <c r="J49" s="177">
        <v>45450</v>
      </c>
      <c r="K49" s="176" t="str">
        <v>16100052244396</v>
      </c>
      <c r="L49" s="176" t="str">
        <v>쿠팡</v>
      </c>
      <c r="M49" s="176" t="str">
        <v>류용재</v>
      </c>
      <c r="N49" s="176" t="str">
        <v>ry*****@ha</v>
      </c>
      <c r="O49" s="177" t="str">
        <v>0502-1241-0308</v>
      </c>
      <c r="P49" s="177">
        <v>45453</v>
      </c>
      <c r="Q49" s="176" t="str">
        <v>CJ대한통운</v>
      </c>
      <c r="R49" s="176" t="str">
        <v>540216957786</v>
      </c>
      <c r="S49" s="178">
        <v>0</v>
      </c>
      <c r="T49" s="176" t="str">
        <v>SE.206</v>
      </c>
      <c r="U49" s="176" t="str">
        <v>투명</v>
      </c>
      <c r="V49" s="176">
        <v>1</v>
      </c>
      <c r="W49" s="176" t="str">
        <v>류용재</v>
      </c>
      <c r="X49" s="176" t="str">
        <v>0502-1241-0308</v>
      </c>
      <c r="Y49" s="176">
        <v>0</v>
      </c>
      <c r="Z49" s="176" t="str">
        <v>경상북도 구미시 수출대로21길 4 107호 동구미떡집 ( 황상동, 신화오페라하우스 )</v>
      </c>
      <c r="AA49" s="190" t="str">
        <v>직접 받고 부재 시 문 앞</v>
      </c>
      <c r="AB49" s="190">
        <v>0</v>
      </c>
      <c r="AC49" s="277">
        <v>0</v>
      </c>
      <c r="AD49" s="190">
        <v>34020</v>
      </c>
      <c r="AE49" s="190">
        <v>0</v>
      </c>
      <c r="AF49" s="190">
        <v>3000</v>
      </c>
      <c r="AG49" s="190">
        <v>3500</v>
      </c>
      <c r="AH49" s="190">
        <v>0</v>
      </c>
      <c r="AI49" s="190">
        <v>0</v>
      </c>
      <c r="AJ49" s="190">
        <v>0</v>
      </c>
      <c r="AK49" s="190" t="str">
        <v>떡롤 45*330</v>
      </c>
      <c r="AL49" s="190">
        <v>0</v>
      </c>
      <c r="AM49" s="173">
        <v>32130</v>
      </c>
      <c r="AN49" s="173">
        <v>19800</v>
      </c>
      <c r="AO49" s="206">
        <v>37020</v>
      </c>
      <c r="AP49" s="206">
        <v>23300</v>
      </c>
      <c r="AQ49" s="173">
        <v>4141</v>
      </c>
      <c r="AR49" s="173">
        <v>9579</v>
      </c>
      <c r="AS49" s="173">
        <v>0.25879999999999997</v>
      </c>
      <c r="AT49" s="173">
        <v>0</v>
      </c>
      <c r="AU49" s="173" t="str">
        <v>ptDB47</v>
      </c>
      <c r="AV49" s="173">
        <v>0</v>
      </c>
      <c r="AW49" s="173">
        <v>37020</v>
      </c>
      <c r="AX49" s="173">
        <v>23300</v>
      </c>
      <c r="AY49" s="173">
        <v>4141</v>
      </c>
      <c r="AZ49" s="173">
        <v>9579</v>
      </c>
      <c r="BA49" s="173">
        <v>0.25879999999999997</v>
      </c>
      <c r="BB49" s="173" t="str">
        <v/>
      </c>
      <c r="BC49" s="173">
        <v>0</v>
      </c>
      <c r="BD49" s="156">
        <v>19800</v>
      </c>
      <c r="BF49" s="156">
        <v>88</v>
      </c>
      <c r="BG49" s="156" t="str">
        <v>비닐팩토리</v>
      </c>
      <c r="BH49" s="198">
        <v>45453</v>
      </c>
      <c r="BI49" s="199" t="str">
        <v>45470688</v>
      </c>
      <c r="BJ49" s="199" t="str">
        <v>대표</v>
      </c>
      <c r="BK49" s="199">
        <v>0</v>
      </c>
      <c r="BL49" s="199">
        <v>0</v>
      </c>
      <c r="BM49" s="199">
        <v>0</v>
      </c>
      <c r="BN49" s="198">
        <v>45453</v>
      </c>
      <c r="BO49" s="199" t="str">
        <v>CJ대한통운</v>
      </c>
      <c r="BP49" s="199" t="str">
        <v>530218428490</v>
      </c>
      <c r="BQ49" s="199">
        <v>0</v>
      </c>
      <c r="BR49" s="199" t="str">
        <v>SE.1000</v>
      </c>
      <c r="BS49" s="199" t="str">
        <v>투명</v>
      </c>
      <c r="BT49" s="199">
        <v>1</v>
      </c>
      <c r="BU49" s="199" t="str">
        <v>동해수산</v>
      </c>
      <c r="BV49" s="199" t="str">
        <v>010-6313-8011</v>
      </c>
      <c r="BW49" s="199">
        <v>0</v>
      </c>
      <c r="BX49" s="199" t="str">
        <v>대구 동구 아양로37길 31 동서시장내 동해수산</v>
      </c>
      <c r="BY49" s="199">
        <v>0</v>
      </c>
      <c r="BZ49" s="199">
        <v>0</v>
      </c>
      <c r="CA49" s="273">
        <v>0</v>
      </c>
      <c r="CB49" s="199">
        <v>0</v>
      </c>
      <c r="CC49" s="199">
        <v>0</v>
      </c>
      <c r="CD49" s="199">
        <v>0</v>
      </c>
      <c r="CE49" s="200">
        <v>5500</v>
      </c>
      <c r="CF49" s="200">
        <v>0</v>
      </c>
      <c r="CG49" s="200">
        <v>0</v>
      </c>
      <c r="CH49" s="200">
        <v>0</v>
      </c>
      <c r="CI49" s="200" t="str">
        <v>대표</v>
      </c>
      <c r="CJ49" s="200" t="str">
        <v>재구매</v>
      </c>
      <c r="CK49" s="200">
        <v>0</v>
      </c>
      <c r="CL49" s="200">
        <v>0</v>
      </c>
      <c r="CM49" s="200">
        <v>0</v>
      </c>
      <c r="CN49" s="156">
        <v>0</v>
      </c>
      <c r="CO49" s="156">
        <v>0</v>
      </c>
      <c r="CP49" s="156">
        <v>0</v>
      </c>
      <c r="CQ49" s="156">
        <v>0</v>
      </c>
      <c r="CR49" s="156">
        <v>0</v>
      </c>
      <c r="CS49" s="156" t="str">
        <v>ptDB47</v>
      </c>
      <c r="CT49" s="156">
        <v>0</v>
      </c>
      <c r="CU49" s="156">
        <v>0</v>
      </c>
      <c r="CV49" s="156">
        <v>0</v>
      </c>
      <c r="CW49" s="156">
        <v>0</v>
      </c>
      <c r="CX49" s="156">
        <v>0</v>
      </c>
      <c r="CY49" s="156">
        <v>0</v>
      </c>
      <c r="CZ49" s="156" t="str">
        <v/>
      </c>
      <c r="DA49" s="156">
        <v>0</v>
      </c>
      <c r="DB49" s="156">
        <v>0</v>
      </c>
    </row>
    <row r="50" spans="8:106" ht="18" customHeight="1">
      <c r="H50" s="173">
        <v>93</v>
      </c>
      <c r="I50" s="156" t="str">
        <v>비닐스토리</v>
      </c>
      <c r="J50" s="177">
        <v>45450</v>
      </c>
      <c r="K50" s="176" t="str">
        <v>8100051985118</v>
      </c>
      <c r="L50" s="176" t="str">
        <v>쿠팡</v>
      </c>
      <c r="M50" s="176" t="str">
        <v>권보민</v>
      </c>
      <c r="N50" s="176" t="str">
        <v>sk*****@na</v>
      </c>
      <c r="O50" s="177" t="str">
        <v>0502-1253-6938</v>
      </c>
      <c r="P50" s="177">
        <v>45453</v>
      </c>
      <c r="Q50" s="176" t="str">
        <v>CJ대한통운</v>
      </c>
      <c r="R50" s="176" t="str">
        <v>530217935675</v>
      </c>
      <c r="S50" s="178">
        <v>0</v>
      </c>
      <c r="T50" s="176" t="str">
        <v>SE.307</v>
      </c>
      <c r="U50" s="176" t="str">
        <v>투명</v>
      </c>
      <c r="V50" s="176">
        <v>1</v>
      </c>
      <c r="W50" s="176" t="str">
        <v>해피앤댕</v>
      </c>
      <c r="X50" s="176" t="str">
        <v>0502-1253-6938</v>
      </c>
      <c r="Y50" s="176">
        <v>0</v>
      </c>
      <c r="Z50" s="176" t="str">
        <v>충청북도 청주시 청원구 율봉로116번길 24 102호 해피앤댕 ( 율량동 )</v>
      </c>
      <c r="AA50" s="190" t="str">
        <v>문 앞</v>
      </c>
      <c r="AB50" s="190">
        <v>0</v>
      </c>
      <c r="AC50" s="277">
        <v>0</v>
      </c>
      <c r="AD50" s="190">
        <v>12470</v>
      </c>
      <c r="AE50" s="190">
        <v>0</v>
      </c>
      <c r="AF50" s="190">
        <v>3000</v>
      </c>
      <c r="AG50" s="190">
        <v>3000</v>
      </c>
      <c r="AH50" s="190">
        <v>0</v>
      </c>
      <c r="AI50" s="190">
        <v>0</v>
      </c>
      <c r="AJ50" s="190">
        <v>0</v>
      </c>
      <c r="AK50" s="190" t="str">
        <v>떡외겹 30*30</v>
      </c>
      <c r="AL50" s="190">
        <v>0</v>
      </c>
      <c r="AM50" s="173">
        <v>11780</v>
      </c>
      <c r="AN50" s="173">
        <v>7260</v>
      </c>
      <c r="AO50" s="206">
        <v>15470</v>
      </c>
      <c r="AP50" s="206">
        <v>10260</v>
      </c>
      <c r="AQ50" s="173">
        <v>1580</v>
      </c>
      <c r="AR50" s="173">
        <v>3630</v>
      </c>
      <c r="AS50" s="173">
        <v>0.2346</v>
      </c>
      <c r="AT50" s="173">
        <v>0</v>
      </c>
      <c r="AU50" s="173" t="str">
        <v>ptDB47</v>
      </c>
      <c r="AV50" s="173">
        <v>0</v>
      </c>
      <c r="AW50" s="173">
        <v>15470</v>
      </c>
      <c r="AX50" s="173">
        <v>10260</v>
      </c>
      <c r="AY50" s="173">
        <v>1580</v>
      </c>
      <c r="AZ50" s="173">
        <v>3630</v>
      </c>
      <c r="BA50" s="173">
        <v>0.2346</v>
      </c>
      <c r="BB50" s="173" t="str">
        <v/>
      </c>
      <c r="BC50" s="173">
        <v>0</v>
      </c>
      <c r="BD50" s="156">
        <v>7260</v>
      </c>
      <c r="BF50" s="156">
        <v>89</v>
      </c>
      <c r="BG50" s="156" t="str">
        <v>비닐팩토리</v>
      </c>
      <c r="BH50" s="198">
        <v>45453</v>
      </c>
      <c r="BI50" s="199" t="str">
        <v>45470625</v>
      </c>
      <c r="BJ50" s="199" t="str">
        <v>대표</v>
      </c>
      <c r="BK50" s="199">
        <v>0</v>
      </c>
      <c r="BL50" s="199">
        <v>0</v>
      </c>
      <c r="BM50" s="199">
        <v>0</v>
      </c>
      <c r="BN50" s="198">
        <v>45453</v>
      </c>
      <c r="BO50" s="199" t="str">
        <v>CJ대한통운</v>
      </c>
      <c r="BP50" s="199" t="str">
        <v>530218428431</v>
      </c>
      <c r="BQ50" s="199">
        <v>0</v>
      </c>
      <c r="BR50" s="199" t="str">
        <v>SE.1000</v>
      </c>
      <c r="BS50" s="199" t="str">
        <v>투명</v>
      </c>
      <c r="BT50" s="199">
        <v>1</v>
      </c>
      <c r="BU50" s="199" t="str">
        <v>동해수산</v>
      </c>
      <c r="BV50" s="199" t="str">
        <v>010-6313-8011</v>
      </c>
      <c r="BW50" s="199">
        <v>0</v>
      </c>
      <c r="BX50" s="199" t="str">
        <v>대구 동구 아양로37길 31 동서시장내 동해수산</v>
      </c>
      <c r="BY50" s="199">
        <v>0</v>
      </c>
      <c r="BZ50" s="199">
        <v>0</v>
      </c>
      <c r="CA50" s="273">
        <v>0</v>
      </c>
      <c r="CB50" s="199">
        <v>0</v>
      </c>
      <c r="CC50" s="199">
        <v>0</v>
      </c>
      <c r="CD50" s="199">
        <v>0</v>
      </c>
      <c r="CE50" s="200">
        <v>5500</v>
      </c>
      <c r="CF50" s="200">
        <v>0</v>
      </c>
      <c r="CG50" s="200">
        <v>0</v>
      </c>
      <c r="CH50" s="200">
        <v>0</v>
      </c>
      <c r="CI50" s="200" t="str">
        <v>대표</v>
      </c>
      <c r="CJ50" s="200" t="str">
        <v>재구매</v>
      </c>
      <c r="CK50" s="200">
        <v>0</v>
      </c>
      <c r="CL50" s="200">
        <v>0</v>
      </c>
      <c r="CM50" s="200">
        <v>0</v>
      </c>
      <c r="CN50" s="156">
        <v>0</v>
      </c>
      <c r="CO50" s="156">
        <v>0</v>
      </c>
      <c r="CP50" s="156">
        <v>0</v>
      </c>
      <c r="CQ50" s="156">
        <v>0</v>
      </c>
      <c r="CR50" s="156">
        <v>0</v>
      </c>
      <c r="CS50" s="156" t="str">
        <v>ptDB47</v>
      </c>
      <c r="CT50" s="156">
        <v>0</v>
      </c>
      <c r="CU50" s="156">
        <v>0</v>
      </c>
      <c r="CV50" s="156">
        <v>0</v>
      </c>
      <c r="CW50" s="156">
        <v>0</v>
      </c>
      <c r="CX50" s="156">
        <v>0</v>
      </c>
      <c r="CY50" s="156">
        <v>0</v>
      </c>
      <c r="CZ50" s="156" t="str">
        <v/>
      </c>
      <c r="DA50" s="156">
        <v>0</v>
      </c>
      <c r="DB50" s="156">
        <v>0</v>
      </c>
    </row>
    <row r="51" spans="8:106" ht="18" customHeight="1">
      <c r="H51" s="173">
        <v>94</v>
      </c>
      <c r="I51" s="156" t="str">
        <v>비닐스토리</v>
      </c>
      <c r="J51" s="177">
        <v>45451</v>
      </c>
      <c r="K51" s="176" t="str">
        <v>3100052051031</v>
      </c>
      <c r="L51" s="176" t="str">
        <v>쿠팡</v>
      </c>
      <c r="M51" s="176" t="str">
        <v>김유리</v>
      </c>
      <c r="N51" s="176" t="str">
        <v>ky*****@na</v>
      </c>
      <c r="O51" s="177" t="str">
        <v>0502-1492-5252</v>
      </c>
      <c r="P51" s="177">
        <v>45453</v>
      </c>
      <c r="Q51" s="176" t="str">
        <v>CJ대한통운</v>
      </c>
      <c r="R51" s="176" t="str">
        <v>540216957602</v>
      </c>
      <c r="S51" s="178">
        <v>0</v>
      </c>
      <c r="T51" s="176" t="str">
        <v>SE.102</v>
      </c>
      <c r="U51" s="176" t="str">
        <v>투명</v>
      </c>
      <c r="V51" s="176">
        <v>1</v>
      </c>
      <c r="W51" s="176" t="str">
        <v>부평집</v>
      </c>
      <c r="X51" s="176" t="str">
        <v>0502-1492-5252</v>
      </c>
      <c r="Y51" s="176">
        <v>0</v>
      </c>
      <c r="Z51" s="176" t="str">
        <v>인천광역시 부평구 길주남로10번길 21 105동 1803호 ( 부평동, 래미안부평 )</v>
      </c>
      <c r="AA51" s="190" t="str">
        <v>문 앞</v>
      </c>
      <c r="AB51" s="190">
        <v>0</v>
      </c>
      <c r="AC51" s="277">
        <v>0</v>
      </c>
      <c r="AD51" s="190">
        <v>1150</v>
      </c>
      <c r="AE51" s="190">
        <v>0</v>
      </c>
      <c r="AF51" s="190">
        <v>3000</v>
      </c>
      <c r="AG51" s="190">
        <v>3000</v>
      </c>
      <c r="AH51" s="190">
        <v>0</v>
      </c>
      <c r="AI51" s="190">
        <v>0</v>
      </c>
      <c r="AJ51" s="190">
        <v>0</v>
      </c>
      <c r="AK51" s="190" t="str">
        <v>소폭 12*26</v>
      </c>
      <c r="AL51" s="190">
        <v>0</v>
      </c>
      <c r="AM51" s="173">
        <v>1070</v>
      </c>
      <c r="AN51" s="173">
        <v>660</v>
      </c>
      <c r="AO51" s="206">
        <v>4150</v>
      </c>
      <c r="AP51" s="206">
        <v>3660</v>
      </c>
      <c r="AQ51" s="173">
        <v>236</v>
      </c>
      <c r="AR51" s="173">
        <v>254</v>
      </c>
      <c r="AS51" s="173">
        <v>6.1199999999999997E-2</v>
      </c>
      <c r="AT51" s="173">
        <v>0</v>
      </c>
      <c r="AU51" s="173" t="str">
        <v>ptDB47</v>
      </c>
      <c r="AV51" s="173">
        <v>0</v>
      </c>
      <c r="AW51" s="173">
        <v>4150</v>
      </c>
      <c r="AX51" s="173">
        <v>3660</v>
      </c>
      <c r="AY51" s="173">
        <v>236</v>
      </c>
      <c r="AZ51" s="173">
        <v>254</v>
      </c>
      <c r="BA51" s="173">
        <v>6.1199999999999997E-2</v>
      </c>
      <c r="BB51" s="173" t="str">
        <v/>
      </c>
      <c r="BC51" s="173">
        <v>0</v>
      </c>
      <c r="BD51" s="156">
        <v>660</v>
      </c>
      <c r="BF51" s="156">
        <v>104</v>
      </c>
      <c r="BG51" s="156" t="str">
        <v>비닐팩토리</v>
      </c>
      <c r="BH51" s="198">
        <v>45453</v>
      </c>
      <c r="BI51" s="199" t="str">
        <v>24061001</v>
      </c>
      <c r="BJ51" s="199" t="str">
        <v>쿠팡</v>
      </c>
      <c r="BK51" s="199" t="str">
        <v>모응순</v>
      </c>
      <c r="BL51" s="199" t="str">
        <v>es*****@na</v>
      </c>
      <c r="BM51" s="199" t="str">
        <v>0502-4691-3281</v>
      </c>
      <c r="BN51" s="198">
        <v>45453</v>
      </c>
      <c r="BO51" s="199" t="str">
        <v>CJ대한통운</v>
      </c>
      <c r="BP51" s="199" t="str">
        <v>530217935804</v>
      </c>
      <c r="BQ51" s="199">
        <v>0</v>
      </c>
      <c r="BR51" s="199" t="str">
        <v>SE.303</v>
      </c>
      <c r="BS51" s="199" t="str">
        <v>투명</v>
      </c>
      <c r="BT51" s="199">
        <v>10</v>
      </c>
      <c r="BU51" s="199" t="str">
        <v>김종욱</v>
      </c>
      <c r="BV51" s="199" t="str">
        <v>0502-4691-3281</v>
      </c>
      <c r="BW51" s="199">
        <v>0</v>
      </c>
      <c r="BX51" s="199" t="str">
        <v>경기도 과천시 별양로 11 203동 801호 ( 원문동, 과천 위버필드 )</v>
      </c>
      <c r="BY51" s="199" t="str">
        <v>문 앞</v>
      </c>
      <c r="BZ51" s="199">
        <v>0</v>
      </c>
      <c r="CA51" s="273">
        <v>0</v>
      </c>
      <c r="CB51" s="199">
        <v>230200</v>
      </c>
      <c r="CC51" s="199">
        <v>0</v>
      </c>
      <c r="CD51" s="199">
        <v>0</v>
      </c>
      <c r="CE51" s="200">
        <v>5500</v>
      </c>
      <c r="CF51" s="200">
        <v>0</v>
      </c>
      <c r="CG51" s="200">
        <v>0</v>
      </c>
      <c r="CH51" s="200">
        <v>0</v>
      </c>
      <c r="CI51" s="200" t="str">
        <v>떡외겹 25*25</v>
      </c>
      <c r="CJ51" s="200">
        <v>0</v>
      </c>
      <c r="CK51" s="200">
        <v>23020</v>
      </c>
      <c r="CL51" s="200">
        <v>15070</v>
      </c>
      <c r="CM51" s="200">
        <v>230200</v>
      </c>
      <c r="CN51" s="156">
        <v>0</v>
      </c>
      <c r="CO51" s="156">
        <v>27348</v>
      </c>
      <c r="CP51" s="156">
        <v>0</v>
      </c>
      <c r="CQ51" s="156">
        <v>0</v>
      </c>
      <c r="CR51" s="156">
        <v>0</v>
      </c>
      <c r="CS51" s="156" t="str">
        <v>ptDB47</v>
      </c>
      <c r="CT51" s="156">
        <v>0</v>
      </c>
      <c r="CU51" s="156">
        <v>230200</v>
      </c>
      <c r="CV51" s="156">
        <v>0</v>
      </c>
      <c r="CW51" s="156">
        <v>27348</v>
      </c>
      <c r="CX51" s="156">
        <v>0</v>
      </c>
      <c r="CY51" s="156">
        <v>0</v>
      </c>
      <c r="CZ51" s="156" t="str">
        <v/>
      </c>
      <c r="DA51" s="156">
        <v>1</v>
      </c>
      <c r="DB51" s="156">
        <v>150700</v>
      </c>
    </row>
    <row r="52" spans="8:106" ht="18" customHeight="1">
      <c r="H52" s="173">
        <v>95</v>
      </c>
      <c r="I52" s="156" t="str">
        <v>비닐스토리</v>
      </c>
      <c r="J52" s="177">
        <v>45451</v>
      </c>
      <c r="K52" s="176" t="str">
        <v>29100051943650</v>
      </c>
      <c r="L52" s="176" t="str">
        <v>쿠팡</v>
      </c>
      <c r="M52" s="176" t="str">
        <v>이향수</v>
      </c>
      <c r="N52" s="176" t="str">
        <v>36*****@gm</v>
      </c>
      <c r="O52" s="177" t="str">
        <v>0502-1355-3176</v>
      </c>
      <c r="P52" s="177">
        <v>45453</v>
      </c>
      <c r="Q52" s="176" t="str">
        <v>CJ대한통운</v>
      </c>
      <c r="R52" s="176" t="str">
        <v>540216957624</v>
      </c>
      <c r="S52" s="178">
        <v>0</v>
      </c>
      <c r="T52" s="176" t="str">
        <v>SE.306</v>
      </c>
      <c r="U52" s="176" t="str">
        <v>투명</v>
      </c>
      <c r="V52" s="176">
        <v>1</v>
      </c>
      <c r="W52" s="176" t="str">
        <v>이향수</v>
      </c>
      <c r="X52" s="176" t="str">
        <v>0502-1355-3176</v>
      </c>
      <c r="Y52" s="176">
        <v>0</v>
      </c>
      <c r="Z52" s="176" t="str">
        <v>전라북도 정읍시 산내면 태산로 683-18 스테이옥정</v>
      </c>
      <c r="AA52" s="190" t="str">
        <v>직접 받고 부재 시 문 앞</v>
      </c>
      <c r="AB52" s="190">
        <v>0</v>
      </c>
      <c r="AC52" s="277">
        <v>0</v>
      </c>
      <c r="AD52" s="190">
        <v>16630</v>
      </c>
      <c r="AE52" s="190">
        <v>0</v>
      </c>
      <c r="AF52" s="190">
        <v>3000</v>
      </c>
      <c r="AG52" s="190">
        <v>3000</v>
      </c>
      <c r="AH52" s="190">
        <v>0</v>
      </c>
      <c r="AI52" s="190">
        <v>0</v>
      </c>
      <c r="AJ52" s="190">
        <v>0</v>
      </c>
      <c r="AK52" s="190" t="str">
        <v>떡외겹 20*20</v>
      </c>
      <c r="AL52" s="190">
        <v>0</v>
      </c>
      <c r="AM52" s="173">
        <v>15710</v>
      </c>
      <c r="AN52" s="173">
        <v>9680</v>
      </c>
      <c r="AO52" s="206">
        <v>19630</v>
      </c>
      <c r="AP52" s="206">
        <v>12680</v>
      </c>
      <c r="AQ52" s="173">
        <v>2075</v>
      </c>
      <c r="AR52" s="173">
        <v>4875</v>
      </c>
      <c r="AS52" s="173">
        <v>0.24829999999999999</v>
      </c>
      <c r="AT52" s="173">
        <v>0</v>
      </c>
      <c r="AU52" s="173" t="str">
        <v>ptDB47</v>
      </c>
      <c r="AV52" s="173">
        <v>0</v>
      </c>
      <c r="AW52" s="173">
        <v>19630</v>
      </c>
      <c r="AX52" s="173">
        <v>12680</v>
      </c>
      <c r="AY52" s="173">
        <v>2075</v>
      </c>
      <c r="AZ52" s="173">
        <v>4875</v>
      </c>
      <c r="BA52" s="173">
        <v>0.24829999999999999</v>
      </c>
      <c r="BB52" s="173" t="str">
        <v/>
      </c>
      <c r="BC52" s="173">
        <v>0</v>
      </c>
      <c r="BD52" s="156">
        <v>9680</v>
      </c>
      <c r="BF52" s="156">
        <v>105</v>
      </c>
      <c r="BG52" s="156" t="str">
        <v>비닐팩토리</v>
      </c>
      <c r="BH52" s="198">
        <v>45451</v>
      </c>
      <c r="BI52" s="199" t="str">
        <v>29100051972880</v>
      </c>
      <c r="BJ52" s="199" t="str">
        <v>쿠팡</v>
      </c>
      <c r="BK52" s="199" t="str">
        <v>이유미</v>
      </c>
      <c r="BL52" s="199" t="str">
        <v>yu*****@ha</v>
      </c>
      <c r="BM52" s="199" t="str">
        <v>0502-4626-7359</v>
      </c>
      <c r="BN52" s="198">
        <v>45453</v>
      </c>
      <c r="BO52" s="199" t="str">
        <v>CJ대한통운</v>
      </c>
      <c r="BP52" s="199" t="str">
        <v>540216957661</v>
      </c>
      <c r="BQ52" s="199">
        <v>0</v>
      </c>
      <c r="BR52" s="199" t="str">
        <v>SE.305</v>
      </c>
      <c r="BS52" s="199" t="str">
        <v>투명</v>
      </c>
      <c r="BT52" s="199">
        <v>1</v>
      </c>
      <c r="BU52" s="199" t="str">
        <v>권세희</v>
      </c>
      <c r="BV52" s="199" t="str">
        <v>0502-4626-7359</v>
      </c>
      <c r="BW52" s="199">
        <v>0</v>
      </c>
      <c r="BX52" s="199" t="str">
        <v>부산광역시 연제구 연산동 1310-73 캐슬빌리지 204호</v>
      </c>
      <c r="BY52" s="199" t="str">
        <v>문 앞</v>
      </c>
      <c r="BZ52" s="199">
        <v>0</v>
      </c>
      <c r="CA52" s="273">
        <v>0</v>
      </c>
      <c r="CB52" s="199">
        <v>19320</v>
      </c>
      <c r="CC52" s="199">
        <v>0</v>
      </c>
      <c r="CD52" s="199">
        <v>3000</v>
      </c>
      <c r="CE52" s="200">
        <v>3000</v>
      </c>
      <c r="CF52" s="200">
        <v>0</v>
      </c>
      <c r="CG52" s="200">
        <v>0</v>
      </c>
      <c r="CH52" s="200">
        <v>0</v>
      </c>
      <c r="CI52" s="200" t="str">
        <v>떡외겹 39*40</v>
      </c>
      <c r="CJ52" s="200">
        <v>0</v>
      </c>
      <c r="CK52" s="200">
        <v>19320</v>
      </c>
      <c r="CL52" s="200">
        <v>12650</v>
      </c>
      <c r="CM52" s="200">
        <v>22320</v>
      </c>
      <c r="CN52" s="156">
        <v>0</v>
      </c>
      <c r="CO52" s="156">
        <v>2394</v>
      </c>
      <c r="CP52" s="156">
        <v>0</v>
      </c>
      <c r="CQ52" s="156">
        <v>0</v>
      </c>
      <c r="CR52" s="156">
        <v>0</v>
      </c>
      <c r="CS52" s="156" t="str">
        <v>ptDB47</v>
      </c>
      <c r="CT52" s="156">
        <v>0</v>
      </c>
      <c r="CU52" s="156">
        <v>22320</v>
      </c>
      <c r="CV52" s="156">
        <v>0</v>
      </c>
      <c r="CW52" s="156">
        <v>2394</v>
      </c>
      <c r="CX52" s="156">
        <v>0</v>
      </c>
      <c r="CY52" s="156">
        <v>0</v>
      </c>
      <c r="CZ52" s="156" t="str">
        <v/>
      </c>
      <c r="DA52" s="156">
        <v>0</v>
      </c>
      <c r="DB52" s="156">
        <v>12650</v>
      </c>
    </row>
    <row r="53" spans="8:106" ht="18" customHeight="1">
      <c r="H53" s="173">
        <v>96</v>
      </c>
      <c r="I53" s="156" t="str">
        <v>비닐스토리</v>
      </c>
      <c r="J53" s="177">
        <v>45451</v>
      </c>
      <c r="K53" s="176" t="str">
        <v>2100051837419</v>
      </c>
      <c r="L53" s="176" t="str">
        <v>쿠팡</v>
      </c>
      <c r="M53" s="176" t="str">
        <v>이혜영</v>
      </c>
      <c r="N53" s="176" t="str">
        <v>pi*****@na</v>
      </c>
      <c r="O53" s="177" t="str">
        <v>0502-1490-2390</v>
      </c>
      <c r="P53" s="177">
        <v>45453</v>
      </c>
      <c r="Q53" s="176" t="str">
        <v>CJ대한통운</v>
      </c>
      <c r="R53" s="176" t="str">
        <v>540216957565</v>
      </c>
      <c r="S53" s="178">
        <v>0</v>
      </c>
      <c r="T53" s="176" t="str">
        <v>SE.111</v>
      </c>
      <c r="U53" s="176" t="str">
        <v>투명</v>
      </c>
      <c r="V53" s="176">
        <v>2</v>
      </c>
      <c r="W53" s="176" t="str">
        <v>이혜영</v>
      </c>
      <c r="X53" s="176" t="str">
        <v>0502-1490-2390</v>
      </c>
      <c r="Y53" s="176">
        <v>0</v>
      </c>
      <c r="Z53" s="176" t="str">
        <v>경기도 고양시 일산서구 후곡로 10 905동 304호 ( 일산동, 후곡마을9단지아파트 )</v>
      </c>
      <c r="AA53" s="190" t="str">
        <v>문 앞</v>
      </c>
      <c r="AB53" s="190">
        <v>0</v>
      </c>
      <c r="AC53" s="277">
        <v>0</v>
      </c>
      <c r="AD53" s="190">
        <v>7700</v>
      </c>
      <c r="AE53" s="190">
        <v>0</v>
      </c>
      <c r="AF53" s="190">
        <v>0</v>
      </c>
      <c r="AG53" s="190">
        <v>3500</v>
      </c>
      <c r="AH53" s="190">
        <v>0</v>
      </c>
      <c r="AI53" s="190">
        <v>0</v>
      </c>
      <c r="AJ53" s="190">
        <v>0</v>
      </c>
      <c r="AK53" s="190" t="str">
        <v>고추 70*110</v>
      </c>
      <c r="AL53" s="190">
        <v>0</v>
      </c>
      <c r="AM53" s="173">
        <v>3570</v>
      </c>
      <c r="AN53" s="173">
        <v>2200</v>
      </c>
      <c r="AO53" s="206">
        <v>7700</v>
      </c>
      <c r="AP53" s="206">
        <v>7900</v>
      </c>
      <c r="AQ53" s="173">
        <v>915</v>
      </c>
      <c r="AR53" s="173">
        <v>-1115</v>
      </c>
      <c r="AS53" s="173">
        <v>-0.14480000000000001</v>
      </c>
      <c r="AT53" s="173">
        <v>0</v>
      </c>
      <c r="AU53" s="173" t="str">
        <v>ptDB47</v>
      </c>
      <c r="AV53" s="173">
        <v>0</v>
      </c>
      <c r="AW53" s="173">
        <v>7700</v>
      </c>
      <c r="AX53" s="173">
        <v>7900</v>
      </c>
      <c r="AY53" s="173">
        <v>915</v>
      </c>
      <c r="AZ53" s="173">
        <v>-1115</v>
      </c>
      <c r="BA53" s="173">
        <v>-0.14480000000000001</v>
      </c>
      <c r="BB53" s="173" t="str">
        <v/>
      </c>
      <c r="BC53" s="173">
        <v>0</v>
      </c>
      <c r="BD53" s="156">
        <v>4400</v>
      </c>
      <c r="BF53" s="156">
        <v>106</v>
      </c>
      <c r="BG53" s="156" t="str">
        <v>비닐팩토리</v>
      </c>
      <c r="BH53" s="198">
        <v>45452</v>
      </c>
      <c r="BI53" s="199" t="str">
        <v>6100052038770</v>
      </c>
      <c r="BJ53" s="199" t="str">
        <v>쿠팡</v>
      </c>
      <c r="BK53" s="199" t="str">
        <v>모응순</v>
      </c>
      <c r="BL53" s="199" t="str">
        <v>es*****@na</v>
      </c>
      <c r="BM53" s="199" t="str">
        <v>0502-4691-3281</v>
      </c>
      <c r="BN53" s="198">
        <v>45453</v>
      </c>
      <c r="BO53" s="199" t="str">
        <v>CJ대한통운</v>
      </c>
      <c r="BP53" s="199" t="str">
        <v>530217935734</v>
      </c>
      <c r="BQ53" s="199">
        <v>0</v>
      </c>
      <c r="BR53" s="199" t="str">
        <v>SE.303</v>
      </c>
      <c r="BS53" s="199" t="str">
        <v>투명</v>
      </c>
      <c r="BT53" s="199">
        <v>10</v>
      </c>
      <c r="BU53" s="199" t="str">
        <v>김종욱</v>
      </c>
      <c r="BV53" s="199" t="str">
        <v>0502-4691-3281</v>
      </c>
      <c r="BW53" s="199">
        <v>0</v>
      </c>
      <c r="BX53" s="199" t="str">
        <v>경기도 과천시 별양로 11 203동 801호 ( 원문동, 과천 위버필드 )</v>
      </c>
      <c r="BY53" s="199" t="str">
        <v>문 앞</v>
      </c>
      <c r="BZ53" s="199">
        <v>0</v>
      </c>
      <c r="CA53" s="273">
        <v>0</v>
      </c>
      <c r="CB53" s="199">
        <v>230200</v>
      </c>
      <c r="CC53" s="199">
        <v>0</v>
      </c>
      <c r="CD53" s="199">
        <v>0</v>
      </c>
      <c r="CE53" s="200">
        <v>0</v>
      </c>
      <c r="CF53" s="200">
        <v>0</v>
      </c>
      <c r="CG53" s="200">
        <v>0</v>
      </c>
      <c r="CH53" s="200">
        <v>0</v>
      </c>
      <c r="CI53" s="200" t="str">
        <v>떡외겹 25*25</v>
      </c>
      <c r="CJ53" s="200" t="str">
        <v>재구매</v>
      </c>
      <c r="CK53" s="200">
        <v>23020</v>
      </c>
      <c r="CL53" s="200">
        <v>15070</v>
      </c>
      <c r="CM53" s="200">
        <v>230200</v>
      </c>
      <c r="CN53" s="156">
        <v>0</v>
      </c>
      <c r="CO53" s="156">
        <v>27348</v>
      </c>
      <c r="CP53" s="156">
        <v>0</v>
      </c>
      <c r="CQ53" s="156">
        <v>0</v>
      </c>
      <c r="CR53" s="156">
        <v>0</v>
      </c>
      <c r="CS53" s="156" t="str">
        <v>ptDB47</v>
      </c>
      <c r="CT53" s="156">
        <v>0</v>
      </c>
      <c r="CU53" s="156">
        <v>230200</v>
      </c>
      <c r="CV53" s="156">
        <v>0</v>
      </c>
      <c r="CW53" s="156">
        <v>27348</v>
      </c>
      <c r="CX53" s="156">
        <v>0</v>
      </c>
      <c r="CY53" s="156">
        <v>0</v>
      </c>
      <c r="CZ53" s="156" t="str">
        <v/>
      </c>
      <c r="DA53" s="156">
        <v>1</v>
      </c>
      <c r="DB53" s="156">
        <v>150700</v>
      </c>
    </row>
    <row r="54" spans="8:106" ht="18" customHeight="1">
      <c r="H54" s="173">
        <v>97</v>
      </c>
      <c r="I54" s="156" t="str">
        <v>비닐스토리</v>
      </c>
      <c r="J54" s="177">
        <v>45451</v>
      </c>
      <c r="K54" s="176" t="str">
        <v>2100051837419</v>
      </c>
      <c r="L54" s="176" t="str">
        <v>쿠팡</v>
      </c>
      <c r="M54" s="176" t="str">
        <v>이혜영</v>
      </c>
      <c r="N54" s="176" t="str">
        <v>pi*****@na</v>
      </c>
      <c r="O54" s="177" t="str">
        <v>0502-1490-2390</v>
      </c>
      <c r="P54" s="177">
        <v>45453</v>
      </c>
      <c r="Q54" s="176" t="str">
        <v>CJ대한통운</v>
      </c>
      <c r="R54" s="176" t="str">
        <v>540216957565</v>
      </c>
      <c r="S54" s="178">
        <v>0</v>
      </c>
      <c r="T54" s="176" t="str">
        <v>SE.114</v>
      </c>
      <c r="U54" s="176" t="str">
        <v>투명</v>
      </c>
      <c r="V54" s="176">
        <v>2</v>
      </c>
      <c r="W54" s="176" t="str">
        <v>이혜영</v>
      </c>
      <c r="X54" s="176" t="str">
        <v>0502-1490-2390</v>
      </c>
      <c r="Y54" s="176">
        <v>0</v>
      </c>
      <c r="Z54" s="176" t="str">
        <v>경기도 고양시 일산서구 후곡로 10 905동 304호 ( 일산동, 후곡마을9단지아파트 )</v>
      </c>
      <c r="AA54" s="190" t="str">
        <v>문 앞</v>
      </c>
      <c r="AB54" s="190">
        <v>0</v>
      </c>
      <c r="AC54" s="277">
        <v>0</v>
      </c>
      <c r="AD54" s="190">
        <v>12240</v>
      </c>
      <c r="AE54" s="190">
        <v>1360</v>
      </c>
      <c r="AF54" s="190">
        <v>0</v>
      </c>
      <c r="AG54" s="190">
        <v>0</v>
      </c>
      <c r="AH54" s="190">
        <v>0</v>
      </c>
      <c r="AI54" s="190">
        <v>0</v>
      </c>
      <c r="AJ54" s="190">
        <v>0</v>
      </c>
      <c r="AK54" s="190" t="str">
        <v>고추 90*130</v>
      </c>
      <c r="AL54" s="190" t="str">
        <v>재구매</v>
      </c>
      <c r="AM54" s="173">
        <v>6430</v>
      </c>
      <c r="AN54" s="173">
        <v>3960</v>
      </c>
      <c r="AO54" s="206">
        <v>12240</v>
      </c>
      <c r="AP54" s="206">
        <v>7920</v>
      </c>
      <c r="AQ54" s="173">
        <v>1454</v>
      </c>
      <c r="AR54" s="173">
        <v>2866</v>
      </c>
      <c r="AS54" s="173">
        <v>0.23419999999999999</v>
      </c>
      <c r="AT54" s="173">
        <v>0</v>
      </c>
      <c r="AU54" s="173" t="str">
        <v>ptDB47</v>
      </c>
      <c r="AV54" s="173">
        <v>0</v>
      </c>
      <c r="AW54" s="173">
        <v>12240</v>
      </c>
      <c r="AX54" s="173">
        <v>7920</v>
      </c>
      <c r="AY54" s="173">
        <v>1454</v>
      </c>
      <c r="AZ54" s="173">
        <v>2866</v>
      </c>
      <c r="BA54" s="173">
        <v>0.23419999999999999</v>
      </c>
      <c r="BB54" s="173" t="str">
        <v/>
      </c>
      <c r="BC54" s="173">
        <v>0</v>
      </c>
      <c r="BD54" s="156">
        <v>7920</v>
      </c>
      <c r="BF54" s="156">
        <v>112</v>
      </c>
      <c r="BG54" s="156" t="str">
        <v>비닐팩토리</v>
      </c>
      <c r="BH54" s="198">
        <v>45452</v>
      </c>
      <c r="BI54" s="199" t="str">
        <v>2024060974196421</v>
      </c>
      <c r="BJ54" s="199" t="str">
        <v>스마트 스토어</v>
      </c>
      <c r="BK54" s="199" t="str">
        <v>심정훈</v>
      </c>
      <c r="BL54" s="199" t="str">
        <v>sien****</v>
      </c>
      <c r="BM54" s="199" t="str">
        <v>010-9011-7913</v>
      </c>
      <c r="BN54" s="198">
        <v>45453</v>
      </c>
      <c r="BO54" s="199" t="str">
        <v>CJ대한통운</v>
      </c>
      <c r="BP54" s="199" t="str">
        <v>540216957580</v>
      </c>
      <c r="BQ54" s="199">
        <v>0</v>
      </c>
      <c r="BR54" s="199" t="str">
        <v>SE.307</v>
      </c>
      <c r="BS54" s="199" t="str">
        <v>투명</v>
      </c>
      <c r="BT54" s="199">
        <v>1</v>
      </c>
      <c r="BU54" s="199" t="str">
        <v>심정훈</v>
      </c>
      <c r="BV54" s="199" t="str">
        <v>010-9011-7913</v>
      </c>
      <c r="BW54" s="199" t="str">
        <v>010-9011-7913</v>
      </c>
      <c r="BX54" s="199" t="str">
        <v>서울특별시 강동구 천호대로 991 (천호동) 1층 시에나블루</v>
      </c>
      <c r="BY54" s="199">
        <v>0</v>
      </c>
      <c r="BZ54" s="199">
        <v>0</v>
      </c>
      <c r="CA54" s="273">
        <v>0</v>
      </c>
      <c r="CB54" s="199">
        <v>10560</v>
      </c>
      <c r="CC54" s="199">
        <v>0</v>
      </c>
      <c r="CD54" s="199">
        <v>3000</v>
      </c>
      <c r="CE54" s="200">
        <v>3000</v>
      </c>
      <c r="CF54" s="200">
        <v>0</v>
      </c>
      <c r="CG54" s="200">
        <v>0</v>
      </c>
      <c r="CH54" s="200">
        <v>0</v>
      </c>
      <c r="CI54" s="200" t="str">
        <v>떡외겹 30*30</v>
      </c>
      <c r="CJ54" s="200">
        <v>0</v>
      </c>
      <c r="CK54" s="200">
        <v>10560</v>
      </c>
      <c r="CL54" s="200">
        <v>7260</v>
      </c>
      <c r="CM54" s="200">
        <v>13560</v>
      </c>
      <c r="CN54" s="156">
        <v>0</v>
      </c>
      <c r="CO54" s="156">
        <v>700</v>
      </c>
      <c r="CP54" s="156">
        <v>0</v>
      </c>
      <c r="CQ54" s="156">
        <v>0</v>
      </c>
      <c r="CR54" s="156">
        <v>0</v>
      </c>
      <c r="CS54" s="156" t="str">
        <v>ptDB47</v>
      </c>
      <c r="CT54" s="156">
        <v>0</v>
      </c>
      <c r="CU54" s="156">
        <v>13560</v>
      </c>
      <c r="CV54" s="156">
        <v>0</v>
      </c>
      <c r="CW54" s="156">
        <v>700</v>
      </c>
      <c r="CX54" s="156">
        <v>0</v>
      </c>
      <c r="CY54" s="156">
        <v>0</v>
      </c>
      <c r="CZ54" s="156" t="str">
        <v/>
      </c>
      <c r="DA54" s="156">
        <v>0</v>
      </c>
      <c r="DB54" s="156">
        <v>7260</v>
      </c>
    </row>
    <row r="55" spans="8:106" ht="18" customHeight="1">
      <c r="H55" s="173">
        <v>98</v>
      </c>
      <c r="I55" s="156" t="str">
        <v>비닐스토리</v>
      </c>
      <c r="J55" s="177">
        <v>45451</v>
      </c>
      <c r="K55" s="176" t="str">
        <v>2100051837419</v>
      </c>
      <c r="L55" s="176" t="str">
        <v>쿠팡</v>
      </c>
      <c r="M55" s="176" t="str">
        <v>이혜영</v>
      </c>
      <c r="N55" s="176" t="str">
        <v>pi*****@na</v>
      </c>
      <c r="O55" s="177" t="str">
        <v>0502-1490-2390</v>
      </c>
      <c r="P55" s="177">
        <v>45453</v>
      </c>
      <c r="Q55" s="176" t="str">
        <v>CJ대한통운</v>
      </c>
      <c r="R55" s="176" t="str">
        <v>540216957565</v>
      </c>
      <c r="S55" s="178">
        <v>0</v>
      </c>
      <c r="T55" s="176" t="str">
        <v>SE.115</v>
      </c>
      <c r="U55" s="176" t="str">
        <v>투명</v>
      </c>
      <c r="V55" s="176">
        <v>1</v>
      </c>
      <c r="W55" s="176" t="str">
        <v>이혜영</v>
      </c>
      <c r="X55" s="176" t="str">
        <v>0502-1490-2390</v>
      </c>
      <c r="Y55" s="176">
        <v>0</v>
      </c>
      <c r="Z55" s="176" t="str">
        <v>경기도 고양시 일산서구 후곡로 10 905동 304호 ( 일산동, 후곡마을9단지아파트 )</v>
      </c>
      <c r="AA55" s="190" t="str">
        <v>문 앞</v>
      </c>
      <c r="AB55" s="190">
        <v>0</v>
      </c>
      <c r="AC55" s="277">
        <v>0</v>
      </c>
      <c r="AD55" s="190">
        <v>5320</v>
      </c>
      <c r="AE55" s="190">
        <v>0</v>
      </c>
      <c r="AF55" s="190">
        <v>0</v>
      </c>
      <c r="AG55" s="190">
        <v>0</v>
      </c>
      <c r="AH55" s="190">
        <v>0</v>
      </c>
      <c r="AI55" s="190">
        <v>0</v>
      </c>
      <c r="AJ55" s="190">
        <v>0</v>
      </c>
      <c r="AK55" s="190" t="str">
        <v>고추 100*150</v>
      </c>
      <c r="AL55" s="190" t="str">
        <v>재구매</v>
      </c>
      <c r="AM55" s="173">
        <v>4910</v>
      </c>
      <c r="AN55" s="173">
        <v>3025</v>
      </c>
      <c r="AO55" s="206">
        <v>5320</v>
      </c>
      <c r="AP55" s="206">
        <v>3025</v>
      </c>
      <c r="AQ55" s="173">
        <v>632</v>
      </c>
      <c r="AR55" s="173">
        <v>1663</v>
      </c>
      <c r="AS55" s="173">
        <v>0.31259999999999999</v>
      </c>
      <c r="AT55" s="173">
        <v>0</v>
      </c>
      <c r="AU55" s="173" t="str">
        <v>ptDB47</v>
      </c>
      <c r="AV55" s="173">
        <v>0</v>
      </c>
      <c r="AW55" s="173">
        <v>5320</v>
      </c>
      <c r="AX55" s="173">
        <v>3025</v>
      </c>
      <c r="AY55" s="173">
        <v>632</v>
      </c>
      <c r="AZ55" s="173">
        <v>1663</v>
      </c>
      <c r="BA55" s="173">
        <v>0.31259999999999999</v>
      </c>
      <c r="BB55" s="173" t="str">
        <v/>
      </c>
      <c r="BC55" s="173">
        <v>0</v>
      </c>
      <c r="BD55" s="156">
        <v>3025</v>
      </c>
      <c r="BF55" s="156">
        <v>113</v>
      </c>
      <c r="BG55" s="156" t="str">
        <v>비닐팩토리</v>
      </c>
      <c r="BH55" s="198">
        <v>45450</v>
      </c>
      <c r="BI55" s="199" t="str">
        <v>2024060728991501</v>
      </c>
      <c r="BJ55" s="199" t="str">
        <v>스마트 스토어</v>
      </c>
      <c r="BK55" s="199" t="str">
        <v>이호준</v>
      </c>
      <c r="BL55" s="199" t="str">
        <v>morn****</v>
      </c>
      <c r="BM55" s="199" t="str">
        <v>010-2665-5633</v>
      </c>
      <c r="BN55" s="198">
        <v>45453</v>
      </c>
      <c r="BO55" s="199" t="str">
        <v>CJ대한통운</v>
      </c>
      <c r="BP55" s="199" t="str">
        <v>540216957753</v>
      </c>
      <c r="BQ55" s="199">
        <v>0</v>
      </c>
      <c r="BR55" s="199" t="str">
        <v>SE.306</v>
      </c>
      <c r="BS55" s="199" t="str">
        <v>투명</v>
      </c>
      <c r="BT55" s="199">
        <v>1</v>
      </c>
      <c r="BU55" s="199" t="str">
        <v>이호준</v>
      </c>
      <c r="BV55" s="199" t="str">
        <v>010-2665-5633</v>
      </c>
      <c r="BW55" s="199">
        <v>0</v>
      </c>
      <c r="BX55" s="199" t="str">
        <v>경기도 평택시 고덕면 방축4길 22-6 (고덕면) 1동 1층</v>
      </c>
      <c r="BY55" s="199">
        <v>0</v>
      </c>
      <c r="BZ55" s="199">
        <v>0</v>
      </c>
      <c r="CA55" s="273">
        <v>0</v>
      </c>
      <c r="CB55" s="199">
        <v>14080</v>
      </c>
      <c r="CC55" s="199">
        <v>0</v>
      </c>
      <c r="CD55" s="199">
        <v>3000</v>
      </c>
      <c r="CE55" s="200">
        <v>3000</v>
      </c>
      <c r="CF55" s="200">
        <v>0</v>
      </c>
      <c r="CG55" s="200">
        <v>0</v>
      </c>
      <c r="CH55" s="200">
        <v>0</v>
      </c>
      <c r="CI55" s="200" t="str">
        <v>떡외겹 20*20</v>
      </c>
      <c r="CJ55" s="200">
        <v>0</v>
      </c>
      <c r="CK55" s="200">
        <v>14080</v>
      </c>
      <c r="CL55" s="200">
        <v>9680</v>
      </c>
      <c r="CM55" s="200">
        <v>17080</v>
      </c>
      <c r="CN55" s="156">
        <v>0</v>
      </c>
      <c r="CO55" s="156">
        <v>877</v>
      </c>
      <c r="CP55" s="156">
        <v>0</v>
      </c>
      <c r="CQ55" s="156">
        <v>0</v>
      </c>
      <c r="CR55" s="156">
        <v>0</v>
      </c>
      <c r="CS55" s="156" t="str">
        <v>ptDB47</v>
      </c>
      <c r="CT55" s="156">
        <v>0</v>
      </c>
      <c r="CU55" s="156">
        <v>17080</v>
      </c>
      <c r="CV55" s="156">
        <v>0</v>
      </c>
      <c r="CW55" s="156">
        <v>877</v>
      </c>
      <c r="CX55" s="156">
        <v>0</v>
      </c>
      <c r="CY55" s="156">
        <v>0</v>
      </c>
      <c r="CZ55" s="156" t="str">
        <v/>
      </c>
      <c r="DA55" s="156">
        <v>0</v>
      </c>
      <c r="DB55" s="156">
        <v>9680</v>
      </c>
    </row>
    <row r="56" spans="8:106" ht="18" customHeight="1">
      <c r="H56" s="173">
        <v>99</v>
      </c>
      <c r="I56" s="156" t="str">
        <v>비닐스토리</v>
      </c>
      <c r="J56" s="177">
        <v>45451</v>
      </c>
      <c r="K56" s="176" t="str">
        <v>21100052102927</v>
      </c>
      <c r="L56" s="176" t="str">
        <v>쿠팡</v>
      </c>
      <c r="M56" s="176" t="str">
        <v>성준우</v>
      </c>
      <c r="N56" s="176" t="str">
        <v>wa*****@na</v>
      </c>
      <c r="O56" s="177" t="str">
        <v>0502-5189-7894</v>
      </c>
      <c r="P56" s="177">
        <v>45453</v>
      </c>
      <c r="Q56" s="176" t="str">
        <v>CJ대한통운</v>
      </c>
      <c r="R56" s="176" t="str">
        <v>540216957672</v>
      </c>
      <c r="S56" s="178">
        <v>0</v>
      </c>
      <c r="T56" s="176" t="str">
        <v>SE.102</v>
      </c>
      <c r="U56" s="176" t="str">
        <v>투명</v>
      </c>
      <c r="V56" s="176">
        <v>20</v>
      </c>
      <c r="W56" s="176" t="str">
        <v>성준우</v>
      </c>
      <c r="X56" s="176" t="str">
        <v>0502-5189-7894</v>
      </c>
      <c r="Y56" s="176">
        <v>0</v>
      </c>
      <c r="Z56" s="176" t="str">
        <v>대전광역시 유성구 원내동 383 진잠타운아파트 207동1203호</v>
      </c>
      <c r="AA56" s="190" t="str">
        <v>문 앞</v>
      </c>
      <c r="AB56" s="190">
        <v>0</v>
      </c>
      <c r="AC56" s="277">
        <v>0</v>
      </c>
      <c r="AD56" s="190">
        <v>23000</v>
      </c>
      <c r="AE56" s="190">
        <v>0</v>
      </c>
      <c r="AF56" s="190">
        <v>3000</v>
      </c>
      <c r="AG56" s="190">
        <v>3500</v>
      </c>
      <c r="AH56" s="190">
        <v>0</v>
      </c>
      <c r="AI56" s="190">
        <v>0</v>
      </c>
      <c r="AJ56" s="190">
        <v>0</v>
      </c>
      <c r="AK56" s="190" t="str">
        <v>소폭 12*26</v>
      </c>
      <c r="AL56" s="190" t="str">
        <v>재구매</v>
      </c>
      <c r="AM56" s="173">
        <v>1070</v>
      </c>
      <c r="AN56" s="173">
        <v>660</v>
      </c>
      <c r="AO56" s="206">
        <v>26000</v>
      </c>
      <c r="AP56" s="206">
        <v>16700</v>
      </c>
      <c r="AQ56" s="173">
        <v>2831</v>
      </c>
      <c r="AR56" s="173">
        <v>6469</v>
      </c>
      <c r="AS56" s="173">
        <v>0.24879999999999999</v>
      </c>
      <c r="AT56" s="173">
        <v>0</v>
      </c>
      <c r="AU56" s="173" t="str">
        <v>ptDB47</v>
      </c>
      <c r="AV56" s="173">
        <v>0</v>
      </c>
      <c r="AW56" s="173">
        <v>26000</v>
      </c>
      <c r="AX56" s="173">
        <v>16700</v>
      </c>
      <c r="AY56" s="173">
        <v>2831</v>
      </c>
      <c r="AZ56" s="173">
        <v>6469</v>
      </c>
      <c r="BA56" s="173">
        <v>0.24879999999999999</v>
      </c>
      <c r="BB56" s="173" t="str">
        <v/>
      </c>
      <c r="BC56" s="173">
        <v>0</v>
      </c>
      <c r="BD56" s="156">
        <v>13200</v>
      </c>
      <c r="BF56" s="156">
        <v>114</v>
      </c>
      <c r="BG56" s="156" t="str">
        <v>비닐팩토리</v>
      </c>
      <c r="BH56" s="198">
        <v>45454</v>
      </c>
      <c r="BI56" s="199" t="str">
        <v>45470670</v>
      </c>
      <c r="BJ56" s="199" t="str">
        <v>대표</v>
      </c>
      <c r="BK56" s="199">
        <v>0</v>
      </c>
      <c r="BL56" s="199">
        <v>0</v>
      </c>
      <c r="BM56" s="199">
        <v>0</v>
      </c>
      <c r="BN56" s="198">
        <v>45454</v>
      </c>
      <c r="BO56" s="199" t="str">
        <v>CJ대한통운</v>
      </c>
      <c r="BP56" s="199" t="str">
        <v>540218460281</v>
      </c>
      <c r="BQ56" s="199">
        <v>0</v>
      </c>
      <c r="BR56" s="199" t="str">
        <v>SE.1000</v>
      </c>
      <c r="BS56" s="199" t="str">
        <v>투명</v>
      </c>
      <c r="BT56" s="199">
        <v>1</v>
      </c>
      <c r="BU56" s="199" t="str">
        <v>경북고추방앗간</v>
      </c>
      <c r="BV56" s="199" t="str">
        <v>010-3539-1432</v>
      </c>
      <c r="BW56" s="199">
        <v>0</v>
      </c>
      <c r="BX56" s="199" t="str">
        <v>대구 달성군 유가읍 유가길 5 경북고추방앗간</v>
      </c>
      <c r="BY56" s="199">
        <v>0</v>
      </c>
      <c r="BZ56" s="199">
        <v>0</v>
      </c>
      <c r="CA56" s="273">
        <v>0</v>
      </c>
      <c r="CB56" s="199">
        <v>0</v>
      </c>
      <c r="CC56" s="199">
        <v>0</v>
      </c>
      <c r="CD56" s="199">
        <v>0</v>
      </c>
      <c r="CE56" s="200">
        <v>3500</v>
      </c>
      <c r="CF56" s="200">
        <v>0</v>
      </c>
      <c r="CG56" s="200">
        <v>0</v>
      </c>
      <c r="CH56" s="200">
        <v>0</v>
      </c>
      <c r="CI56" s="200" t="str">
        <v>대표</v>
      </c>
      <c r="CJ56" s="200" t="str">
        <v>재구매</v>
      </c>
      <c r="CK56" s="200">
        <v>0</v>
      </c>
      <c r="CL56" s="200">
        <v>0</v>
      </c>
      <c r="CM56" s="200">
        <v>0</v>
      </c>
      <c r="CN56" s="156">
        <v>0</v>
      </c>
      <c r="CO56" s="156">
        <v>0</v>
      </c>
      <c r="CP56" s="156">
        <v>0</v>
      </c>
      <c r="CQ56" s="156">
        <v>0</v>
      </c>
      <c r="CR56" s="156">
        <v>0</v>
      </c>
      <c r="CS56" s="156" t="str">
        <v>ptDB47</v>
      </c>
      <c r="CT56" s="156">
        <v>0</v>
      </c>
      <c r="CU56" s="156">
        <v>0</v>
      </c>
      <c r="CV56" s="156">
        <v>0</v>
      </c>
      <c r="CW56" s="156">
        <v>0</v>
      </c>
      <c r="CX56" s="156">
        <v>0</v>
      </c>
      <c r="CY56" s="156">
        <v>0</v>
      </c>
      <c r="CZ56" s="156" t="str">
        <v/>
      </c>
      <c r="DA56" s="156">
        <v>0</v>
      </c>
      <c r="DB56" s="156">
        <v>0</v>
      </c>
    </row>
    <row r="57" spans="8:106" ht="18" customHeight="1">
      <c r="H57" s="173">
        <v>100</v>
      </c>
      <c r="I57" s="156" t="str">
        <v>비닐스토리</v>
      </c>
      <c r="J57" s="177">
        <v>45452</v>
      </c>
      <c r="K57" s="176" t="str">
        <v>22100051795908</v>
      </c>
      <c r="L57" s="176" t="str">
        <v>쿠팡</v>
      </c>
      <c r="M57" s="176" t="str">
        <v>박창보</v>
      </c>
      <c r="N57" s="176" t="str">
        <v>c8*****@na</v>
      </c>
      <c r="O57" s="177" t="str">
        <v>0504-4963-2948</v>
      </c>
      <c r="P57" s="177">
        <v>45453</v>
      </c>
      <c r="Q57" s="176" t="str">
        <v>CJ대한통운</v>
      </c>
      <c r="R57" s="176" t="str">
        <v>540216957543</v>
      </c>
      <c r="S57" s="178">
        <v>0</v>
      </c>
      <c r="T57" s="176" t="str">
        <v>SE.201</v>
      </c>
      <c r="U57" s="176" t="str">
        <v>투명</v>
      </c>
      <c r="V57" s="176">
        <v>1</v>
      </c>
      <c r="W57" s="176" t="str">
        <v>박창보</v>
      </c>
      <c r="X57" s="176" t="str">
        <v>0504-4963-2948</v>
      </c>
      <c r="Y57" s="176">
        <v>0</v>
      </c>
      <c r="Z57" s="176" t="str">
        <v>경기도 안양시 동안구 호계동 555-2 지하1층 b122, 123, 124호 하루,한끼</v>
      </c>
      <c r="AA57" s="190" t="str">
        <v>문 앞</v>
      </c>
      <c r="AB57" s="190">
        <v>0</v>
      </c>
      <c r="AC57" s="277">
        <v>0</v>
      </c>
      <c r="AD57" s="190">
        <v>17010</v>
      </c>
      <c r="AE57" s="190">
        <v>0</v>
      </c>
      <c r="AF57" s="190">
        <v>3000</v>
      </c>
      <c r="AG57" s="190">
        <v>3000</v>
      </c>
      <c r="AH57" s="190">
        <v>0</v>
      </c>
      <c r="AI57" s="190">
        <v>0</v>
      </c>
      <c r="AJ57" s="190">
        <v>0</v>
      </c>
      <c r="AK57" s="190" t="str">
        <v>떡롤 20*400</v>
      </c>
      <c r="AL57" s="190">
        <v>0</v>
      </c>
      <c r="AM57" s="173">
        <v>16070</v>
      </c>
      <c r="AN57" s="173">
        <v>9900</v>
      </c>
      <c r="AO57" s="206">
        <v>20010</v>
      </c>
      <c r="AP57" s="206">
        <v>12900</v>
      </c>
      <c r="AQ57" s="173">
        <v>2120</v>
      </c>
      <c r="AR57" s="173">
        <v>4990</v>
      </c>
      <c r="AS57" s="173">
        <v>0.24940000000000001</v>
      </c>
      <c r="AT57" s="173">
        <v>0</v>
      </c>
      <c r="AU57" s="173" t="str">
        <v>ptDB47</v>
      </c>
      <c r="AV57" s="173">
        <v>0</v>
      </c>
      <c r="AW57" s="173">
        <v>20010</v>
      </c>
      <c r="AX57" s="173">
        <v>12900</v>
      </c>
      <c r="AY57" s="173">
        <v>2120</v>
      </c>
      <c r="AZ57" s="173">
        <v>4990</v>
      </c>
      <c r="BA57" s="173">
        <v>0.24940000000000001</v>
      </c>
      <c r="BB57" s="173" t="str">
        <v/>
      </c>
      <c r="BC57" s="173">
        <v>0</v>
      </c>
      <c r="BD57" s="156">
        <v>9900</v>
      </c>
      <c r="BF57" s="156">
        <v>115</v>
      </c>
      <c r="BG57" s="156" t="str">
        <v>비닐팩토리</v>
      </c>
      <c r="BH57" s="198">
        <v>45454</v>
      </c>
      <c r="BI57" s="199" t="str">
        <v>45470736</v>
      </c>
      <c r="BJ57" s="199" t="str">
        <v>대표</v>
      </c>
      <c r="BK57" s="199">
        <v>0</v>
      </c>
      <c r="BL57" s="199">
        <v>0</v>
      </c>
      <c r="BM57" s="199">
        <v>0</v>
      </c>
      <c r="BN57" s="198">
        <v>45454</v>
      </c>
      <c r="BO57" s="199" t="str">
        <v>CJ대한통운</v>
      </c>
      <c r="BP57" s="199" t="str">
        <v>540218448646</v>
      </c>
      <c r="BQ57" s="199">
        <v>0</v>
      </c>
      <c r="BR57" s="199" t="str">
        <v>SE.1000</v>
      </c>
      <c r="BS57" s="199" t="str">
        <v>투명</v>
      </c>
      <c r="BT57" s="199">
        <v>1</v>
      </c>
      <c r="BU57" s="199" t="str">
        <v>진흥자재백화점</v>
      </c>
      <c r="BV57" s="199" t="str">
        <v>010-7511-6954</v>
      </c>
      <c r="BW57" s="199">
        <v>0</v>
      </c>
      <c r="BX57" s="199" t="str">
        <v>경북 경주시 산내면 의곡중앙길 6</v>
      </c>
      <c r="BY57" s="199">
        <v>0</v>
      </c>
      <c r="BZ57" s="199">
        <v>0</v>
      </c>
      <c r="CA57" s="273">
        <v>0</v>
      </c>
      <c r="CB57" s="199">
        <v>0</v>
      </c>
      <c r="CC57" s="199">
        <v>0</v>
      </c>
      <c r="CD57" s="199">
        <v>0</v>
      </c>
      <c r="CE57" s="200">
        <v>0</v>
      </c>
      <c r="CF57" s="200">
        <v>0</v>
      </c>
      <c r="CG57" s="200">
        <v>0</v>
      </c>
      <c r="CH57" s="200">
        <v>0</v>
      </c>
      <c r="CI57" s="200" t="str">
        <v>대표</v>
      </c>
      <c r="CJ57" s="200" t="str">
        <v>재구매</v>
      </c>
      <c r="CK57" s="200">
        <v>0</v>
      </c>
      <c r="CL57" s="200">
        <v>0</v>
      </c>
      <c r="CM57" s="200">
        <v>0</v>
      </c>
      <c r="CN57" s="156">
        <v>0</v>
      </c>
      <c r="CO57" s="156">
        <v>0</v>
      </c>
      <c r="CP57" s="156">
        <v>0</v>
      </c>
      <c r="CQ57" s="156">
        <v>0</v>
      </c>
      <c r="CR57" s="156">
        <v>0</v>
      </c>
      <c r="CS57" s="156" t="str">
        <v>ptDB47</v>
      </c>
      <c r="CT57" s="156">
        <v>0</v>
      </c>
      <c r="CU57" s="156">
        <v>0</v>
      </c>
      <c r="CV57" s="156">
        <v>0</v>
      </c>
      <c r="CW57" s="156">
        <v>0</v>
      </c>
      <c r="CX57" s="156">
        <v>0</v>
      </c>
      <c r="CY57" s="156">
        <v>0</v>
      </c>
      <c r="CZ57" s="156" t="str">
        <v/>
      </c>
      <c r="DA57" s="156">
        <v>0</v>
      </c>
      <c r="DB57" s="156">
        <v>0</v>
      </c>
    </row>
    <row r="58" spans="8:106" ht="18" customHeight="1">
      <c r="H58" s="173">
        <v>101</v>
      </c>
      <c r="I58" s="156" t="str">
        <v>비닐스토리</v>
      </c>
      <c r="J58" s="177">
        <v>45452</v>
      </c>
      <c r="K58" s="176" t="str">
        <v>13100052165268</v>
      </c>
      <c r="L58" s="176" t="str">
        <v>쿠팡</v>
      </c>
      <c r="M58" s="176" t="str">
        <v>한동현</v>
      </c>
      <c r="N58" s="176" t="str">
        <v>ha*****@na</v>
      </c>
      <c r="O58" s="177" t="str">
        <v>0502-4368-8242</v>
      </c>
      <c r="P58" s="177">
        <v>45453</v>
      </c>
      <c r="Q58" s="176" t="str">
        <v>CJ대한통운</v>
      </c>
      <c r="R58" s="176" t="str">
        <v>540216957451</v>
      </c>
      <c r="S58" s="178">
        <v>0</v>
      </c>
      <c r="T58" s="176" t="str">
        <v>SE.122</v>
      </c>
      <c r="U58" s="176" t="str">
        <v>청색</v>
      </c>
      <c r="V58" s="176">
        <v>2</v>
      </c>
      <c r="W58" s="176" t="str">
        <v>하노이맥주밤거리</v>
      </c>
      <c r="X58" s="176" t="str">
        <v>0502-4368-8242</v>
      </c>
      <c r="Y58" s="176">
        <v>0</v>
      </c>
      <c r="Z58" s="176" t="str">
        <v>경기도 부천시 역곡동 78-7 1층 하노이맥주</v>
      </c>
      <c r="AA58" s="190" t="str">
        <v>문 앞</v>
      </c>
      <c r="AB58" s="190">
        <v>0</v>
      </c>
      <c r="AC58" s="277">
        <v>0</v>
      </c>
      <c r="AD58" s="190">
        <v>12560</v>
      </c>
      <c r="AE58" s="190">
        <v>680</v>
      </c>
      <c r="AF58" s="190">
        <v>0</v>
      </c>
      <c r="AG58" s="190">
        <v>3500</v>
      </c>
      <c r="AH58" s="190">
        <v>0</v>
      </c>
      <c r="AI58" s="190">
        <v>0</v>
      </c>
      <c r="AJ58" s="190">
        <v>0</v>
      </c>
      <c r="AK58" s="190" t="str">
        <v>막지 75*100</v>
      </c>
      <c r="AL58" s="190">
        <v>0</v>
      </c>
      <c r="AM58" s="173">
        <v>5890</v>
      </c>
      <c r="AN58" s="173">
        <v>3740</v>
      </c>
      <c r="AO58" s="206">
        <v>12560</v>
      </c>
      <c r="AP58" s="206">
        <v>10980</v>
      </c>
      <c r="AQ58" s="173">
        <v>1492</v>
      </c>
      <c r="AR58" s="173">
        <v>88</v>
      </c>
      <c r="AS58" s="173">
        <v>7.0000000000000001E-3</v>
      </c>
      <c r="AT58" s="173">
        <v>0</v>
      </c>
      <c r="AU58" s="173" t="str">
        <v>ptDB47</v>
      </c>
      <c r="AV58" s="173">
        <v>0</v>
      </c>
      <c r="AW58" s="173">
        <v>12560</v>
      </c>
      <c r="AX58" s="173">
        <v>10980</v>
      </c>
      <c r="AY58" s="173">
        <v>1492</v>
      </c>
      <c r="AZ58" s="173">
        <v>88</v>
      </c>
      <c r="BA58" s="173">
        <v>7.0000000000000001E-3</v>
      </c>
      <c r="BB58" s="173" t="str">
        <v/>
      </c>
      <c r="BC58" s="173">
        <v>0</v>
      </c>
      <c r="BD58" s="156">
        <v>7480</v>
      </c>
      <c r="BF58" s="156">
        <v>116</v>
      </c>
      <c r="BG58" s="156" t="str">
        <v>비닐팩토리</v>
      </c>
      <c r="BH58" s="198">
        <v>45454</v>
      </c>
      <c r="BI58" s="199" t="str">
        <v>45470376</v>
      </c>
      <c r="BJ58" s="199" t="str">
        <v>대표</v>
      </c>
      <c r="BK58" s="199">
        <v>0</v>
      </c>
      <c r="BL58" s="199">
        <v>0</v>
      </c>
      <c r="BM58" s="199">
        <v>0</v>
      </c>
      <c r="BN58" s="198">
        <v>45454</v>
      </c>
      <c r="BO58" s="199" t="str">
        <v>CJ대한통운</v>
      </c>
      <c r="BP58" s="199" t="str">
        <v>540218442066</v>
      </c>
      <c r="BQ58" s="199">
        <v>0</v>
      </c>
      <c r="BR58" s="199" t="str">
        <v>SE.1000</v>
      </c>
      <c r="BS58" s="199" t="str">
        <v>투명</v>
      </c>
      <c r="BT58" s="199">
        <v>1</v>
      </c>
      <c r="BU58" s="199" t="str">
        <v>알프스채소</v>
      </c>
      <c r="BV58" s="199" t="str">
        <v>010-9321-7001</v>
      </c>
      <c r="BW58" s="199">
        <v>0</v>
      </c>
      <c r="BX58" s="199" t="str">
        <v>울산 울주군 언양읍 남부리 336-14 공설시장안쪽</v>
      </c>
      <c r="BY58" s="199">
        <v>0</v>
      </c>
      <c r="BZ58" s="199">
        <v>0</v>
      </c>
      <c r="CA58" s="273">
        <v>0</v>
      </c>
      <c r="CB58" s="199">
        <v>0</v>
      </c>
      <c r="CC58" s="199">
        <v>0</v>
      </c>
      <c r="CD58" s="199">
        <v>0</v>
      </c>
      <c r="CE58" s="200">
        <v>0</v>
      </c>
      <c r="CF58" s="200">
        <v>0</v>
      </c>
      <c r="CG58" s="200">
        <v>0</v>
      </c>
      <c r="CH58" s="200">
        <v>0</v>
      </c>
      <c r="CI58" s="200" t="str">
        <v>대표</v>
      </c>
      <c r="CJ58" s="200" t="str">
        <v>재구매</v>
      </c>
      <c r="CK58" s="200">
        <v>0</v>
      </c>
      <c r="CL58" s="200">
        <v>0</v>
      </c>
      <c r="CM58" s="200">
        <v>0</v>
      </c>
      <c r="CN58" s="156">
        <v>0</v>
      </c>
      <c r="CO58" s="156">
        <v>0</v>
      </c>
      <c r="CP58" s="156">
        <v>0</v>
      </c>
      <c r="CQ58" s="156">
        <v>0</v>
      </c>
      <c r="CR58" s="156">
        <v>0</v>
      </c>
      <c r="CS58" s="156" t="str">
        <v>ptDB47</v>
      </c>
      <c r="CT58" s="156">
        <v>0</v>
      </c>
      <c r="CU58" s="156">
        <v>0</v>
      </c>
      <c r="CV58" s="156">
        <v>0</v>
      </c>
      <c r="CW58" s="156">
        <v>0</v>
      </c>
      <c r="CX58" s="156">
        <v>0</v>
      </c>
      <c r="CY58" s="156">
        <v>0</v>
      </c>
      <c r="CZ58" s="156" t="str">
        <v/>
      </c>
      <c r="DA58" s="156">
        <v>0</v>
      </c>
      <c r="DB58" s="156">
        <v>0</v>
      </c>
    </row>
    <row r="59" spans="8:106" ht="18" customHeight="1">
      <c r="H59" s="173">
        <v>102</v>
      </c>
      <c r="I59" s="156" t="str">
        <v>비닐스토리</v>
      </c>
      <c r="J59" s="177">
        <v>45452</v>
      </c>
      <c r="K59" s="176" t="str">
        <v>23100052114583</v>
      </c>
      <c r="L59" s="176" t="str">
        <v>쿠팡</v>
      </c>
      <c r="M59" s="176" t="str">
        <v>김은희</v>
      </c>
      <c r="N59" s="176" t="str">
        <v>mi*****@da</v>
      </c>
      <c r="O59" s="177" t="str">
        <v>0502-4284-9467</v>
      </c>
      <c r="P59" s="177">
        <v>45453</v>
      </c>
      <c r="Q59" s="176" t="str">
        <v>CJ대한통운</v>
      </c>
      <c r="R59" s="176" t="str">
        <v>530217935815</v>
      </c>
      <c r="S59" s="178">
        <v>0</v>
      </c>
      <c r="T59" s="176" t="str">
        <v>SE.206</v>
      </c>
      <c r="U59" s="176" t="str">
        <v>투명</v>
      </c>
      <c r="V59" s="176">
        <v>1</v>
      </c>
      <c r="W59" s="176" t="str">
        <v>김은희</v>
      </c>
      <c r="X59" s="176" t="str">
        <v>0502-4284-9467</v>
      </c>
      <c r="Y59" s="176">
        <v>0</v>
      </c>
      <c r="Z59" s="176" t="str">
        <v>충청북도 청주시 흥덕구 오송읍 봉산2길 16 OK타워 203호 살롱 마인</v>
      </c>
      <c r="AA59" s="190" t="str">
        <v>문 앞</v>
      </c>
      <c r="AB59" s="190">
        <v>0</v>
      </c>
      <c r="AC59" s="277">
        <v>0</v>
      </c>
      <c r="AD59" s="190">
        <v>34020</v>
      </c>
      <c r="AE59" s="190">
        <v>0</v>
      </c>
      <c r="AF59" s="190">
        <v>3000</v>
      </c>
      <c r="AG59" s="190">
        <v>3500</v>
      </c>
      <c r="AH59" s="190">
        <v>0</v>
      </c>
      <c r="AI59" s="190">
        <v>0</v>
      </c>
      <c r="AJ59" s="190">
        <v>0</v>
      </c>
      <c r="AK59" s="190" t="str">
        <v>떡롤 45*330</v>
      </c>
      <c r="AL59" s="190">
        <v>0</v>
      </c>
      <c r="AM59" s="173">
        <v>32130</v>
      </c>
      <c r="AN59" s="173">
        <v>19800</v>
      </c>
      <c r="AO59" s="206">
        <v>37020</v>
      </c>
      <c r="AP59" s="206">
        <v>23300</v>
      </c>
      <c r="AQ59" s="173">
        <v>4141</v>
      </c>
      <c r="AR59" s="173">
        <v>9579</v>
      </c>
      <c r="AS59" s="173">
        <v>0.25879999999999997</v>
      </c>
      <c r="AT59" s="173">
        <v>0</v>
      </c>
      <c r="AU59" s="173" t="str">
        <v>ptDB47</v>
      </c>
      <c r="AV59" s="173">
        <v>0</v>
      </c>
      <c r="AW59" s="173">
        <v>37020</v>
      </c>
      <c r="AX59" s="173">
        <v>23300</v>
      </c>
      <c r="AY59" s="173">
        <v>4141</v>
      </c>
      <c r="AZ59" s="173">
        <v>9579</v>
      </c>
      <c r="BA59" s="173">
        <v>0.25879999999999997</v>
      </c>
      <c r="BB59" s="173" t="str">
        <v/>
      </c>
      <c r="BC59" s="173">
        <v>0</v>
      </c>
      <c r="BD59" s="156">
        <v>19800</v>
      </c>
      <c r="BF59" s="156">
        <v>117</v>
      </c>
      <c r="BG59" s="156" t="str">
        <v>비닐팩토리</v>
      </c>
      <c r="BH59" s="198">
        <v>45454</v>
      </c>
      <c r="BI59" s="199" t="str">
        <v>45470581</v>
      </c>
      <c r="BJ59" s="199" t="str">
        <v>대표</v>
      </c>
      <c r="BK59" s="199">
        <v>0</v>
      </c>
      <c r="BL59" s="199">
        <v>0</v>
      </c>
      <c r="BM59" s="199">
        <v>0</v>
      </c>
      <c r="BN59" s="198">
        <v>45454</v>
      </c>
      <c r="BO59" s="199" t="str">
        <v>CJ대한통운</v>
      </c>
      <c r="BP59" s="199" t="str">
        <v>540218442103</v>
      </c>
      <c r="BQ59" s="199">
        <v>0</v>
      </c>
      <c r="BR59" s="199" t="str">
        <v>SE.1000</v>
      </c>
      <c r="BS59" s="199" t="str">
        <v>투명</v>
      </c>
      <c r="BT59" s="199">
        <v>1</v>
      </c>
      <c r="BU59" s="199" t="str">
        <v>진흥자재백화점</v>
      </c>
      <c r="BV59" s="199" t="str">
        <v>010-7511-6954</v>
      </c>
      <c r="BW59" s="199">
        <v>0</v>
      </c>
      <c r="BX59" s="199" t="str">
        <v>경북 경주시 산내면 의곡중앙길 6</v>
      </c>
      <c r="BY59" s="199">
        <v>0</v>
      </c>
      <c r="BZ59" s="199">
        <v>0</v>
      </c>
      <c r="CA59" s="273">
        <v>0</v>
      </c>
      <c r="CB59" s="199">
        <v>0</v>
      </c>
      <c r="CC59" s="199">
        <v>0</v>
      </c>
      <c r="CD59" s="199">
        <v>0</v>
      </c>
      <c r="CE59" s="200">
        <v>0</v>
      </c>
      <c r="CF59" s="200">
        <v>0</v>
      </c>
      <c r="CG59" s="200">
        <v>0</v>
      </c>
      <c r="CH59" s="200">
        <v>0</v>
      </c>
      <c r="CI59" s="200" t="str">
        <v>대표</v>
      </c>
      <c r="CJ59" s="200" t="str">
        <v>재구매</v>
      </c>
      <c r="CK59" s="200">
        <v>0</v>
      </c>
      <c r="CL59" s="200">
        <v>0</v>
      </c>
      <c r="CM59" s="200">
        <v>0</v>
      </c>
      <c r="CN59" s="156">
        <v>0</v>
      </c>
      <c r="CO59" s="156">
        <v>0</v>
      </c>
      <c r="CP59" s="156">
        <v>0</v>
      </c>
      <c r="CQ59" s="156">
        <v>0</v>
      </c>
      <c r="CR59" s="156">
        <v>0</v>
      </c>
      <c r="CS59" s="156" t="str">
        <v>ptDB47</v>
      </c>
      <c r="CT59" s="156">
        <v>0</v>
      </c>
      <c r="CU59" s="156">
        <v>0</v>
      </c>
      <c r="CV59" s="156">
        <v>0</v>
      </c>
      <c r="CW59" s="156">
        <v>0</v>
      </c>
      <c r="CX59" s="156">
        <v>0</v>
      </c>
      <c r="CY59" s="156">
        <v>0</v>
      </c>
      <c r="CZ59" s="156" t="str">
        <v/>
      </c>
      <c r="DA59" s="156">
        <v>0</v>
      </c>
      <c r="DB59" s="156">
        <v>0</v>
      </c>
    </row>
    <row r="60" spans="8:106" ht="18" customHeight="1">
      <c r="H60" s="173">
        <v>103</v>
      </c>
      <c r="I60" s="156" t="str">
        <v>비닐스토리</v>
      </c>
      <c r="J60" s="177">
        <v>45453</v>
      </c>
      <c r="K60" s="176" t="str">
        <v>13100052294586</v>
      </c>
      <c r="L60" s="176" t="str">
        <v>쿠팡</v>
      </c>
      <c r="M60" s="176" t="str">
        <v>최희지</v>
      </c>
      <c r="N60" s="176" t="str">
        <v>as*****@na</v>
      </c>
      <c r="O60" s="177" t="str">
        <v>0502-4218-4060</v>
      </c>
      <c r="P60" s="177">
        <v>45453</v>
      </c>
      <c r="Q60" s="176" t="str">
        <v>CJ대한통운</v>
      </c>
      <c r="R60" s="176" t="str">
        <v>530217935760</v>
      </c>
      <c r="S60" s="178">
        <v>0</v>
      </c>
      <c r="T60" s="176" t="str">
        <v>SE.101</v>
      </c>
      <c r="U60" s="176" t="str">
        <v>투명</v>
      </c>
      <c r="V60" s="176">
        <v>40</v>
      </c>
      <c r="W60" s="176" t="str">
        <v>최희지</v>
      </c>
      <c r="X60" s="176" t="str">
        <v>0502-4218-4060</v>
      </c>
      <c r="Y60" s="176">
        <v>0</v>
      </c>
      <c r="Z60" s="176" t="str">
        <v>경기도 화성시 남양읍 남양로 671 더굿메이트빌딩 110호 (정직유부 화성시청점)</v>
      </c>
      <c r="AA60" s="190" t="str">
        <v>살살 다뤄주세요!! 뒷문에(상가 안) 놔두고 연락주세요</v>
      </c>
      <c r="AB60" s="190">
        <v>0</v>
      </c>
      <c r="AC60" s="277">
        <v>0</v>
      </c>
      <c r="AD60" s="190">
        <v>37600</v>
      </c>
      <c r="AE60" s="190">
        <v>0</v>
      </c>
      <c r="AF60" s="190">
        <v>0</v>
      </c>
      <c r="AG60" s="190">
        <v>3500</v>
      </c>
      <c r="AH60" s="190">
        <v>0</v>
      </c>
      <c r="AI60" s="190">
        <v>0</v>
      </c>
      <c r="AJ60" s="190">
        <v>0</v>
      </c>
      <c r="AK60" s="190" t="str">
        <v>소폭 10*26</v>
      </c>
      <c r="AL60" s="190">
        <v>0</v>
      </c>
      <c r="AM60" s="173">
        <v>890</v>
      </c>
      <c r="AN60" s="173">
        <v>550</v>
      </c>
      <c r="AO60" s="206">
        <v>37600</v>
      </c>
      <c r="AP60" s="206">
        <v>25500</v>
      </c>
      <c r="AQ60" s="173">
        <v>4467</v>
      </c>
      <c r="AR60" s="173">
        <v>7633</v>
      </c>
      <c r="AS60" s="173">
        <v>0.20300000000000001</v>
      </c>
      <c r="AT60" s="173">
        <v>0</v>
      </c>
      <c r="AU60" s="173" t="str">
        <v>ptDB47</v>
      </c>
      <c r="AV60" s="173">
        <v>0</v>
      </c>
      <c r="AW60" s="173">
        <v>37600</v>
      </c>
      <c r="AX60" s="173">
        <v>25500</v>
      </c>
      <c r="AY60" s="173">
        <v>4467</v>
      </c>
      <c r="AZ60" s="173">
        <v>7633</v>
      </c>
      <c r="BA60" s="173">
        <v>0.20300000000000001</v>
      </c>
      <c r="BB60" s="173" t="str">
        <v/>
      </c>
      <c r="BC60" s="173">
        <v>0</v>
      </c>
      <c r="BD60" s="156">
        <v>22000</v>
      </c>
      <c r="BF60" s="156">
        <v>118</v>
      </c>
      <c r="BG60" s="156" t="str">
        <v>비닐팩토리</v>
      </c>
      <c r="BH60" s="198">
        <v>45454</v>
      </c>
      <c r="BI60" s="199" t="str">
        <v>45470272</v>
      </c>
      <c r="BJ60" s="199" t="str">
        <v>대표</v>
      </c>
      <c r="BK60" s="199">
        <v>0</v>
      </c>
      <c r="BL60" s="199">
        <v>0</v>
      </c>
      <c r="BM60" s="199">
        <v>0</v>
      </c>
      <c r="BN60" s="198">
        <v>45454</v>
      </c>
      <c r="BO60" s="199" t="str">
        <v>CJ대한통운</v>
      </c>
      <c r="BP60" s="199" t="str">
        <v>540218442173</v>
      </c>
      <c r="BQ60" s="199">
        <v>0</v>
      </c>
      <c r="BR60" s="199" t="str">
        <v>SE.1000</v>
      </c>
      <c r="BS60" s="199" t="str">
        <v>투명</v>
      </c>
      <c r="BT60" s="199">
        <v>1</v>
      </c>
      <c r="BU60" s="199" t="str">
        <v>경북고추방앗간</v>
      </c>
      <c r="BV60" s="199" t="str">
        <v>010-3539-1432</v>
      </c>
      <c r="BW60" s="199">
        <v>0</v>
      </c>
      <c r="BX60" s="199" t="str">
        <v>대구 달성군 유가읍 유가길 5 경북고추방앗간</v>
      </c>
      <c r="BY60" s="199">
        <v>0</v>
      </c>
      <c r="BZ60" s="199">
        <v>0</v>
      </c>
      <c r="CA60" s="273">
        <v>0</v>
      </c>
      <c r="CB60" s="199">
        <v>0</v>
      </c>
      <c r="CC60" s="199">
        <v>0</v>
      </c>
      <c r="CD60" s="199">
        <v>0</v>
      </c>
      <c r="CE60" s="200">
        <v>0</v>
      </c>
      <c r="CF60" s="200">
        <v>0</v>
      </c>
      <c r="CG60" s="200">
        <v>0</v>
      </c>
      <c r="CH60" s="200">
        <v>0</v>
      </c>
      <c r="CI60" s="200" t="str">
        <v>대표</v>
      </c>
      <c r="CJ60" s="200" t="str">
        <v>재구매</v>
      </c>
      <c r="CK60" s="200">
        <v>0</v>
      </c>
      <c r="CL60" s="200">
        <v>0</v>
      </c>
      <c r="CM60" s="200">
        <v>0</v>
      </c>
      <c r="CN60" s="156">
        <v>0</v>
      </c>
      <c r="CO60" s="156">
        <v>0</v>
      </c>
      <c r="CP60" s="156">
        <v>0</v>
      </c>
      <c r="CQ60" s="156">
        <v>0</v>
      </c>
      <c r="CR60" s="156">
        <v>0</v>
      </c>
      <c r="CS60" s="156" t="str">
        <v>ptDB47</v>
      </c>
      <c r="CT60" s="156">
        <v>1</v>
      </c>
      <c r="CU60" s="156">
        <v>0</v>
      </c>
      <c r="CV60" s="156">
        <v>0</v>
      </c>
      <c r="CW60" s="156">
        <v>0</v>
      </c>
      <c r="CX60" s="156">
        <v>0</v>
      </c>
      <c r="CY60" s="156">
        <v>0</v>
      </c>
      <c r="CZ60" s="156" t="str">
        <v/>
      </c>
      <c r="DA60" s="156">
        <v>0</v>
      </c>
      <c r="DB60" s="156">
        <v>0</v>
      </c>
    </row>
    <row r="61" spans="8:106" ht="18" customHeight="1">
      <c r="H61" s="173">
        <v>107</v>
      </c>
      <c r="I61" s="156" t="str">
        <v>비닐스토리</v>
      </c>
      <c r="J61" s="177">
        <v>45452</v>
      </c>
      <c r="K61" s="176" t="str">
        <v>2024060990524471</v>
      </c>
      <c r="L61" s="176" t="str">
        <v>스마트 스토어</v>
      </c>
      <c r="M61" s="176" t="str">
        <v>유금숙</v>
      </c>
      <c r="N61" s="176" t="str">
        <v>koak****</v>
      </c>
      <c r="O61" s="177" t="str">
        <v>010-8636-4037</v>
      </c>
      <c r="P61" s="177">
        <v>45453</v>
      </c>
      <c r="Q61" s="176" t="str">
        <v>CJ대한통운</v>
      </c>
      <c r="R61" s="176" t="str">
        <v>540216957716</v>
      </c>
      <c r="S61" s="178">
        <v>0</v>
      </c>
      <c r="T61" s="176" t="str">
        <v>SE.304</v>
      </c>
      <c r="U61" s="176" t="str">
        <v>투명</v>
      </c>
      <c r="V61" s="176">
        <v>2</v>
      </c>
      <c r="W61" s="176" t="str">
        <v>유금숙</v>
      </c>
      <c r="X61" s="176" t="str">
        <v>010-8636-4037</v>
      </c>
      <c r="Y61" s="176">
        <v>0</v>
      </c>
      <c r="Z61" s="176" t="str">
        <v>경상북도 경주시 금성로395번길 15 (성건동) 고산숯불</v>
      </c>
      <c r="AA61" s="190">
        <v>0</v>
      </c>
      <c r="AB61" s="190">
        <v>0</v>
      </c>
      <c r="AC61" s="277">
        <v>0</v>
      </c>
      <c r="AD61" s="190">
        <v>27540</v>
      </c>
      <c r="AE61" s="190">
        <v>3060</v>
      </c>
      <c r="AF61" s="190">
        <v>0</v>
      </c>
      <c r="AG61" s="190">
        <v>3500</v>
      </c>
      <c r="AH61" s="190">
        <v>0</v>
      </c>
      <c r="AI61" s="190">
        <v>0</v>
      </c>
      <c r="AJ61" s="190">
        <v>0</v>
      </c>
      <c r="AK61" s="190" t="str">
        <v>떡외겹 30*38</v>
      </c>
      <c r="AL61" s="190">
        <v>0</v>
      </c>
      <c r="AM61" s="173">
        <v>14450</v>
      </c>
      <c r="AN61" s="173">
        <v>9350</v>
      </c>
      <c r="AO61" s="206">
        <v>27540</v>
      </c>
      <c r="AP61" s="206">
        <v>22200</v>
      </c>
      <c r="AQ61" s="173">
        <v>1176</v>
      </c>
      <c r="AR61" s="173">
        <v>4164</v>
      </c>
      <c r="AS61" s="173">
        <v>0.1512</v>
      </c>
      <c r="AT61" s="173">
        <v>0</v>
      </c>
      <c r="AU61" s="173" t="str">
        <v>ptDB47</v>
      </c>
      <c r="AV61" s="173">
        <v>0</v>
      </c>
      <c r="AW61" s="173">
        <v>27540</v>
      </c>
      <c r="AX61" s="173">
        <v>22200</v>
      </c>
      <c r="AY61" s="173">
        <v>1176</v>
      </c>
      <c r="AZ61" s="173">
        <v>4164</v>
      </c>
      <c r="BA61" s="173">
        <v>0.1512</v>
      </c>
      <c r="BB61" s="173" t="str">
        <v/>
      </c>
      <c r="BC61" s="173">
        <v>0</v>
      </c>
      <c r="BD61" s="156">
        <v>18700</v>
      </c>
      <c r="BF61" s="156">
        <v>119</v>
      </c>
      <c r="BG61" s="156" t="str">
        <v>비닐팩토리</v>
      </c>
      <c r="BH61" s="198">
        <v>45454</v>
      </c>
      <c r="BI61" s="199" t="str">
        <v>45470139</v>
      </c>
      <c r="BJ61" s="199" t="str">
        <v>대표</v>
      </c>
      <c r="BK61" s="199">
        <v>0</v>
      </c>
      <c r="BL61" s="199">
        <v>0</v>
      </c>
      <c r="BM61" s="199">
        <v>0</v>
      </c>
      <c r="BN61" s="198">
        <v>45454</v>
      </c>
      <c r="BO61" s="199" t="str">
        <v>CJ대한통운</v>
      </c>
      <c r="BP61" s="199" t="str">
        <v>530219497014</v>
      </c>
      <c r="BQ61" s="199">
        <v>0</v>
      </c>
      <c r="BR61" s="199" t="str">
        <v>SE.1000</v>
      </c>
      <c r="BS61" s="199" t="str">
        <v>투명</v>
      </c>
      <c r="BT61" s="199">
        <v>1</v>
      </c>
      <c r="BU61" s="199" t="str">
        <v>제일농수산(만대로)</v>
      </c>
      <c r="BV61" s="199" t="str">
        <v>010-4194-9303</v>
      </c>
      <c r="BW61" s="199">
        <v>0</v>
      </c>
      <c r="BX61" s="199" t="str">
        <v>강원특별자치도 원주시 만대로 119 (원주무실6단지휴먼시아) 604동 101호</v>
      </c>
      <c r="BY61" s="199">
        <v>0</v>
      </c>
      <c r="BZ61" s="199">
        <v>0</v>
      </c>
      <c r="CA61" s="273">
        <v>0</v>
      </c>
      <c r="CB61" s="199">
        <v>0</v>
      </c>
      <c r="CC61" s="199">
        <v>0</v>
      </c>
      <c r="CD61" s="199">
        <v>0</v>
      </c>
      <c r="CE61" s="200">
        <v>0</v>
      </c>
      <c r="CF61" s="200">
        <v>0</v>
      </c>
      <c r="CG61" s="200">
        <v>0</v>
      </c>
      <c r="CH61" s="200">
        <v>0</v>
      </c>
      <c r="CI61" s="200" t="str">
        <v>대표</v>
      </c>
      <c r="CJ61" s="200" t="str">
        <v>재구매</v>
      </c>
      <c r="CK61" s="200">
        <v>0</v>
      </c>
      <c r="CL61" s="200">
        <v>0</v>
      </c>
      <c r="CM61" s="200">
        <v>0</v>
      </c>
      <c r="CN61" s="156">
        <v>0</v>
      </c>
      <c r="CO61" s="156">
        <v>0</v>
      </c>
      <c r="CP61" s="156">
        <v>0</v>
      </c>
      <c r="CQ61" s="156">
        <v>0</v>
      </c>
      <c r="CR61" s="156">
        <v>0</v>
      </c>
      <c r="CS61" s="156" t="str">
        <v>ptDB47</v>
      </c>
      <c r="CT61" s="156">
        <v>0</v>
      </c>
      <c r="CU61" s="156">
        <v>0</v>
      </c>
      <c r="CV61" s="156">
        <v>0</v>
      </c>
      <c r="CW61" s="156">
        <v>0</v>
      </c>
      <c r="CX61" s="156">
        <v>0</v>
      </c>
      <c r="CY61" s="156">
        <v>0</v>
      </c>
      <c r="CZ61" s="156" t="str">
        <v/>
      </c>
      <c r="DA61" s="156">
        <v>0</v>
      </c>
      <c r="DB61" s="156">
        <v>0</v>
      </c>
    </row>
    <row r="62" spans="8:106" ht="18" customHeight="1">
      <c r="H62" s="173">
        <v>108</v>
      </c>
      <c r="I62" s="156" t="str">
        <v>비닐스토리</v>
      </c>
      <c r="J62" s="177">
        <v>45452</v>
      </c>
      <c r="K62" s="176" t="str">
        <v>2024060990524461</v>
      </c>
      <c r="L62" s="176" t="str">
        <v>스마트 스토어</v>
      </c>
      <c r="M62" s="176" t="str">
        <v>유금숙</v>
      </c>
      <c r="N62" s="176" t="str">
        <v>koak****</v>
      </c>
      <c r="O62" s="177" t="str">
        <v>010-8636-4037</v>
      </c>
      <c r="P62" s="177">
        <v>45453</v>
      </c>
      <c r="Q62" s="176" t="str">
        <v>CJ대한통운</v>
      </c>
      <c r="R62" s="176" t="str">
        <v>540216957716</v>
      </c>
      <c r="S62" s="178">
        <v>0</v>
      </c>
      <c r="T62" s="176" t="str">
        <v>SE.307</v>
      </c>
      <c r="U62" s="176" t="str">
        <v>투명</v>
      </c>
      <c r="V62" s="176">
        <v>1</v>
      </c>
      <c r="W62" s="176" t="str">
        <v>유금숙</v>
      </c>
      <c r="X62" s="176" t="str">
        <v>010-8636-4037</v>
      </c>
      <c r="Y62" s="176">
        <v>0</v>
      </c>
      <c r="Z62" s="176" t="str">
        <v>경상북도 경주시 금성로395번길 15 (성건동) 고산숯불</v>
      </c>
      <c r="AA62" s="190">
        <v>0</v>
      </c>
      <c r="AB62" s="190">
        <v>0</v>
      </c>
      <c r="AC62" s="277">
        <v>0</v>
      </c>
      <c r="AD62" s="190">
        <v>10690</v>
      </c>
      <c r="AE62" s="190">
        <v>1190</v>
      </c>
      <c r="AF62" s="190">
        <v>0</v>
      </c>
      <c r="AG62" s="190">
        <v>0</v>
      </c>
      <c r="AH62" s="190">
        <v>0</v>
      </c>
      <c r="AI62" s="190">
        <v>0</v>
      </c>
      <c r="AJ62" s="190">
        <v>0</v>
      </c>
      <c r="AK62" s="190" t="str">
        <v>떡외겹 30*30</v>
      </c>
      <c r="AL62" s="190" t="str">
        <v>재구매</v>
      </c>
      <c r="AM62" s="173">
        <v>11220</v>
      </c>
      <c r="AN62" s="173">
        <v>7260</v>
      </c>
      <c r="AO62" s="206">
        <v>10690</v>
      </c>
      <c r="AP62" s="206">
        <v>7260</v>
      </c>
      <c r="AQ62" s="173">
        <v>505</v>
      </c>
      <c r="AR62" s="173">
        <v>2925</v>
      </c>
      <c r="AS62" s="173">
        <v>0.27360000000000001</v>
      </c>
      <c r="AT62" s="173">
        <v>0</v>
      </c>
      <c r="AU62" s="173" t="str">
        <v>ptDB47</v>
      </c>
      <c r="AV62" s="173">
        <v>0</v>
      </c>
      <c r="AW62" s="173">
        <v>10690</v>
      </c>
      <c r="AX62" s="173">
        <v>7260</v>
      </c>
      <c r="AY62" s="173">
        <v>505</v>
      </c>
      <c r="AZ62" s="173">
        <v>2925</v>
      </c>
      <c r="BA62" s="173">
        <v>0.27360000000000001</v>
      </c>
      <c r="BB62" s="173" t="str">
        <v/>
      </c>
      <c r="BC62" s="173">
        <v>0</v>
      </c>
      <c r="BD62" s="156">
        <v>7260</v>
      </c>
      <c r="BF62" s="156">
        <v>120</v>
      </c>
      <c r="BG62" s="156" t="str">
        <v>비닐팩토리</v>
      </c>
      <c r="BH62" s="198">
        <v>45454</v>
      </c>
      <c r="BI62" s="199" t="str">
        <v>45470873</v>
      </c>
      <c r="BJ62" s="199" t="str">
        <v>대표</v>
      </c>
      <c r="BK62" s="199">
        <v>0</v>
      </c>
      <c r="BL62" s="199">
        <v>0</v>
      </c>
      <c r="BM62" s="199">
        <v>0</v>
      </c>
      <c r="BN62" s="198">
        <v>45454</v>
      </c>
      <c r="BO62" s="199" t="str">
        <v>CJ대한통운</v>
      </c>
      <c r="BP62" s="199" t="str">
        <v>540218431920</v>
      </c>
      <c r="BQ62" s="199">
        <v>0</v>
      </c>
      <c r="BR62" s="199" t="str">
        <v>SE.1000</v>
      </c>
      <c r="BS62" s="199" t="str">
        <v>투명</v>
      </c>
      <c r="BT62" s="199">
        <v>1</v>
      </c>
      <c r="BU62" s="199" t="str">
        <v>제일농수산(만대로)</v>
      </c>
      <c r="BV62" s="199" t="str">
        <v>010-4194-9303</v>
      </c>
      <c r="BW62" s="199">
        <v>0</v>
      </c>
      <c r="BX62" s="199" t="str">
        <v>강원특별자치도 원주시 만대로 119 (원주무실6단지휴먼시아) 604동 101호</v>
      </c>
      <c r="BY62" s="199">
        <v>0</v>
      </c>
      <c r="BZ62" s="199">
        <v>0</v>
      </c>
      <c r="CA62" s="273">
        <v>0</v>
      </c>
      <c r="CB62" s="199">
        <v>0</v>
      </c>
      <c r="CC62" s="199">
        <v>0</v>
      </c>
      <c r="CD62" s="199">
        <v>0</v>
      </c>
      <c r="CE62" s="200">
        <v>0</v>
      </c>
      <c r="CF62" s="200">
        <v>0</v>
      </c>
      <c r="CG62" s="200">
        <v>0</v>
      </c>
      <c r="CH62" s="200">
        <v>0</v>
      </c>
      <c r="CI62" s="200" t="str">
        <v>대표</v>
      </c>
      <c r="CJ62" s="200" t="str">
        <v>재구매</v>
      </c>
      <c r="CK62" s="200">
        <v>0</v>
      </c>
      <c r="CL62" s="200">
        <v>0</v>
      </c>
      <c r="CM62" s="200">
        <v>0</v>
      </c>
      <c r="CN62" s="156">
        <v>0</v>
      </c>
      <c r="CO62" s="156">
        <v>0</v>
      </c>
      <c r="CP62" s="156">
        <v>0</v>
      </c>
      <c r="CQ62" s="156">
        <v>0</v>
      </c>
      <c r="CR62" s="156">
        <v>0</v>
      </c>
      <c r="CS62" s="156" t="str">
        <v>ptDB47</v>
      </c>
      <c r="CT62" s="156">
        <v>0</v>
      </c>
      <c r="CU62" s="156">
        <v>0</v>
      </c>
      <c r="CV62" s="156">
        <v>0</v>
      </c>
      <c r="CW62" s="156">
        <v>0</v>
      </c>
      <c r="CX62" s="156">
        <v>0</v>
      </c>
      <c r="CY62" s="156">
        <v>0</v>
      </c>
      <c r="CZ62" s="156" t="str">
        <v/>
      </c>
      <c r="DA62" s="156">
        <v>0</v>
      </c>
      <c r="DB62" s="156">
        <v>0</v>
      </c>
    </row>
    <row r="63" spans="8:106" ht="18" customHeight="1">
      <c r="H63" s="173">
        <v>109</v>
      </c>
      <c r="I63" s="156" t="str">
        <v>비닐스토리</v>
      </c>
      <c r="J63" s="177">
        <v>45452</v>
      </c>
      <c r="K63" s="176" t="str">
        <v>2024060970463081</v>
      </c>
      <c r="L63" s="176" t="str">
        <v>스마트 스토어</v>
      </c>
      <c r="M63" s="176" t="str">
        <v>윤혜영</v>
      </c>
      <c r="N63" s="176" t="str">
        <v>chac****</v>
      </c>
      <c r="O63" s="177" t="str">
        <v>010-4599-0208</v>
      </c>
      <c r="P63" s="177">
        <v>45453</v>
      </c>
      <c r="Q63" s="176" t="str">
        <v>CJ대한통운</v>
      </c>
      <c r="R63" s="176" t="str">
        <v>540216957801</v>
      </c>
      <c r="S63" s="178">
        <v>0</v>
      </c>
      <c r="T63" s="176" t="str">
        <v>SE.206</v>
      </c>
      <c r="U63" s="176" t="str">
        <v>투명</v>
      </c>
      <c r="V63" s="176">
        <v>1</v>
      </c>
      <c r="W63" s="176" t="str">
        <v>윤혜영</v>
      </c>
      <c r="X63" s="176" t="str">
        <v>010-4599-0208</v>
      </c>
      <c r="Y63" s="176" t="str">
        <v>010-4599-0208</v>
      </c>
      <c r="Z63" s="176" t="str">
        <v>경기도 구리시 아치울길 34-9 (아천동) 호성아트빌 301호</v>
      </c>
      <c r="AA63" s="190" t="str">
        <v>배송 전 미리 연락해 주세요</v>
      </c>
      <c r="AB63" s="190">
        <v>0</v>
      </c>
      <c r="AC63" s="277">
        <v>0</v>
      </c>
      <c r="AD63" s="190">
        <v>28620</v>
      </c>
      <c r="AE63" s="190">
        <v>3180</v>
      </c>
      <c r="AF63" s="190">
        <v>3000</v>
      </c>
      <c r="AG63" s="190">
        <v>3500</v>
      </c>
      <c r="AH63" s="190">
        <v>0</v>
      </c>
      <c r="AI63" s="190">
        <v>0</v>
      </c>
      <c r="AJ63" s="190">
        <v>0</v>
      </c>
      <c r="AK63" s="190" t="str">
        <v>떡롤 45*330</v>
      </c>
      <c r="AL63" s="190">
        <v>0</v>
      </c>
      <c r="AM63" s="173">
        <v>30600</v>
      </c>
      <c r="AN63" s="173">
        <v>19800</v>
      </c>
      <c r="AO63" s="206">
        <v>31620</v>
      </c>
      <c r="AP63" s="206">
        <v>23300</v>
      </c>
      <c r="AQ63" s="173">
        <v>1278</v>
      </c>
      <c r="AR63" s="173">
        <v>7042</v>
      </c>
      <c r="AS63" s="173">
        <v>0.22270000000000001</v>
      </c>
      <c r="AT63" s="173">
        <v>0</v>
      </c>
      <c r="AU63" s="173" t="str">
        <v>ptDB47</v>
      </c>
      <c r="AV63" s="173">
        <v>0</v>
      </c>
      <c r="AW63" s="173">
        <v>31620</v>
      </c>
      <c r="AX63" s="173">
        <v>23300</v>
      </c>
      <c r="AY63" s="173">
        <v>1278</v>
      </c>
      <c r="AZ63" s="173">
        <v>7042</v>
      </c>
      <c r="BA63" s="173">
        <v>0.22270000000000001</v>
      </c>
      <c r="BB63" s="173" t="str">
        <v/>
      </c>
      <c r="BC63" s="173">
        <v>0</v>
      </c>
      <c r="BD63" s="156">
        <v>19800</v>
      </c>
      <c r="BF63" s="156">
        <v>121</v>
      </c>
      <c r="BG63" s="156" t="str">
        <v>비닐팩토리</v>
      </c>
      <c r="BH63" s="198">
        <v>45454</v>
      </c>
      <c r="BI63" s="199" t="str">
        <v>45470966</v>
      </c>
      <c r="BJ63" s="199" t="str">
        <v>대표</v>
      </c>
      <c r="BK63" s="199">
        <v>0</v>
      </c>
      <c r="BL63" s="199">
        <v>0</v>
      </c>
      <c r="BM63" s="199">
        <v>0</v>
      </c>
      <c r="BN63" s="198">
        <v>45454</v>
      </c>
      <c r="BO63" s="199" t="str">
        <v>CJ대한통운</v>
      </c>
      <c r="BP63" s="199" t="str">
        <v>540218431964</v>
      </c>
      <c r="BQ63" s="199">
        <v>0</v>
      </c>
      <c r="BR63" s="199" t="str">
        <v>SE.1000</v>
      </c>
      <c r="BS63" s="199" t="str">
        <v>투명</v>
      </c>
      <c r="BT63" s="199">
        <v>1</v>
      </c>
      <c r="BU63" s="199" t="str">
        <v>제일농수산(만대로)</v>
      </c>
      <c r="BV63" s="199" t="str">
        <v>010-4194-9303</v>
      </c>
      <c r="BW63" s="199">
        <v>0</v>
      </c>
      <c r="BX63" s="199" t="str">
        <v>강원특별자치도 원주시 만대로 119 (원주무실6단지휴먼시아) 604동 101호</v>
      </c>
      <c r="BY63" s="199">
        <v>0</v>
      </c>
      <c r="BZ63" s="199">
        <v>0</v>
      </c>
      <c r="CA63" s="273">
        <v>0</v>
      </c>
      <c r="CB63" s="199">
        <v>0</v>
      </c>
      <c r="CC63" s="199">
        <v>0</v>
      </c>
      <c r="CD63" s="199">
        <v>0</v>
      </c>
      <c r="CE63" s="200">
        <v>0</v>
      </c>
      <c r="CF63" s="200">
        <v>0</v>
      </c>
      <c r="CG63" s="200">
        <v>0</v>
      </c>
      <c r="CH63" s="200">
        <v>0</v>
      </c>
      <c r="CI63" s="200" t="str">
        <v>대표</v>
      </c>
      <c r="CJ63" s="200" t="str">
        <v>재구매</v>
      </c>
      <c r="CK63" s="200">
        <v>0</v>
      </c>
      <c r="CL63" s="200">
        <v>0</v>
      </c>
      <c r="CM63" s="200">
        <v>0</v>
      </c>
      <c r="CN63" s="156">
        <v>0</v>
      </c>
      <c r="CO63" s="156">
        <v>0</v>
      </c>
      <c r="CP63" s="156">
        <v>0</v>
      </c>
      <c r="CQ63" s="156">
        <v>0</v>
      </c>
      <c r="CR63" s="156">
        <v>0</v>
      </c>
      <c r="CS63" s="156" t="str">
        <v>ptDB47</v>
      </c>
      <c r="CT63" s="156">
        <v>0</v>
      </c>
      <c r="CU63" s="156">
        <v>0</v>
      </c>
      <c r="CV63" s="156">
        <v>0</v>
      </c>
      <c r="CW63" s="156">
        <v>0</v>
      </c>
      <c r="CX63" s="156">
        <v>0</v>
      </c>
      <c r="CY63" s="156">
        <v>0</v>
      </c>
      <c r="CZ63" s="156" t="str">
        <v/>
      </c>
      <c r="DA63" s="156">
        <v>0</v>
      </c>
      <c r="DB63" s="156">
        <v>0</v>
      </c>
    </row>
    <row r="64" spans="8:106" ht="18" customHeight="1">
      <c r="H64" s="173">
        <v>110</v>
      </c>
      <c r="I64" s="156" t="str">
        <v>비닐스토리</v>
      </c>
      <c r="J64" s="177">
        <v>45452</v>
      </c>
      <c r="K64" s="176" t="str">
        <v>2024060970394221</v>
      </c>
      <c r="L64" s="176" t="str">
        <v>스마트 스토어</v>
      </c>
      <c r="M64" s="176" t="str">
        <v>김영균</v>
      </c>
      <c r="N64" s="176" t="str">
        <v>kyg7****</v>
      </c>
      <c r="O64" s="177" t="str">
        <v>010-3481-7254</v>
      </c>
      <c r="P64" s="177">
        <v>45453</v>
      </c>
      <c r="Q64" s="176" t="str">
        <v>CJ대한통운</v>
      </c>
      <c r="R64" s="176" t="str">
        <v>540216957510</v>
      </c>
      <c r="S64" s="178">
        <v>0</v>
      </c>
      <c r="T64" s="176" t="str">
        <v>SE.306</v>
      </c>
      <c r="U64" s="176" t="str">
        <v>투명</v>
      </c>
      <c r="V64" s="176">
        <v>4</v>
      </c>
      <c r="W64" s="176" t="str">
        <v>김영균</v>
      </c>
      <c r="X64" s="176" t="str">
        <v>010-3481-7254</v>
      </c>
      <c r="Y64" s="176">
        <v>0</v>
      </c>
      <c r="Z64" s="176" t="str">
        <v>세종특별자치시 금남면 성강길 35 서가네떡방</v>
      </c>
      <c r="AA64" s="190">
        <v>0</v>
      </c>
      <c r="AB64" s="190">
        <v>0</v>
      </c>
      <c r="AC64" s="277">
        <v>0</v>
      </c>
      <c r="AD64" s="190">
        <v>57000</v>
      </c>
      <c r="AE64" s="190">
        <v>6360</v>
      </c>
      <c r="AF64" s="190">
        <v>0</v>
      </c>
      <c r="AG64" s="190">
        <v>4400</v>
      </c>
      <c r="AH64" s="190">
        <v>0</v>
      </c>
      <c r="AI64" s="190">
        <v>0</v>
      </c>
      <c r="AJ64" s="190">
        <v>0</v>
      </c>
      <c r="AK64" s="190" t="str">
        <v>떡외겹 20*20</v>
      </c>
      <c r="AL64" s="190">
        <v>0</v>
      </c>
      <c r="AM64" s="173">
        <v>14960</v>
      </c>
      <c r="AN64" s="173">
        <v>9680</v>
      </c>
      <c r="AO64" s="206">
        <v>57000</v>
      </c>
      <c r="AP64" s="206">
        <v>43120</v>
      </c>
      <c r="AQ64" s="173">
        <v>2349</v>
      </c>
      <c r="AR64" s="173">
        <v>11531</v>
      </c>
      <c r="AS64" s="173">
        <v>0.20230000000000001</v>
      </c>
      <c r="AT64" s="173">
        <v>0</v>
      </c>
      <c r="AU64" s="173" t="str">
        <v>ptDB47</v>
      </c>
      <c r="AV64" s="173">
        <v>0</v>
      </c>
      <c r="AW64" s="173">
        <v>57000</v>
      </c>
      <c r="AX64" s="173">
        <v>43120</v>
      </c>
      <c r="AY64" s="173">
        <v>2349</v>
      </c>
      <c r="AZ64" s="173">
        <v>11531</v>
      </c>
      <c r="BA64" s="173">
        <v>0.20230000000000001</v>
      </c>
      <c r="BB64" s="173" t="str">
        <v/>
      </c>
      <c r="BC64" s="173">
        <v>0</v>
      </c>
      <c r="BD64" s="156">
        <v>38720</v>
      </c>
      <c r="BF64" s="156">
        <v>135</v>
      </c>
      <c r="BG64" s="156" t="str">
        <v>비닐팩토리</v>
      </c>
      <c r="BH64" s="198">
        <v>45453</v>
      </c>
      <c r="BI64" s="199" t="str">
        <v>2024061023906341</v>
      </c>
      <c r="BJ64" s="199" t="str">
        <v>스마트 스토어</v>
      </c>
      <c r="BK64" s="199" t="str">
        <v>손현주</v>
      </c>
      <c r="BL64" s="199" t="str">
        <v>boy8****</v>
      </c>
      <c r="BM64" s="199" t="str">
        <v>010-9558-1417</v>
      </c>
      <c r="BN64" s="198">
        <v>45454</v>
      </c>
      <c r="BO64" s="199" t="str">
        <v>CJ대한통운</v>
      </c>
      <c r="BP64" s="199" t="str">
        <v>540218123824</v>
      </c>
      <c r="BQ64" s="199">
        <v>0</v>
      </c>
      <c r="BR64" s="199" t="str">
        <v>SE.303</v>
      </c>
      <c r="BS64" s="199" t="str">
        <v>투명</v>
      </c>
      <c r="BT64" s="199">
        <v>2</v>
      </c>
      <c r="BU64" s="199" t="str">
        <v>손현주</v>
      </c>
      <c r="BV64" s="199" t="str">
        <v>010-9558-1417</v>
      </c>
      <c r="BW64" s="199">
        <v>0</v>
      </c>
      <c r="BX64" s="199" t="str">
        <v>경상북도 청도군 풍각면 송서로 63 (풍각면) 손가네식품</v>
      </c>
      <c r="BY64" s="199">
        <v>0</v>
      </c>
      <c r="BZ64" s="199">
        <v>0</v>
      </c>
      <c r="CA64" s="273">
        <v>0</v>
      </c>
      <c r="CB64" s="199">
        <v>43840</v>
      </c>
      <c r="CC64" s="199">
        <v>0</v>
      </c>
      <c r="CD64" s="199">
        <v>0</v>
      </c>
      <c r="CE64" s="200">
        <v>4400</v>
      </c>
      <c r="CF64" s="200">
        <v>0</v>
      </c>
      <c r="CG64" s="200">
        <v>0</v>
      </c>
      <c r="CH64" s="200">
        <v>0</v>
      </c>
      <c r="CI64" s="200" t="str">
        <v>떡외겹 25*25</v>
      </c>
      <c r="CJ64" s="200">
        <v>0</v>
      </c>
      <c r="CK64" s="200">
        <v>21920</v>
      </c>
      <c r="CL64" s="200">
        <v>15070</v>
      </c>
      <c r="CM64" s="200">
        <v>43840</v>
      </c>
      <c r="CN64" s="156">
        <v>0</v>
      </c>
      <c r="CO64" s="156">
        <v>2283</v>
      </c>
      <c r="CP64" s="156">
        <v>0</v>
      </c>
      <c r="CQ64" s="156">
        <v>0</v>
      </c>
      <c r="CR64" s="156">
        <v>0</v>
      </c>
      <c r="CS64" s="156" t="str">
        <v>ptDB47</v>
      </c>
      <c r="CT64" s="156">
        <v>0</v>
      </c>
      <c r="CU64" s="156">
        <v>43840</v>
      </c>
      <c r="CV64" s="156">
        <v>0</v>
      </c>
      <c r="CW64" s="156">
        <v>2283</v>
      </c>
      <c r="CX64" s="156">
        <v>0</v>
      </c>
      <c r="CY64" s="156">
        <v>0</v>
      </c>
      <c r="CZ64" s="156" t="str">
        <v/>
      </c>
      <c r="DA64" s="156">
        <v>0</v>
      </c>
      <c r="DB64" s="156">
        <v>30140</v>
      </c>
    </row>
    <row r="65" spans="8:106" ht="18" customHeight="1">
      <c r="H65" s="173">
        <v>111</v>
      </c>
      <c r="I65" s="156" t="str">
        <v>비닐스토리</v>
      </c>
      <c r="J65" s="177">
        <v>45451</v>
      </c>
      <c r="K65" s="176" t="str">
        <v>2024060843149951</v>
      </c>
      <c r="L65" s="176" t="str">
        <v>스마트 스토어</v>
      </c>
      <c r="M65" s="176" t="str">
        <v>박일섭</v>
      </c>
      <c r="N65" s="176" t="str">
        <v>hggd****</v>
      </c>
      <c r="O65" s="177" t="str">
        <v>010-4812-3989</v>
      </c>
      <c r="P65" s="177">
        <v>45453</v>
      </c>
      <c r="Q65" s="176" t="str">
        <v>CJ대한통운</v>
      </c>
      <c r="R65" s="176" t="str">
        <v>530217935701</v>
      </c>
      <c r="S65" s="178">
        <v>0</v>
      </c>
      <c r="T65" s="176" t="str">
        <v>SE.206</v>
      </c>
      <c r="U65" s="176" t="str">
        <v>투명</v>
      </c>
      <c r="V65" s="176">
        <v>1</v>
      </c>
      <c r="W65" s="176" t="str">
        <v>소풍가다</v>
      </c>
      <c r="X65" s="176" t="str">
        <v>010-4812-3989</v>
      </c>
      <c r="Y65" s="176">
        <v>0</v>
      </c>
      <c r="Z65" s="176" t="str">
        <v>경상북도 경주시 양남면 다래길 15 (양남면) 소풍가다</v>
      </c>
      <c r="AA65" s="190">
        <v>0</v>
      </c>
      <c r="AB65" s="190">
        <v>0</v>
      </c>
      <c r="AC65" s="277">
        <v>0</v>
      </c>
      <c r="AD65" s="190">
        <v>28620</v>
      </c>
      <c r="AE65" s="190">
        <v>3180</v>
      </c>
      <c r="AF65" s="190">
        <v>3000</v>
      </c>
      <c r="AG65" s="190">
        <v>3500</v>
      </c>
      <c r="AH65" s="190">
        <v>0</v>
      </c>
      <c r="AI65" s="190">
        <v>0</v>
      </c>
      <c r="AJ65" s="190">
        <v>0</v>
      </c>
      <c r="AK65" s="190" t="str">
        <v>떡롤 45*330</v>
      </c>
      <c r="AL65" s="190">
        <v>0</v>
      </c>
      <c r="AM65" s="173">
        <v>30600</v>
      </c>
      <c r="AN65" s="173">
        <v>19800</v>
      </c>
      <c r="AO65" s="206">
        <v>31620</v>
      </c>
      <c r="AP65" s="206">
        <v>23300</v>
      </c>
      <c r="AQ65" s="173">
        <v>1278</v>
      </c>
      <c r="AR65" s="173">
        <v>7042</v>
      </c>
      <c r="AS65" s="173">
        <v>0.22270000000000001</v>
      </c>
      <c r="AT65" s="173">
        <v>0</v>
      </c>
      <c r="AU65" s="173" t="str">
        <v>ptDB47</v>
      </c>
      <c r="AV65" s="173">
        <v>0</v>
      </c>
      <c r="AW65" s="173">
        <v>31620</v>
      </c>
      <c r="AX65" s="173">
        <v>23300</v>
      </c>
      <c r="AY65" s="173">
        <v>1278</v>
      </c>
      <c r="AZ65" s="173">
        <v>7042</v>
      </c>
      <c r="BA65" s="173">
        <v>0.22270000000000001</v>
      </c>
      <c r="BB65" s="173" t="str">
        <v/>
      </c>
      <c r="BC65" s="173">
        <v>0</v>
      </c>
      <c r="BD65" s="156">
        <v>19800</v>
      </c>
      <c r="BF65" s="156">
        <v>136</v>
      </c>
      <c r="BG65" s="156" t="str">
        <v>비닐팩토리</v>
      </c>
      <c r="BH65" s="198">
        <v>45453</v>
      </c>
      <c r="BI65" s="199" t="str">
        <v>2024061021846441</v>
      </c>
      <c r="BJ65" s="199" t="str">
        <v>스마트 스토어</v>
      </c>
      <c r="BK65" s="199" t="str">
        <v>김성엽</v>
      </c>
      <c r="BL65" s="199" t="str">
        <v>yeop****</v>
      </c>
      <c r="BM65" s="199" t="str">
        <v>010-9372-6698</v>
      </c>
      <c r="BN65" s="198">
        <v>45454</v>
      </c>
      <c r="BO65" s="199" t="str">
        <v>CJ대한통운</v>
      </c>
      <c r="BP65" s="199" t="str">
        <v>530219199912</v>
      </c>
      <c r="BQ65" s="199">
        <v>0</v>
      </c>
      <c r="BR65" s="199" t="str">
        <v>SE.205</v>
      </c>
      <c r="BS65" s="199" t="str">
        <v>투명</v>
      </c>
      <c r="BT65" s="199">
        <v>1</v>
      </c>
      <c r="BU65" s="199" t="str">
        <v>윌로우(주)</v>
      </c>
      <c r="BV65" s="199" t="str">
        <v>010-9372-6698</v>
      </c>
      <c r="BW65" s="199">
        <v>0</v>
      </c>
      <c r="BX65" s="199" t="str">
        <v>경기도 수원시 장안구 수성로261번길 16 (정자동, 정자종합시장) 제 4층 409호 윌로우(주)</v>
      </c>
      <c r="BY65" s="199">
        <v>0</v>
      </c>
      <c r="BZ65" s="199">
        <v>0</v>
      </c>
      <c r="CA65" s="273">
        <v>0</v>
      </c>
      <c r="CB65" s="199">
        <v>24000</v>
      </c>
      <c r="CC65" s="199">
        <v>0</v>
      </c>
      <c r="CD65" s="199">
        <v>3000</v>
      </c>
      <c r="CE65" s="200">
        <v>3500</v>
      </c>
      <c r="CF65" s="200">
        <v>0</v>
      </c>
      <c r="CG65" s="200">
        <v>0</v>
      </c>
      <c r="CH65" s="200">
        <v>0</v>
      </c>
      <c r="CI65" s="200" t="str">
        <v>떡롤 35*400</v>
      </c>
      <c r="CJ65" s="200">
        <v>0</v>
      </c>
      <c r="CK65" s="200">
        <v>24000</v>
      </c>
      <c r="CL65" s="200">
        <v>16500</v>
      </c>
      <c r="CM65" s="200">
        <v>27000</v>
      </c>
      <c r="CN65" s="156">
        <v>0</v>
      </c>
      <c r="CO65" s="156">
        <v>1375</v>
      </c>
      <c r="CP65" s="156">
        <v>0</v>
      </c>
      <c r="CQ65" s="156">
        <v>0</v>
      </c>
      <c r="CR65" s="156">
        <v>0</v>
      </c>
      <c r="CS65" s="156" t="str">
        <v>ptDB47</v>
      </c>
      <c r="CT65" s="156">
        <v>0</v>
      </c>
      <c r="CU65" s="156">
        <v>27000</v>
      </c>
      <c r="CV65" s="156">
        <v>0</v>
      </c>
      <c r="CW65" s="156">
        <v>1375</v>
      </c>
      <c r="CX65" s="156">
        <v>0</v>
      </c>
      <c r="CY65" s="156">
        <v>0</v>
      </c>
      <c r="CZ65" s="156" t="str">
        <v/>
      </c>
      <c r="DA65" s="156">
        <v>0</v>
      </c>
      <c r="DB65" s="156">
        <v>16500</v>
      </c>
    </row>
    <row r="66" spans="8:106" ht="18" customHeight="1">
      <c r="H66" s="173">
        <v>122</v>
      </c>
      <c r="I66" s="156" t="str">
        <v>비닐스토리</v>
      </c>
      <c r="J66" s="177">
        <v>45454</v>
      </c>
      <c r="K66" s="176" t="str">
        <v>2024061159500781</v>
      </c>
      <c r="L66" s="176" t="str">
        <v>스마트 스토어</v>
      </c>
      <c r="M66" s="176" t="str">
        <v>장철호</v>
      </c>
      <c r="N66" s="176" t="str">
        <v>futu****</v>
      </c>
      <c r="O66" s="177" t="str">
        <v>010-5241-9516</v>
      </c>
      <c r="P66" s="177">
        <v>45454</v>
      </c>
      <c r="Q66" s="176" t="str">
        <v>CJ대한통운</v>
      </c>
      <c r="R66" s="176" t="str">
        <v>530219199805</v>
      </c>
      <c r="S66" s="178">
        <v>0</v>
      </c>
      <c r="T66" s="176" t="str">
        <v>SE.137</v>
      </c>
      <c r="U66" s="176" t="str">
        <v>투명</v>
      </c>
      <c r="V66" s="176">
        <v>100</v>
      </c>
      <c r="W66" s="176" t="str">
        <v>장철호</v>
      </c>
      <c r="X66" s="176" t="str">
        <v>010-5580-5662</v>
      </c>
      <c r="Y66" s="176">
        <v>0</v>
      </c>
      <c r="Z66" s="176" t="str">
        <v>인천광역시 서구 검단천로356번길 30 (오류동, 승일금속(주)) 주식회사비에스씨</v>
      </c>
      <c r="AA66" s="190">
        <v>0</v>
      </c>
      <c r="AB66" s="190">
        <v>0</v>
      </c>
      <c r="AC66" s="277">
        <v>0</v>
      </c>
      <c r="AD66" s="190">
        <v>131000</v>
      </c>
      <c r="AE66" s="190">
        <v>35000</v>
      </c>
      <c r="AF66" s="190">
        <v>0</v>
      </c>
      <c r="AG66" s="190">
        <v>4400</v>
      </c>
      <c r="AH66" s="190">
        <v>0</v>
      </c>
      <c r="AI66" s="190">
        <v>0</v>
      </c>
      <c r="AJ66" s="190">
        <v>0</v>
      </c>
      <c r="AK66" s="190" t="str">
        <v>끈속지 25*35</v>
      </c>
      <c r="AL66" s="190">
        <v>0</v>
      </c>
      <c r="AM66" s="173">
        <v>1240</v>
      </c>
      <c r="AN66" s="173">
        <v>880</v>
      </c>
      <c r="AO66" s="206">
        <v>131000</v>
      </c>
      <c r="AP66" s="206">
        <v>92400</v>
      </c>
      <c r="AQ66" s="173">
        <v>5294</v>
      </c>
      <c r="AR66" s="173">
        <v>33306</v>
      </c>
      <c r="AS66" s="173">
        <v>0.25419999999999998</v>
      </c>
      <c r="AT66" s="173">
        <v>0</v>
      </c>
      <c r="AU66" s="173" t="str">
        <v>ptDB47</v>
      </c>
      <c r="AV66" s="173">
        <v>0</v>
      </c>
      <c r="AW66" s="173">
        <v>131000</v>
      </c>
      <c r="AX66" s="173">
        <v>92400</v>
      </c>
      <c r="AY66" s="173">
        <v>5294</v>
      </c>
      <c r="AZ66" s="173">
        <v>33306</v>
      </c>
      <c r="BA66" s="173">
        <v>0.25419999999999998</v>
      </c>
      <c r="BB66" s="173" t="str">
        <v/>
      </c>
      <c r="BC66" s="173">
        <v>0</v>
      </c>
      <c r="BD66" s="156">
        <v>88000</v>
      </c>
      <c r="BF66" s="156">
        <v>137</v>
      </c>
      <c r="BG66" s="156" t="str">
        <v>비닐팩토리</v>
      </c>
      <c r="BH66" s="198">
        <v>45453</v>
      </c>
      <c r="BI66" s="199" t="str">
        <v>2024061017985051</v>
      </c>
      <c r="BJ66" s="199" t="str">
        <v>스마트 스토어</v>
      </c>
      <c r="BK66" s="199" t="str">
        <v>최슬기</v>
      </c>
      <c r="BL66" s="199" t="str">
        <v>seul****</v>
      </c>
      <c r="BM66" s="199" t="str">
        <v>010-8420-5958</v>
      </c>
      <c r="BN66" s="198">
        <v>45454</v>
      </c>
      <c r="BO66" s="199" t="str">
        <v>CJ대한통운</v>
      </c>
      <c r="BP66" s="199" t="str">
        <v>530219199831</v>
      </c>
      <c r="BQ66" s="199">
        <v>0</v>
      </c>
      <c r="BR66" s="199" t="str">
        <v>SE.303</v>
      </c>
      <c r="BS66" s="199" t="str">
        <v>투명</v>
      </c>
      <c r="BT66" s="199">
        <v>1</v>
      </c>
      <c r="BU66" s="199" t="str">
        <v>최슬기</v>
      </c>
      <c r="BV66" s="199" t="str">
        <v>010-8420-5958</v>
      </c>
      <c r="BW66" s="199">
        <v>0</v>
      </c>
      <c r="BX66" s="199" t="str">
        <v>경상남도 진주시 가호방아길43번길 32 (호탄동) 진주 금곡농협 로컬푸드 안 반찬가게</v>
      </c>
      <c r="BY66" s="199">
        <v>0</v>
      </c>
      <c r="BZ66" s="199">
        <v>0</v>
      </c>
      <c r="CA66" s="273">
        <v>0</v>
      </c>
      <c r="CB66" s="199">
        <v>21920</v>
      </c>
      <c r="CC66" s="199">
        <v>0</v>
      </c>
      <c r="CD66" s="199">
        <v>3000</v>
      </c>
      <c r="CE66" s="200">
        <v>3500</v>
      </c>
      <c r="CF66" s="200">
        <v>0</v>
      </c>
      <c r="CG66" s="200">
        <v>0</v>
      </c>
      <c r="CH66" s="200">
        <v>0</v>
      </c>
      <c r="CI66" s="200" t="str">
        <v>떡외겹 25*25</v>
      </c>
      <c r="CJ66" s="200">
        <v>0</v>
      </c>
      <c r="CK66" s="200">
        <v>21920</v>
      </c>
      <c r="CL66" s="200">
        <v>15070</v>
      </c>
      <c r="CM66" s="200">
        <v>24920</v>
      </c>
      <c r="CN66" s="156">
        <v>0</v>
      </c>
      <c r="CO66" s="156">
        <v>1270</v>
      </c>
      <c r="CP66" s="156">
        <v>0</v>
      </c>
      <c r="CQ66" s="156">
        <v>0</v>
      </c>
      <c r="CR66" s="156">
        <v>0</v>
      </c>
      <c r="CS66" s="156" t="str">
        <v>ptDB47</v>
      </c>
      <c r="CT66" s="156">
        <v>0</v>
      </c>
      <c r="CU66" s="156">
        <v>24920</v>
      </c>
      <c r="CV66" s="156">
        <v>0</v>
      </c>
      <c r="CW66" s="156">
        <v>1270</v>
      </c>
      <c r="CX66" s="156">
        <v>0</v>
      </c>
      <c r="CY66" s="156">
        <v>0</v>
      </c>
      <c r="CZ66" s="156" t="str">
        <v/>
      </c>
      <c r="DA66" s="156">
        <v>0</v>
      </c>
      <c r="DB66" s="156">
        <v>15070</v>
      </c>
    </row>
    <row r="67" spans="8:106" ht="18" customHeight="1">
      <c r="H67" s="173">
        <v>123</v>
      </c>
      <c r="I67" s="156" t="str">
        <v>비닐스토리</v>
      </c>
      <c r="J67" s="177">
        <v>45454</v>
      </c>
      <c r="K67" s="176" t="str">
        <v>2024061152406471</v>
      </c>
      <c r="L67" s="176" t="str">
        <v>스마트 스토어</v>
      </c>
      <c r="M67" s="176" t="str">
        <v>이승미</v>
      </c>
      <c r="N67" s="176" t="str">
        <v>a900****</v>
      </c>
      <c r="O67" s="177" t="str">
        <v>010-8996-6731</v>
      </c>
      <c r="P67" s="177">
        <v>45454</v>
      </c>
      <c r="Q67" s="176" t="str">
        <v>CJ대한통운</v>
      </c>
      <c r="R67" s="176" t="str">
        <v>530219199794</v>
      </c>
      <c r="S67" s="178">
        <v>0</v>
      </c>
      <c r="T67" s="176" t="str">
        <v>SE.206</v>
      </c>
      <c r="U67" s="176" t="str">
        <v>투명</v>
      </c>
      <c r="V67" s="176">
        <v>1</v>
      </c>
      <c r="W67" s="176" t="str">
        <v>이승미(누피케이크)</v>
      </c>
      <c r="X67" s="176" t="str">
        <v>010-8996-6731</v>
      </c>
      <c r="Y67" s="176">
        <v>0</v>
      </c>
      <c r="Z67" s="176" t="str">
        <v>경기도 부천시 부천로 25 (심곡동, 노블레스부천) 307호 NOOPCAKE</v>
      </c>
      <c r="AA67" s="190">
        <v>0</v>
      </c>
      <c r="AB67" s="190">
        <v>0</v>
      </c>
      <c r="AC67" s="277">
        <v>0</v>
      </c>
      <c r="AD67" s="190">
        <v>28620</v>
      </c>
      <c r="AE67" s="190">
        <v>3180</v>
      </c>
      <c r="AF67" s="190">
        <v>3000</v>
      </c>
      <c r="AG67" s="190">
        <v>3500</v>
      </c>
      <c r="AH67" s="190">
        <v>0</v>
      </c>
      <c r="AI67" s="190">
        <v>0</v>
      </c>
      <c r="AJ67" s="190">
        <v>0</v>
      </c>
      <c r="AK67" s="190" t="str">
        <v>떡롤 45*330</v>
      </c>
      <c r="AL67" s="190">
        <v>0</v>
      </c>
      <c r="AM67" s="173">
        <v>30600</v>
      </c>
      <c r="AN67" s="173">
        <v>19800</v>
      </c>
      <c r="AO67" s="206">
        <v>31620</v>
      </c>
      <c r="AP67" s="206">
        <v>23300</v>
      </c>
      <c r="AQ67" s="173">
        <v>1278</v>
      </c>
      <c r="AR67" s="173">
        <v>7042</v>
      </c>
      <c r="AS67" s="173">
        <v>0.22270000000000001</v>
      </c>
      <c r="AT67" s="173">
        <v>0</v>
      </c>
      <c r="AU67" s="173" t="str">
        <v>ptDB47</v>
      </c>
      <c r="AV67" s="173">
        <v>0</v>
      </c>
      <c r="AW67" s="173">
        <v>31620</v>
      </c>
      <c r="AX67" s="173">
        <v>23300</v>
      </c>
      <c r="AY67" s="173">
        <v>1278</v>
      </c>
      <c r="AZ67" s="173">
        <v>7042</v>
      </c>
      <c r="BA67" s="173">
        <v>0.22270000000000001</v>
      </c>
      <c r="BB67" s="173" t="str">
        <v/>
      </c>
      <c r="BC67" s="173">
        <v>0</v>
      </c>
      <c r="BD67" s="156">
        <v>19800</v>
      </c>
      <c r="BF67" s="156">
        <v>138</v>
      </c>
      <c r="BG67" s="156" t="str">
        <v>비닐팩토리</v>
      </c>
      <c r="BH67" s="198">
        <v>45455</v>
      </c>
      <c r="BI67" s="199" t="str">
        <v>45470808</v>
      </c>
      <c r="BJ67" s="199" t="str">
        <v>대표</v>
      </c>
      <c r="BK67" s="199">
        <v>0</v>
      </c>
      <c r="BL67" s="199">
        <v>0</v>
      </c>
      <c r="BM67" s="199">
        <v>0</v>
      </c>
      <c r="BN67" s="198">
        <v>45455</v>
      </c>
      <c r="BO67" s="199" t="str">
        <v>CJ대한통운</v>
      </c>
      <c r="BP67" s="199" t="str">
        <v>530220372843</v>
      </c>
      <c r="BQ67" s="199">
        <v>0</v>
      </c>
      <c r="BR67" s="199" t="str">
        <v>SE.1000</v>
      </c>
      <c r="BS67" s="199" t="str">
        <v>투명</v>
      </c>
      <c r="BT67" s="199">
        <v>1</v>
      </c>
      <c r="BU67" s="199" t="str">
        <v>최윤애</v>
      </c>
      <c r="BV67" s="199" t="str">
        <v>010-3358-2715</v>
      </c>
      <c r="BW67" s="199">
        <v>0</v>
      </c>
      <c r="BX67" s="199" t="str">
        <v>강원특별자치도 원주시 지정면 신지정로 153-2</v>
      </c>
      <c r="BY67" s="199">
        <v>0</v>
      </c>
      <c r="BZ67" s="199">
        <v>0</v>
      </c>
      <c r="CA67" s="273">
        <v>0</v>
      </c>
      <c r="CB67" s="199">
        <v>0</v>
      </c>
      <c r="CC67" s="199">
        <v>0</v>
      </c>
      <c r="CD67" s="199">
        <v>0</v>
      </c>
      <c r="CE67" s="200">
        <v>4400</v>
      </c>
      <c r="CF67" s="200">
        <v>0</v>
      </c>
      <c r="CG67" s="200">
        <v>0</v>
      </c>
      <c r="CH67" s="200">
        <v>0</v>
      </c>
      <c r="CI67" s="200" t="str">
        <v>대표</v>
      </c>
      <c r="CJ67" s="200" t="str">
        <v>재구매</v>
      </c>
      <c r="CK67" s="200">
        <v>0</v>
      </c>
      <c r="CL67" s="200">
        <v>0</v>
      </c>
      <c r="CM67" s="200">
        <v>0</v>
      </c>
      <c r="CN67" s="156">
        <v>0</v>
      </c>
      <c r="CO67" s="156">
        <v>0</v>
      </c>
      <c r="CP67" s="156">
        <v>0</v>
      </c>
      <c r="CQ67" s="156">
        <v>0</v>
      </c>
      <c r="CR67" s="156">
        <v>0</v>
      </c>
      <c r="CS67" s="156" t="str">
        <v>ptDB47</v>
      </c>
      <c r="CT67" s="156">
        <v>0</v>
      </c>
      <c r="CU67" s="156">
        <v>0</v>
      </c>
      <c r="CV67" s="156">
        <v>0</v>
      </c>
      <c r="CW67" s="156">
        <v>0</v>
      </c>
      <c r="CX67" s="156">
        <v>0</v>
      </c>
      <c r="CY67" s="156">
        <v>0</v>
      </c>
      <c r="CZ67" s="156" t="str">
        <v/>
      </c>
      <c r="DA67" s="156">
        <v>0</v>
      </c>
      <c r="DB67" s="156">
        <v>0</v>
      </c>
    </row>
    <row r="68" spans="8:106" ht="18" customHeight="1">
      <c r="H68" s="173">
        <v>124</v>
      </c>
      <c r="I68" s="156" t="str">
        <v>비닐스토리</v>
      </c>
      <c r="J68" s="177">
        <v>45454</v>
      </c>
      <c r="K68" s="176" t="str">
        <v>2024061149499101</v>
      </c>
      <c r="L68" s="176" t="str">
        <v>스마트 스토어</v>
      </c>
      <c r="M68" s="176" t="str">
        <v>주경림</v>
      </c>
      <c r="N68" s="176" t="str">
        <v>sosl****</v>
      </c>
      <c r="O68" s="177" t="str">
        <v>010-5155-4619</v>
      </c>
      <c r="P68" s="177">
        <v>45454</v>
      </c>
      <c r="Q68" s="176" t="str">
        <v>CJ대한통운</v>
      </c>
      <c r="R68" s="176" t="str">
        <v>530219199886</v>
      </c>
      <c r="S68" s="178">
        <v>0</v>
      </c>
      <c r="T68" s="176" t="str">
        <v>SE.303</v>
      </c>
      <c r="U68" s="176" t="str">
        <v>투명</v>
      </c>
      <c r="V68" s="176">
        <v>1</v>
      </c>
      <c r="W68" s="176" t="str">
        <v>리미</v>
      </c>
      <c r="X68" s="176" t="str">
        <v>010-3168-6006</v>
      </c>
      <c r="Y68" s="176">
        <v>0</v>
      </c>
      <c r="Z68" s="176" t="str">
        <v>경상남도 함안군 칠원읍 용산2길 40 (칠원읍) 1층 떡마당</v>
      </c>
      <c r="AA68" s="190">
        <v>0</v>
      </c>
      <c r="AB68" s="190">
        <v>0</v>
      </c>
      <c r="AC68" s="277">
        <v>0</v>
      </c>
      <c r="AD68" s="190">
        <v>22190</v>
      </c>
      <c r="AE68" s="190">
        <v>2470</v>
      </c>
      <c r="AF68" s="190">
        <v>0</v>
      </c>
      <c r="AG68" s="190">
        <v>3500</v>
      </c>
      <c r="AH68" s="190">
        <v>0</v>
      </c>
      <c r="AI68" s="190">
        <v>0</v>
      </c>
      <c r="AJ68" s="190">
        <v>0</v>
      </c>
      <c r="AK68" s="190" t="str">
        <v>떡외겹 25*25</v>
      </c>
      <c r="AL68" s="190">
        <v>0</v>
      </c>
      <c r="AM68" s="173">
        <v>23290</v>
      </c>
      <c r="AN68" s="173">
        <v>15070</v>
      </c>
      <c r="AO68" s="206">
        <v>22190</v>
      </c>
      <c r="AP68" s="206">
        <v>18570</v>
      </c>
      <c r="AQ68" s="173">
        <v>963</v>
      </c>
      <c r="AR68" s="173">
        <v>2657</v>
      </c>
      <c r="AS68" s="173">
        <v>0.1197</v>
      </c>
      <c r="AT68" s="173">
        <v>0</v>
      </c>
      <c r="AU68" s="173" t="str">
        <v>ptDB47</v>
      </c>
      <c r="AV68" s="173">
        <v>0</v>
      </c>
      <c r="AW68" s="173">
        <v>22190</v>
      </c>
      <c r="AX68" s="173">
        <v>18570</v>
      </c>
      <c r="AY68" s="173">
        <v>963</v>
      </c>
      <c r="AZ68" s="173">
        <v>2657</v>
      </c>
      <c r="BA68" s="173">
        <v>0.1197</v>
      </c>
      <c r="BB68" s="173" t="str">
        <v/>
      </c>
      <c r="BC68" s="173">
        <v>0</v>
      </c>
      <c r="BD68" s="156">
        <v>15070</v>
      </c>
      <c r="BF68" s="156">
        <v>140</v>
      </c>
      <c r="BG68" s="156" t="str">
        <v>비닐팩토리</v>
      </c>
      <c r="BH68" s="198">
        <v>45454</v>
      </c>
      <c r="BI68" s="199" t="str">
        <v>7100052575971</v>
      </c>
      <c r="BJ68" s="199" t="str">
        <v>쿠팡</v>
      </c>
      <c r="BK68" s="199" t="str">
        <v>김혜진</v>
      </c>
      <c r="BL68" s="199" t="str">
        <v>gr*****@na</v>
      </c>
      <c r="BM68" s="199" t="str">
        <v>0502-5080-8204</v>
      </c>
      <c r="BN68" s="198">
        <v>45455</v>
      </c>
      <c r="BO68" s="199" t="str">
        <v>CJ대한통운</v>
      </c>
      <c r="BP68" s="199" t="str">
        <v>540219105143</v>
      </c>
      <c r="BQ68" s="199">
        <v>0</v>
      </c>
      <c r="BR68" s="199" t="str">
        <v>SE.303</v>
      </c>
      <c r="BS68" s="199" t="str">
        <v>투명</v>
      </c>
      <c r="BT68" s="199">
        <v>1</v>
      </c>
      <c r="BU68" s="199" t="str">
        <v>김혜진</v>
      </c>
      <c r="BV68" s="199" t="str">
        <v>0502-5080-8204</v>
      </c>
      <c r="BW68" s="199">
        <v>0</v>
      </c>
      <c r="BX68" s="199" t="str">
        <v>인천광역시 부평구 부평동 134-23 승림아파트7차 101동302호</v>
      </c>
      <c r="BY68" s="199" t="str">
        <v>직접 받고 부재 시 문 앞</v>
      </c>
      <c r="BZ68" s="199">
        <v>0</v>
      </c>
      <c r="CA68" s="273">
        <v>0</v>
      </c>
      <c r="CB68" s="199">
        <v>23020</v>
      </c>
      <c r="CC68" s="199">
        <v>0</v>
      </c>
      <c r="CD68" s="199">
        <v>3000</v>
      </c>
      <c r="CE68" s="200">
        <v>3000</v>
      </c>
      <c r="CF68" s="200">
        <v>0</v>
      </c>
      <c r="CG68" s="200">
        <v>0</v>
      </c>
      <c r="CH68" s="200">
        <v>0</v>
      </c>
      <c r="CI68" s="200" t="str">
        <v>떡외겹 25*25</v>
      </c>
      <c r="CJ68" s="200">
        <v>0</v>
      </c>
      <c r="CK68" s="200">
        <v>23020</v>
      </c>
      <c r="CL68" s="200">
        <v>15070</v>
      </c>
      <c r="CM68" s="200">
        <v>26020</v>
      </c>
      <c r="CN68" s="156">
        <v>0</v>
      </c>
      <c r="CO68" s="156">
        <v>2834</v>
      </c>
      <c r="CP68" s="156">
        <v>0</v>
      </c>
      <c r="CQ68" s="156">
        <v>0</v>
      </c>
      <c r="CR68" s="156">
        <v>0</v>
      </c>
      <c r="CS68" s="156" t="str">
        <v>ptDB47</v>
      </c>
      <c r="CT68" s="156">
        <v>0</v>
      </c>
      <c r="CU68" s="156">
        <v>26020</v>
      </c>
      <c r="CV68" s="156">
        <v>0</v>
      </c>
      <c r="CW68" s="156">
        <v>2834</v>
      </c>
      <c r="CX68" s="156">
        <v>0</v>
      </c>
      <c r="CY68" s="156">
        <v>0</v>
      </c>
      <c r="CZ68" s="156" t="str">
        <v/>
      </c>
      <c r="DA68" s="156">
        <v>0</v>
      </c>
      <c r="DB68" s="156">
        <v>15070</v>
      </c>
    </row>
    <row r="69" spans="8:106" ht="18" customHeight="1">
      <c r="H69" s="173">
        <v>125</v>
      </c>
      <c r="I69" s="156" t="str">
        <v>비닐스토리</v>
      </c>
      <c r="J69" s="177">
        <v>45454</v>
      </c>
      <c r="K69" s="176" t="str">
        <v>2024061149499091</v>
      </c>
      <c r="L69" s="176" t="str">
        <v>스마트 스토어</v>
      </c>
      <c r="M69" s="176" t="str">
        <v>주경림</v>
      </c>
      <c r="N69" s="176" t="str">
        <v>sosl****</v>
      </c>
      <c r="O69" s="177" t="str">
        <v>010-5155-4619</v>
      </c>
      <c r="P69" s="177">
        <v>45454</v>
      </c>
      <c r="Q69" s="176" t="str">
        <v>CJ대한통운</v>
      </c>
      <c r="R69" s="176" t="str">
        <v>530219199886</v>
      </c>
      <c r="S69" s="178">
        <v>0</v>
      </c>
      <c r="T69" s="176" t="str">
        <v>SE.121</v>
      </c>
      <c r="U69" s="176" t="str">
        <v>검정</v>
      </c>
      <c r="V69" s="176">
        <v>1</v>
      </c>
      <c r="W69" s="176" t="str">
        <v>리미</v>
      </c>
      <c r="X69" s="176" t="str">
        <v>010-3168-6006</v>
      </c>
      <c r="Y69" s="176">
        <v>0</v>
      </c>
      <c r="Z69" s="176" t="str">
        <v>경상남도 함안군 칠원읍 용산2길 40 (칠원읍) 1층 떡마당</v>
      </c>
      <c r="AA69" s="190">
        <v>0</v>
      </c>
      <c r="AB69" s="190">
        <v>0</v>
      </c>
      <c r="AC69" s="277">
        <v>0</v>
      </c>
      <c r="AD69" s="190">
        <v>5880</v>
      </c>
      <c r="AE69" s="190">
        <v>0</v>
      </c>
      <c r="AF69" s="190">
        <v>0</v>
      </c>
      <c r="AG69" s="190">
        <v>0</v>
      </c>
      <c r="AH69" s="190">
        <v>0</v>
      </c>
      <c r="AI69" s="190">
        <v>0</v>
      </c>
      <c r="AJ69" s="190">
        <v>0</v>
      </c>
      <c r="AK69" s="190" t="str">
        <v>막지 63*90</v>
      </c>
      <c r="AL69" s="190" t="str">
        <v>재구매</v>
      </c>
      <c r="AM69" s="173">
        <v>5120</v>
      </c>
      <c r="AN69" s="173">
        <v>3410</v>
      </c>
      <c r="AO69" s="206">
        <v>5880</v>
      </c>
      <c r="AP69" s="206">
        <v>3410</v>
      </c>
      <c r="AQ69" s="173">
        <v>314</v>
      </c>
      <c r="AR69" s="173">
        <v>2156</v>
      </c>
      <c r="AS69" s="173">
        <v>0.36670000000000003</v>
      </c>
      <c r="AT69" s="173">
        <v>0</v>
      </c>
      <c r="AU69" s="173" t="str">
        <v>ptDB47</v>
      </c>
      <c r="AV69" s="173">
        <v>0</v>
      </c>
      <c r="AW69" s="173">
        <v>5880</v>
      </c>
      <c r="AX69" s="173">
        <v>3410</v>
      </c>
      <c r="AY69" s="173">
        <v>314</v>
      </c>
      <c r="AZ69" s="173">
        <v>2156</v>
      </c>
      <c r="BA69" s="173">
        <v>0.36670000000000003</v>
      </c>
      <c r="BB69" s="173" t="str">
        <v/>
      </c>
      <c r="BC69" s="173">
        <v>0</v>
      </c>
      <c r="BD69" s="156">
        <v>3410</v>
      </c>
      <c r="BF69" s="156">
        <v>143</v>
      </c>
      <c r="BG69" s="156" t="str">
        <v>비닐팩토리</v>
      </c>
      <c r="BH69" s="198">
        <v>45456</v>
      </c>
      <c r="BI69" s="199" t="str">
        <v>2024061356909371</v>
      </c>
      <c r="BJ69" s="199" t="str">
        <v>스마트 스토어</v>
      </c>
      <c r="BK69" s="199" t="str">
        <v>윤현진</v>
      </c>
      <c r="BL69" s="199" t="str">
        <v>hyun****</v>
      </c>
      <c r="BM69" s="199" t="str">
        <v>010-8982-7060</v>
      </c>
      <c r="BN69" s="198">
        <v>45456</v>
      </c>
      <c r="BO69" s="199" t="str">
        <v>CJ대한통운</v>
      </c>
      <c r="BP69" s="199" t="str">
        <v>530221335166</v>
      </c>
      <c r="BQ69" s="199">
        <v>0</v>
      </c>
      <c r="BR69" s="199" t="str">
        <v>SE.307</v>
      </c>
      <c r="BS69" s="199" t="str">
        <v>투명</v>
      </c>
      <c r="BT69" s="199">
        <v>1</v>
      </c>
      <c r="BU69" s="199" t="str">
        <v>윤현진</v>
      </c>
      <c r="BV69" s="199" t="str">
        <v>010-8982-7060</v>
      </c>
      <c r="BW69" s="199">
        <v>0</v>
      </c>
      <c r="BX69" s="199" t="str">
        <v>충청남도 보령시 지장골길 160 (죽정동, 부경파크빌아파트) 104동 703호</v>
      </c>
      <c r="BY69" s="199">
        <v>0</v>
      </c>
      <c r="BZ69" s="199">
        <v>0</v>
      </c>
      <c r="CA69" s="273">
        <v>0</v>
      </c>
      <c r="CB69" s="199">
        <v>10560</v>
      </c>
      <c r="CC69" s="199">
        <v>0</v>
      </c>
      <c r="CD69" s="199">
        <v>3000</v>
      </c>
      <c r="CE69" s="200">
        <v>3500</v>
      </c>
      <c r="CF69" s="200">
        <v>0</v>
      </c>
      <c r="CG69" s="200">
        <v>0</v>
      </c>
      <c r="CH69" s="200">
        <v>0</v>
      </c>
      <c r="CI69" s="200" t="str">
        <v>떡외겹 30*30</v>
      </c>
      <c r="CJ69" s="200">
        <v>0</v>
      </c>
      <c r="CK69" s="200">
        <v>10560</v>
      </c>
      <c r="CL69" s="200">
        <v>7260</v>
      </c>
      <c r="CM69" s="200">
        <v>13560</v>
      </c>
      <c r="CN69" s="156">
        <v>0</v>
      </c>
      <c r="CO69" s="156">
        <v>700</v>
      </c>
      <c r="CP69" s="156">
        <v>0</v>
      </c>
      <c r="CQ69" s="156">
        <v>0</v>
      </c>
      <c r="CR69" s="156">
        <v>0</v>
      </c>
      <c r="CS69" s="156" t="str">
        <v>ptDB47</v>
      </c>
      <c r="CT69" s="156">
        <v>0</v>
      </c>
      <c r="CU69" s="156">
        <v>13560</v>
      </c>
      <c r="CV69" s="156">
        <v>0</v>
      </c>
      <c r="CW69" s="156">
        <v>700</v>
      </c>
      <c r="CX69" s="156">
        <v>0</v>
      </c>
      <c r="CY69" s="156">
        <v>0</v>
      </c>
      <c r="CZ69" s="156" t="str">
        <v/>
      </c>
      <c r="DA69" s="156">
        <v>0</v>
      </c>
      <c r="DB69" s="156">
        <v>7260</v>
      </c>
    </row>
    <row r="70" spans="8:106" ht="18" customHeight="1">
      <c r="H70" s="173">
        <v>126</v>
      </c>
      <c r="I70" s="156" t="str">
        <v>비닐스토리</v>
      </c>
      <c r="J70" s="177">
        <v>45454</v>
      </c>
      <c r="K70" s="176" t="str">
        <v>2024061149499081</v>
      </c>
      <c r="L70" s="176" t="str">
        <v>스마트 스토어</v>
      </c>
      <c r="M70" s="176" t="str">
        <v>주경림</v>
      </c>
      <c r="N70" s="176" t="str">
        <v>sosl****</v>
      </c>
      <c r="O70" s="177" t="str">
        <v>010-5155-4619</v>
      </c>
      <c r="P70" s="177">
        <v>45454</v>
      </c>
      <c r="Q70" s="176" t="str">
        <v>CJ대한통운</v>
      </c>
      <c r="R70" s="176" t="str">
        <v>530219199886</v>
      </c>
      <c r="S70" s="178">
        <v>0</v>
      </c>
      <c r="T70" s="176" t="str">
        <v>SE.305</v>
      </c>
      <c r="U70" s="176" t="str">
        <v>투명</v>
      </c>
      <c r="V70" s="176">
        <v>1</v>
      </c>
      <c r="W70" s="176" t="str">
        <v>리미</v>
      </c>
      <c r="X70" s="176" t="str">
        <v>010-3168-6006</v>
      </c>
      <c r="Y70" s="176">
        <v>0</v>
      </c>
      <c r="Z70" s="176" t="str">
        <v>경상남도 함안군 칠원읍 용산2길 40 (칠원읍) 1층 떡마당</v>
      </c>
      <c r="AA70" s="190">
        <v>0</v>
      </c>
      <c r="AB70" s="190">
        <v>0</v>
      </c>
      <c r="AC70" s="277">
        <v>0</v>
      </c>
      <c r="AD70" s="190">
        <v>18630</v>
      </c>
      <c r="AE70" s="190">
        <v>2070</v>
      </c>
      <c r="AF70" s="190">
        <v>0</v>
      </c>
      <c r="AG70" s="190">
        <v>0</v>
      </c>
      <c r="AH70" s="190">
        <v>0</v>
      </c>
      <c r="AI70" s="190">
        <v>0</v>
      </c>
      <c r="AJ70" s="190">
        <v>0</v>
      </c>
      <c r="AK70" s="190" t="str">
        <v>떡외겹 39*40</v>
      </c>
      <c r="AL70" s="190" t="str">
        <v>재구매</v>
      </c>
      <c r="AM70" s="173">
        <v>19550</v>
      </c>
      <c r="AN70" s="173">
        <v>12650</v>
      </c>
      <c r="AO70" s="206">
        <v>18630</v>
      </c>
      <c r="AP70" s="206">
        <v>12650</v>
      </c>
      <c r="AQ70" s="173">
        <v>821</v>
      </c>
      <c r="AR70" s="173">
        <v>5159</v>
      </c>
      <c r="AS70" s="173">
        <v>0.27689999999999998</v>
      </c>
      <c r="AT70" s="173">
        <v>0</v>
      </c>
      <c r="AU70" s="173" t="str">
        <v>ptDB47</v>
      </c>
      <c r="AV70" s="173">
        <v>0</v>
      </c>
      <c r="AW70" s="173">
        <v>18630</v>
      </c>
      <c r="AX70" s="173">
        <v>12650</v>
      </c>
      <c r="AY70" s="173">
        <v>821</v>
      </c>
      <c r="AZ70" s="173">
        <v>5159</v>
      </c>
      <c r="BA70" s="173">
        <v>0.27689999999999998</v>
      </c>
      <c r="BB70" s="173" t="str">
        <v/>
      </c>
      <c r="BC70" s="173">
        <v>0</v>
      </c>
      <c r="BD70" s="156">
        <v>12650</v>
      </c>
      <c r="BF70" s="156">
        <v>144</v>
      </c>
      <c r="BG70" s="156" t="str">
        <v>비닐팩토리</v>
      </c>
      <c r="BH70" s="198">
        <v>45456</v>
      </c>
      <c r="BI70" s="199" t="str">
        <v>2024061356909361</v>
      </c>
      <c r="BJ70" s="199" t="str">
        <v>스마트 스토어</v>
      </c>
      <c r="BK70" s="199" t="str">
        <v>윤현진</v>
      </c>
      <c r="BL70" s="199" t="str">
        <v>hyun****</v>
      </c>
      <c r="BM70" s="199" t="str">
        <v>010-8982-7060</v>
      </c>
      <c r="BN70" s="198">
        <v>45456</v>
      </c>
      <c r="BO70" s="199" t="str">
        <v>CJ대한통운</v>
      </c>
      <c r="BP70" s="199" t="str">
        <v>530221335166</v>
      </c>
      <c r="BQ70" s="199">
        <v>0</v>
      </c>
      <c r="BR70" s="199" t="str">
        <v>SE.118</v>
      </c>
      <c r="BS70" s="199" t="str">
        <v>투명</v>
      </c>
      <c r="BT70" s="199">
        <v>1</v>
      </c>
      <c r="BU70" s="199" t="str">
        <v>윤현진</v>
      </c>
      <c r="BV70" s="199" t="str">
        <v>010-8982-7060</v>
      </c>
      <c r="BW70" s="199">
        <v>0</v>
      </c>
      <c r="BX70" s="199" t="str">
        <v>충청남도 보령시 지장골길 160 (죽정동, 부경파크빌아파트) 104동 703호</v>
      </c>
      <c r="BY70" s="199">
        <v>0</v>
      </c>
      <c r="BZ70" s="199">
        <v>0</v>
      </c>
      <c r="CA70" s="273">
        <v>0</v>
      </c>
      <c r="CB70" s="199">
        <v>3450</v>
      </c>
      <c r="CC70" s="199">
        <v>0</v>
      </c>
      <c r="CD70" s="199">
        <v>0</v>
      </c>
      <c r="CE70" s="200">
        <v>0</v>
      </c>
      <c r="CF70" s="200">
        <v>0</v>
      </c>
      <c r="CG70" s="200">
        <v>0</v>
      </c>
      <c r="CH70" s="200">
        <v>0</v>
      </c>
      <c r="CI70" s="200" t="str">
        <v>막지 40*60</v>
      </c>
      <c r="CJ70" s="200" t="str">
        <v>재구매</v>
      </c>
      <c r="CK70" s="200">
        <v>3800</v>
      </c>
      <c r="CL70" s="200">
        <v>2530</v>
      </c>
      <c r="CM70" s="200">
        <v>3450</v>
      </c>
      <c r="CN70" s="156">
        <v>0</v>
      </c>
      <c r="CO70" s="156">
        <v>253</v>
      </c>
      <c r="CP70" s="156">
        <v>0</v>
      </c>
      <c r="CQ70" s="156">
        <v>0</v>
      </c>
      <c r="CR70" s="156">
        <v>0</v>
      </c>
      <c r="CS70" s="156" t="str">
        <v>ptDB47</v>
      </c>
      <c r="CT70" s="156">
        <v>0</v>
      </c>
      <c r="CU70" s="156">
        <v>3450</v>
      </c>
      <c r="CV70" s="156">
        <v>0</v>
      </c>
      <c r="CW70" s="156">
        <v>253</v>
      </c>
      <c r="CX70" s="156">
        <v>0</v>
      </c>
      <c r="CY70" s="156">
        <v>0</v>
      </c>
      <c r="CZ70" s="156" t="str">
        <v/>
      </c>
      <c r="DA70" s="156">
        <v>0</v>
      </c>
      <c r="DB70" s="156">
        <v>2530</v>
      </c>
    </row>
    <row r="71" spans="8:106" ht="18" customHeight="1">
      <c r="H71" s="173">
        <v>127</v>
      </c>
      <c r="I71" s="156" t="str">
        <v>비닐스토리</v>
      </c>
      <c r="J71" s="177">
        <v>45453</v>
      </c>
      <c r="K71" s="176" t="str">
        <v>2024061031222111</v>
      </c>
      <c r="L71" s="176" t="str">
        <v>스마트 스토어</v>
      </c>
      <c r="M71" s="176" t="str">
        <v>고정아</v>
      </c>
      <c r="N71" s="176" t="str">
        <v>hanu****</v>
      </c>
      <c r="O71" s="177" t="str">
        <v>010-4784-8940</v>
      </c>
      <c r="P71" s="177">
        <v>45454</v>
      </c>
      <c r="Q71" s="176" t="str">
        <v>CJ대한통운</v>
      </c>
      <c r="R71" s="176" t="str">
        <v>530219199816</v>
      </c>
      <c r="S71" s="178">
        <v>0</v>
      </c>
      <c r="T71" s="176" t="str">
        <v>SE.204</v>
      </c>
      <c r="U71" s="176" t="str">
        <v>투명</v>
      </c>
      <c r="V71" s="176">
        <v>2</v>
      </c>
      <c r="W71" s="176" t="str">
        <v>제주한울에프앤비</v>
      </c>
      <c r="X71" s="176" t="str">
        <v>010-4784-8940</v>
      </c>
      <c r="Y71" s="176">
        <v>0</v>
      </c>
      <c r="Z71" s="176" t="str">
        <v>제주특별자치도 제주시 한림읍 누운오름로 4 (한림읍)</v>
      </c>
      <c r="AA71" s="190" t="str">
        <v>부재시 건물 뒤쪽 회색컨테이너안에 넣어주세요</v>
      </c>
      <c r="AB71" s="190">
        <v>0</v>
      </c>
      <c r="AC71" s="277">
        <v>0</v>
      </c>
      <c r="AD71" s="190">
        <v>42120</v>
      </c>
      <c r="AE71" s="190">
        <v>4680</v>
      </c>
      <c r="AF71" s="190">
        <v>0</v>
      </c>
      <c r="AG71" s="190">
        <v>4400</v>
      </c>
      <c r="AH71" s="190">
        <v>3000</v>
      </c>
      <c r="AI71" s="190">
        <v>0</v>
      </c>
      <c r="AJ71" s="190">
        <v>0</v>
      </c>
      <c r="AK71" s="190" t="str">
        <v>떡롤 30*400</v>
      </c>
      <c r="AL71" s="190">
        <v>0</v>
      </c>
      <c r="AM71" s="173">
        <v>22100</v>
      </c>
      <c r="AN71" s="173">
        <v>14300</v>
      </c>
      <c r="AO71" s="206">
        <v>42120</v>
      </c>
      <c r="AP71" s="206">
        <v>33000</v>
      </c>
      <c r="AQ71" s="173">
        <v>1756</v>
      </c>
      <c r="AR71" s="173">
        <v>7364</v>
      </c>
      <c r="AS71" s="173">
        <v>0.17480000000000001</v>
      </c>
      <c r="AT71" s="173">
        <v>0</v>
      </c>
      <c r="AU71" s="173" t="str">
        <v>ptDB47</v>
      </c>
      <c r="AV71" s="173">
        <v>0</v>
      </c>
      <c r="AW71" s="173">
        <v>45120</v>
      </c>
      <c r="AX71" s="173">
        <v>36000</v>
      </c>
      <c r="AY71" s="173">
        <v>1756</v>
      </c>
      <c r="AZ71" s="173">
        <v>7364</v>
      </c>
      <c r="BA71" s="173">
        <v>0.16320000000000001</v>
      </c>
      <c r="BB71" s="173" t="str">
        <v>Check</v>
      </c>
      <c r="BC71" s="173">
        <v>0</v>
      </c>
      <c r="BD71" s="156">
        <v>28600</v>
      </c>
      <c r="BF71" s="156">
        <v>145</v>
      </c>
      <c r="BG71" s="156" t="str">
        <v>비닐팩토리</v>
      </c>
      <c r="BH71" s="198">
        <v>45455</v>
      </c>
      <c r="BI71" s="199" t="str">
        <v>2100052492074</v>
      </c>
      <c r="BJ71" s="199" t="str">
        <v>쿠팡</v>
      </c>
      <c r="BK71" s="199" t="str">
        <v>임수미</v>
      </c>
      <c r="BL71" s="199" t="str">
        <v>so*****@na</v>
      </c>
      <c r="BM71" s="199" t="str">
        <v>0504-4396-3157</v>
      </c>
      <c r="BN71" s="198">
        <v>45456</v>
      </c>
      <c r="BO71" s="199" t="str">
        <v>CJ대한통운</v>
      </c>
      <c r="BP71" s="199" t="str">
        <v>540219665585</v>
      </c>
      <c r="BQ71" s="199">
        <v>0</v>
      </c>
      <c r="BR71" s="199" t="str">
        <v>SE.206</v>
      </c>
      <c r="BS71" s="199" t="str">
        <v>투명</v>
      </c>
      <c r="BT71" s="199">
        <v>2</v>
      </c>
      <c r="BU71" s="199" t="str">
        <v>김윤철</v>
      </c>
      <c r="BV71" s="199" t="str">
        <v>0504-4396-3157</v>
      </c>
      <c r="BW71" s="199">
        <v>0</v>
      </c>
      <c r="BX71" s="199" t="str">
        <v>대구광역시 중구 남산로 30 103동2204호 ( 남산동, 극동 스타클래스 남산 )</v>
      </c>
      <c r="BY71" s="199" t="str">
        <v>문 앞</v>
      </c>
      <c r="BZ71" s="199">
        <v>0</v>
      </c>
      <c r="CA71" s="273">
        <v>0</v>
      </c>
      <c r="CB71" s="199">
        <v>60480</v>
      </c>
      <c r="CC71" s="199">
        <v>0</v>
      </c>
      <c r="CD71" s="199">
        <v>0</v>
      </c>
      <c r="CE71" s="200">
        <v>4400</v>
      </c>
      <c r="CF71" s="200">
        <v>0</v>
      </c>
      <c r="CG71" s="200">
        <v>0</v>
      </c>
      <c r="CH71" s="200">
        <v>0</v>
      </c>
      <c r="CI71" s="200" t="str">
        <v>떡롤 45*330</v>
      </c>
      <c r="CJ71" s="200">
        <v>0</v>
      </c>
      <c r="CK71" s="200">
        <v>30240</v>
      </c>
      <c r="CL71" s="200">
        <v>19800</v>
      </c>
      <c r="CM71" s="200">
        <v>60480</v>
      </c>
      <c r="CN71" s="156">
        <v>0</v>
      </c>
      <c r="CO71" s="156">
        <v>7185</v>
      </c>
      <c r="CP71" s="156">
        <v>0</v>
      </c>
      <c r="CQ71" s="156">
        <v>0</v>
      </c>
      <c r="CR71" s="156">
        <v>0</v>
      </c>
      <c r="CS71" s="156" t="str">
        <v>ptDB47</v>
      </c>
      <c r="CT71" s="156">
        <v>0</v>
      </c>
      <c r="CU71" s="156">
        <v>60480</v>
      </c>
      <c r="CV71" s="156">
        <v>0</v>
      </c>
      <c r="CW71" s="156">
        <v>7185</v>
      </c>
      <c r="CX71" s="156">
        <v>0</v>
      </c>
      <c r="CY71" s="156">
        <v>0</v>
      </c>
      <c r="CZ71" s="156" t="str">
        <v/>
      </c>
      <c r="DA71" s="156">
        <v>0</v>
      </c>
      <c r="DB71" s="156">
        <v>39600</v>
      </c>
    </row>
    <row r="72" spans="8:106" ht="18" customHeight="1">
      <c r="H72" s="173">
        <v>128</v>
      </c>
      <c r="I72" s="156" t="str">
        <v>비닐스토리</v>
      </c>
      <c r="J72" s="177">
        <v>45453</v>
      </c>
      <c r="K72" s="176" t="str">
        <v>2024061031222101</v>
      </c>
      <c r="L72" s="176" t="str">
        <v>스마트 스토어</v>
      </c>
      <c r="M72" s="176" t="str">
        <v>고정아</v>
      </c>
      <c r="N72" s="176" t="str">
        <v>hanu****</v>
      </c>
      <c r="O72" s="177" t="str">
        <v>010-4784-8940</v>
      </c>
      <c r="P72" s="177">
        <v>45454</v>
      </c>
      <c r="Q72" s="176" t="str">
        <v>CJ대한통운</v>
      </c>
      <c r="R72" s="176" t="str">
        <v>530219199816</v>
      </c>
      <c r="S72" s="178">
        <v>0</v>
      </c>
      <c r="T72" s="176" t="str">
        <v>SE.205</v>
      </c>
      <c r="U72" s="176" t="str">
        <v>투명</v>
      </c>
      <c r="V72" s="176">
        <v>1</v>
      </c>
      <c r="W72" s="176" t="str">
        <v>제주한울에프앤비</v>
      </c>
      <c r="X72" s="176" t="str">
        <v>010-4784-8940</v>
      </c>
      <c r="Y72" s="176">
        <v>0</v>
      </c>
      <c r="Z72" s="176" t="str">
        <v>제주특별자치도 제주시 한림읍 누운오름로 4 (한림읍)</v>
      </c>
      <c r="AA72" s="190" t="str">
        <v>부재시 건물 뒤쪽 회색컨테이너안에 넣어주세요</v>
      </c>
      <c r="AB72" s="190">
        <v>0</v>
      </c>
      <c r="AC72" s="277">
        <v>0</v>
      </c>
      <c r="AD72" s="190">
        <v>24300</v>
      </c>
      <c r="AE72" s="190">
        <v>2700</v>
      </c>
      <c r="AF72" s="190">
        <v>0</v>
      </c>
      <c r="AG72" s="190">
        <v>0</v>
      </c>
      <c r="AH72" s="190">
        <v>3000</v>
      </c>
      <c r="AI72" s="190">
        <v>0</v>
      </c>
      <c r="AJ72" s="190">
        <v>0</v>
      </c>
      <c r="AK72" s="190" t="str">
        <v>떡롤 35*400</v>
      </c>
      <c r="AL72" s="190" t="str">
        <v>재구매</v>
      </c>
      <c r="AM72" s="173">
        <v>25500</v>
      </c>
      <c r="AN72" s="173">
        <v>16500</v>
      </c>
      <c r="AO72" s="206">
        <v>24300</v>
      </c>
      <c r="AP72" s="206">
        <v>16500</v>
      </c>
      <c r="AQ72" s="173">
        <v>1047</v>
      </c>
      <c r="AR72" s="173">
        <v>6753</v>
      </c>
      <c r="AS72" s="173">
        <v>0.27789999999999998</v>
      </c>
      <c r="AT72" s="173">
        <v>0</v>
      </c>
      <c r="AU72" s="173" t="str">
        <v>ptDB47</v>
      </c>
      <c r="AV72" s="173">
        <v>0</v>
      </c>
      <c r="AW72" s="173">
        <v>27300</v>
      </c>
      <c r="AX72" s="173">
        <v>19500</v>
      </c>
      <c r="AY72" s="173">
        <v>1047</v>
      </c>
      <c r="AZ72" s="173">
        <v>6753</v>
      </c>
      <c r="BA72" s="173">
        <v>0.24740000000000001</v>
      </c>
      <c r="BB72" s="173" t="str">
        <v>Check</v>
      </c>
      <c r="BC72" s="173">
        <v>0</v>
      </c>
      <c r="BD72" s="156">
        <v>16500</v>
      </c>
      <c r="BF72" s="156">
        <v>146</v>
      </c>
      <c r="BG72" s="156" t="str">
        <v>비닐팩토리</v>
      </c>
      <c r="BH72" s="198">
        <v>45455</v>
      </c>
      <c r="BI72" s="199" t="str">
        <v>21100052791268</v>
      </c>
      <c r="BJ72" s="199" t="str">
        <v>쿠팡</v>
      </c>
      <c r="BK72" s="199" t="str">
        <v>이해창</v>
      </c>
      <c r="BL72" s="199" t="str">
        <v>ul*****@na</v>
      </c>
      <c r="BM72" s="199" t="str">
        <v>0502-5289-0466</v>
      </c>
      <c r="BN72" s="198">
        <v>45456</v>
      </c>
      <c r="BO72" s="199" t="str">
        <v>CJ대한통운</v>
      </c>
      <c r="BP72" s="199" t="str">
        <v>540220210476</v>
      </c>
      <c r="BQ72" s="199">
        <v>0</v>
      </c>
      <c r="BR72" s="199" t="str">
        <v>SE.101</v>
      </c>
      <c r="BS72" s="199" t="str">
        <v>투명</v>
      </c>
      <c r="BT72" s="199">
        <v>1</v>
      </c>
      <c r="BU72" s="199" t="str">
        <v>한희원, 황재호</v>
      </c>
      <c r="BV72" s="199" t="str">
        <v>0502-5289-0466</v>
      </c>
      <c r="BW72" s="199">
        <v>0</v>
      </c>
      <c r="BX72" s="199" t="str">
        <v>대구광역시 동구 신천동 1506 신세계동대구복합환승센터 지하1층 퀵앤프레쉬(아실)</v>
      </c>
      <c r="BY72" s="199" t="str">
        <v>문 앞</v>
      </c>
      <c r="BZ72" s="199">
        <v>0</v>
      </c>
      <c r="CA72" s="273">
        <v>0</v>
      </c>
      <c r="CB72" s="199">
        <v>34000</v>
      </c>
      <c r="CC72" s="199">
        <v>0</v>
      </c>
      <c r="CD72" s="199">
        <v>3000</v>
      </c>
      <c r="CE72" s="200">
        <v>4400</v>
      </c>
      <c r="CF72" s="200">
        <v>0</v>
      </c>
      <c r="CG72" s="200">
        <v>0</v>
      </c>
      <c r="CH72" s="200">
        <v>0</v>
      </c>
      <c r="CI72" s="200" t="str">
        <v>소폭 10*26</v>
      </c>
      <c r="CJ72" s="200">
        <v>0</v>
      </c>
      <c r="CK72" s="200">
        <v>8700</v>
      </c>
      <c r="CL72" s="200">
        <v>5500</v>
      </c>
      <c r="CM72" s="200">
        <v>37000</v>
      </c>
      <c r="CN72" s="156">
        <v>0</v>
      </c>
      <c r="CO72" s="156">
        <v>4138</v>
      </c>
      <c r="CP72" s="156">
        <v>0</v>
      </c>
      <c r="CQ72" s="156">
        <v>0</v>
      </c>
      <c r="CR72" s="156">
        <v>0</v>
      </c>
      <c r="CS72" s="156" t="str">
        <v>ptDB47</v>
      </c>
      <c r="CT72" s="156">
        <v>10</v>
      </c>
      <c r="CU72" s="156">
        <v>37000</v>
      </c>
      <c r="CV72" s="156">
        <v>0</v>
      </c>
      <c r="CW72" s="156">
        <v>4138</v>
      </c>
      <c r="CX72" s="156">
        <v>0</v>
      </c>
      <c r="CY72" s="156">
        <v>0</v>
      </c>
      <c r="CZ72" s="156" t="str">
        <v/>
      </c>
      <c r="DA72" s="156">
        <v>0</v>
      </c>
      <c r="DB72" s="156">
        <v>5500</v>
      </c>
    </row>
    <row r="73" spans="8:106" ht="18" customHeight="1">
      <c r="H73" s="173">
        <v>129</v>
      </c>
      <c r="I73" s="156" t="str">
        <v>비닐스토리</v>
      </c>
      <c r="J73" s="177">
        <v>45449</v>
      </c>
      <c r="K73" s="176" t="str">
        <v>2024060675963021</v>
      </c>
      <c r="L73" s="176" t="str">
        <v>스마트 스토어</v>
      </c>
      <c r="M73" s="176" t="str">
        <v>김지혜</v>
      </c>
      <c r="N73" s="176" t="str">
        <v>jihy****</v>
      </c>
      <c r="O73" s="177" t="str">
        <v>010-3999-4733</v>
      </c>
      <c r="P73" s="177">
        <v>45454</v>
      </c>
      <c r="Q73" s="176" t="str">
        <v>CJ대한통운</v>
      </c>
      <c r="R73" s="176" t="str">
        <v>540215391551</v>
      </c>
      <c r="S73" s="178">
        <v>0</v>
      </c>
      <c r="T73" s="176" t="str">
        <v>SE.14</v>
      </c>
      <c r="U73" s="176" t="str">
        <v>보라</v>
      </c>
      <c r="V73" s="176">
        <v>30</v>
      </c>
      <c r="W73" s="176" t="str">
        <v>김지혜</v>
      </c>
      <c r="X73" s="176" t="str">
        <v>010-3999-4733</v>
      </c>
      <c r="Y73" s="176">
        <v>0</v>
      </c>
      <c r="Z73" s="176" t="str">
        <v>대구광역시 달서구 한들로 36 (장기동, 영남네오빌파크) 상가4호 농촌사람들</v>
      </c>
      <c r="AA73" s="190">
        <v>0</v>
      </c>
      <c r="AB73" s="190">
        <v>0</v>
      </c>
      <c r="AC73" s="277">
        <v>0</v>
      </c>
      <c r="AD73" s="190">
        <v>51000</v>
      </c>
      <c r="AE73" s="190">
        <v>0</v>
      </c>
      <c r="AF73" s="190">
        <v>0</v>
      </c>
      <c r="AG73" s="190">
        <v>4400</v>
      </c>
      <c r="AH73" s="190">
        <v>0</v>
      </c>
      <c r="AI73" s="190">
        <v>0</v>
      </c>
      <c r="AJ73" s="190">
        <v>0</v>
      </c>
      <c r="AK73" s="190" t="str">
        <v>특대B</v>
      </c>
      <c r="AL73" s="190">
        <v>0</v>
      </c>
      <c r="AM73" s="173">
        <v>1640</v>
      </c>
      <c r="AN73" s="173">
        <v>1045</v>
      </c>
      <c r="AO73" s="206">
        <v>51000</v>
      </c>
      <c r="AP73" s="206">
        <v>35750</v>
      </c>
      <c r="AQ73" s="173">
        <v>2110</v>
      </c>
      <c r="AR73" s="173">
        <v>13140</v>
      </c>
      <c r="AS73" s="173">
        <v>0.2576</v>
      </c>
      <c r="AT73" s="173">
        <v>0</v>
      </c>
      <c r="AU73" s="173" t="str">
        <v>ptDB47</v>
      </c>
      <c r="AV73" s="173">
        <v>0</v>
      </c>
      <c r="AW73" s="173">
        <v>51000</v>
      </c>
      <c r="AX73" s="173">
        <v>35750</v>
      </c>
      <c r="AY73" s="173">
        <v>2110</v>
      </c>
      <c r="AZ73" s="173">
        <v>13140</v>
      </c>
      <c r="BA73" s="173">
        <v>0.2576</v>
      </c>
      <c r="BB73" s="173" t="str">
        <v/>
      </c>
      <c r="BC73" s="173">
        <v>0</v>
      </c>
      <c r="BD73" s="156">
        <v>31350</v>
      </c>
      <c r="BF73" s="156">
        <v>147</v>
      </c>
      <c r="BG73" s="156" t="str">
        <v>비닐팩토리</v>
      </c>
      <c r="BH73" s="198">
        <v>45456</v>
      </c>
      <c r="BI73" s="199" t="str">
        <v>21100052895371</v>
      </c>
      <c r="BJ73" s="199" t="str">
        <v>쿠팡</v>
      </c>
      <c r="BK73" s="199" t="str">
        <v>한현정</v>
      </c>
      <c r="BL73" s="199" t="str">
        <v>as*****@na</v>
      </c>
      <c r="BM73" s="199" t="str">
        <v>0504-2702-6413</v>
      </c>
      <c r="BN73" s="198">
        <v>45456</v>
      </c>
      <c r="BO73" s="199" t="str">
        <v>CJ대한통운</v>
      </c>
      <c r="BP73" s="199" t="str">
        <v>530220853916</v>
      </c>
      <c r="BQ73" s="199">
        <v>0</v>
      </c>
      <c r="BR73" s="199" t="str">
        <v>SE.303</v>
      </c>
      <c r="BS73" s="199" t="str">
        <v>투명</v>
      </c>
      <c r="BT73" s="199">
        <v>1</v>
      </c>
      <c r="BU73" s="199" t="str">
        <v>한현정</v>
      </c>
      <c r="BV73" s="199" t="str">
        <v>0504-2702-6413</v>
      </c>
      <c r="BW73" s="199">
        <v>0</v>
      </c>
      <c r="BX73" s="199" t="str">
        <v>전라남도 담양군 담양읍 지침리 132-9 떡돌이와떡순이</v>
      </c>
      <c r="BY73" s="199" t="str">
        <v>직접 받고 부재 시 문 앞</v>
      </c>
      <c r="BZ73" s="199">
        <v>0</v>
      </c>
      <c r="CA73" s="273">
        <v>0</v>
      </c>
      <c r="CB73" s="199">
        <v>23020</v>
      </c>
      <c r="CC73" s="199">
        <v>0</v>
      </c>
      <c r="CD73" s="199">
        <v>3000</v>
      </c>
      <c r="CE73" s="200">
        <v>3000</v>
      </c>
      <c r="CF73" s="200">
        <v>0</v>
      </c>
      <c r="CG73" s="200">
        <v>0</v>
      </c>
      <c r="CH73" s="200">
        <v>0</v>
      </c>
      <c r="CI73" s="200" t="str">
        <v>떡외겹 25*25</v>
      </c>
      <c r="CJ73" s="200">
        <v>0</v>
      </c>
      <c r="CK73" s="200">
        <v>23020</v>
      </c>
      <c r="CL73" s="200">
        <v>15070</v>
      </c>
      <c r="CM73" s="200">
        <v>26020</v>
      </c>
      <c r="CN73" s="156">
        <v>0</v>
      </c>
      <c r="CO73" s="156">
        <v>2834</v>
      </c>
      <c r="CP73" s="156">
        <v>0</v>
      </c>
      <c r="CQ73" s="156">
        <v>0</v>
      </c>
      <c r="CR73" s="156">
        <v>0</v>
      </c>
      <c r="CS73" s="156" t="str">
        <v>ptDB47</v>
      </c>
      <c r="CT73" s="156">
        <v>0</v>
      </c>
      <c r="CU73" s="156">
        <v>26020</v>
      </c>
      <c r="CV73" s="156">
        <v>0</v>
      </c>
      <c r="CW73" s="156">
        <v>2834</v>
      </c>
      <c r="CX73" s="156">
        <v>0</v>
      </c>
      <c r="CY73" s="156">
        <v>0</v>
      </c>
      <c r="CZ73" s="156" t="str">
        <v/>
      </c>
      <c r="DA73" s="156">
        <v>0</v>
      </c>
      <c r="DB73" s="156">
        <v>15070</v>
      </c>
    </row>
    <row r="74" spans="8:106" ht="18" customHeight="1">
      <c r="H74" s="173">
        <v>130</v>
      </c>
      <c r="I74" s="156" t="str">
        <v>비닐스토리</v>
      </c>
      <c r="J74" s="177">
        <v>45449</v>
      </c>
      <c r="K74" s="176" t="str">
        <v>2024060675963011</v>
      </c>
      <c r="L74" s="176" t="str">
        <v>스마트 스토어</v>
      </c>
      <c r="M74" s="176" t="str">
        <v>김지혜</v>
      </c>
      <c r="N74" s="176" t="str">
        <v>jihy****</v>
      </c>
      <c r="O74" s="177" t="str">
        <v>010-3999-4733</v>
      </c>
      <c r="P74" s="177">
        <v>45454</v>
      </c>
      <c r="Q74" s="176" t="str">
        <v>CJ대한통운</v>
      </c>
      <c r="R74" s="176" t="str">
        <v>540215391551</v>
      </c>
      <c r="S74" s="178">
        <v>0</v>
      </c>
      <c r="T74" s="176" t="str">
        <v>SE.22</v>
      </c>
      <c r="U74" s="176" t="str">
        <v>보라</v>
      </c>
      <c r="V74" s="176">
        <v>2</v>
      </c>
      <c r="W74" s="176" t="str">
        <v>김지혜</v>
      </c>
      <c r="X74" s="176" t="str">
        <v>010-3999-4733</v>
      </c>
      <c r="Y74" s="176">
        <v>0</v>
      </c>
      <c r="Z74" s="176" t="str">
        <v>대구광역시 달서구 한들로 36 (장기동, 영남네오빌파크) 상가4호 농촌사람들</v>
      </c>
      <c r="AA74" s="190">
        <v>0</v>
      </c>
      <c r="AB74" s="190">
        <v>0</v>
      </c>
      <c r="AC74" s="277">
        <v>0</v>
      </c>
      <c r="AD74" s="190">
        <v>7740</v>
      </c>
      <c r="AE74" s="190">
        <v>0</v>
      </c>
      <c r="AF74" s="190">
        <v>0</v>
      </c>
      <c r="AG74" s="190">
        <v>0</v>
      </c>
      <c r="AH74" s="190">
        <v>0</v>
      </c>
      <c r="AI74" s="190">
        <v>0</v>
      </c>
      <c r="AJ74" s="190">
        <v>0</v>
      </c>
      <c r="AK74" s="190" t="str">
        <v xml:space="preserve">왕특A </v>
      </c>
      <c r="AL74" s="190" t="str">
        <v>재구매</v>
      </c>
      <c r="AM74" s="173">
        <v>3700</v>
      </c>
      <c r="AN74" s="173">
        <v>2365</v>
      </c>
      <c r="AO74" s="206">
        <v>7740</v>
      </c>
      <c r="AP74" s="206">
        <v>4730</v>
      </c>
      <c r="AQ74" s="173">
        <v>388</v>
      </c>
      <c r="AR74" s="173">
        <v>2622</v>
      </c>
      <c r="AS74" s="173">
        <v>0.33879999999999999</v>
      </c>
      <c r="AT74" s="173">
        <v>0</v>
      </c>
      <c r="AU74" s="173" t="str">
        <v>ptDB47</v>
      </c>
      <c r="AV74" s="173">
        <v>0</v>
      </c>
      <c r="AW74" s="173">
        <v>7740</v>
      </c>
      <c r="AX74" s="173">
        <v>4730</v>
      </c>
      <c r="AY74" s="173">
        <v>388</v>
      </c>
      <c r="AZ74" s="173">
        <v>2622</v>
      </c>
      <c r="BA74" s="173">
        <v>0.33879999999999999</v>
      </c>
      <c r="BB74" s="173" t="str">
        <v/>
      </c>
      <c r="BC74" s="173">
        <v>0</v>
      </c>
      <c r="BD74" s="156">
        <v>4730</v>
      </c>
      <c r="BF74" s="156">
        <v>148</v>
      </c>
      <c r="BG74" s="156" t="str">
        <v>비닐팩토리</v>
      </c>
      <c r="BH74" s="198">
        <v>45456</v>
      </c>
      <c r="BI74" s="199" t="str">
        <v>45470469</v>
      </c>
      <c r="BJ74" s="199" t="str">
        <v>대표</v>
      </c>
      <c r="BK74" s="199">
        <v>0</v>
      </c>
      <c r="BL74" s="199">
        <v>0</v>
      </c>
      <c r="BM74" s="199">
        <v>0</v>
      </c>
      <c r="BN74" s="198">
        <v>45456</v>
      </c>
      <c r="BO74" s="199" t="str">
        <v>CJ대한통운</v>
      </c>
      <c r="BP74" s="199" t="str">
        <v>530220762684</v>
      </c>
      <c r="BQ74" s="199">
        <v>0</v>
      </c>
      <c r="BR74" s="199" t="str">
        <v>SE.1000</v>
      </c>
      <c r="BS74" s="199" t="str">
        <v>투명</v>
      </c>
      <c r="BT74" s="199">
        <v>1</v>
      </c>
      <c r="BU74" s="199" t="str">
        <v>빅팜 주식회사</v>
      </c>
      <c r="BV74" s="199" t="str">
        <v>053-795-8868</v>
      </c>
      <c r="BW74" s="199">
        <v>0</v>
      </c>
      <c r="BX74" s="199" t="str">
        <v>대구 수성구 달구벌대로568길 6</v>
      </c>
      <c r="BY74" s="199">
        <v>0</v>
      </c>
      <c r="BZ74" s="199">
        <v>0</v>
      </c>
      <c r="CA74" s="273">
        <v>0</v>
      </c>
      <c r="CB74" s="199">
        <v>0</v>
      </c>
      <c r="CC74" s="199">
        <v>0</v>
      </c>
      <c r="CD74" s="199">
        <v>0</v>
      </c>
      <c r="CE74" s="200">
        <v>0</v>
      </c>
      <c r="CF74" s="200">
        <v>0</v>
      </c>
      <c r="CG74" s="200">
        <v>0</v>
      </c>
      <c r="CH74" s="200">
        <v>0</v>
      </c>
      <c r="CI74" s="200" t="str">
        <v>대표</v>
      </c>
      <c r="CJ74" s="200" t="str">
        <v>재구매</v>
      </c>
      <c r="CK74" s="200">
        <v>0</v>
      </c>
      <c r="CL74" s="200">
        <v>0</v>
      </c>
      <c r="CM74" s="200">
        <v>0</v>
      </c>
      <c r="CN74" s="156">
        <v>0</v>
      </c>
      <c r="CO74" s="156">
        <v>0</v>
      </c>
      <c r="CP74" s="156">
        <v>0</v>
      </c>
      <c r="CQ74" s="156">
        <v>0</v>
      </c>
      <c r="CR74" s="156">
        <v>0</v>
      </c>
      <c r="CS74" s="156" t="str">
        <v>ptDB47</v>
      </c>
      <c r="CT74" s="156">
        <v>1</v>
      </c>
      <c r="CU74" s="156">
        <v>0</v>
      </c>
      <c r="CV74" s="156">
        <v>0</v>
      </c>
      <c r="CW74" s="156">
        <v>0</v>
      </c>
      <c r="CX74" s="156">
        <v>0</v>
      </c>
      <c r="CY74" s="156">
        <v>0</v>
      </c>
      <c r="CZ74" s="156" t="str">
        <v/>
      </c>
      <c r="DA74" s="156">
        <v>0</v>
      </c>
      <c r="DB74" s="156">
        <v>0</v>
      </c>
    </row>
    <row r="75" spans="8:106" ht="18" customHeight="1">
      <c r="H75" s="173">
        <v>131</v>
      </c>
      <c r="I75" s="156" t="str">
        <v>비닐스토리</v>
      </c>
      <c r="J75" s="177">
        <v>45453</v>
      </c>
      <c r="K75" s="176" t="str">
        <v>10100052200112</v>
      </c>
      <c r="L75" s="176" t="str">
        <v>쿠팡</v>
      </c>
      <c r="M75" s="176" t="str">
        <v>지연호</v>
      </c>
      <c r="N75" s="176" t="str">
        <v>dp*****@na</v>
      </c>
      <c r="O75" s="177" t="str">
        <v>0502-4967-1112</v>
      </c>
      <c r="P75" s="177">
        <v>45454</v>
      </c>
      <c r="Q75" s="176" t="str">
        <v>CJ대한통운</v>
      </c>
      <c r="R75" s="176" t="str">
        <v>530219199864</v>
      </c>
      <c r="S75" s="178">
        <v>0</v>
      </c>
      <c r="T75" s="176" t="str">
        <v>SE.101</v>
      </c>
      <c r="U75" s="176" t="str">
        <v>투명</v>
      </c>
      <c r="V75" s="176">
        <v>35</v>
      </c>
      <c r="W75" s="176" t="str">
        <v>지연호</v>
      </c>
      <c r="X75" s="176" t="str">
        <v>0502-4967-1112</v>
      </c>
      <c r="Y75" s="176">
        <v>0</v>
      </c>
      <c r="Z75" s="176" t="str">
        <v>경기도 화성시 반송동 23-6 1층 104호 돈까스파는메밀집</v>
      </c>
      <c r="AA75" s="190" t="str">
        <v>문 앞</v>
      </c>
      <c r="AB75" s="190">
        <v>0</v>
      </c>
      <c r="AC75" s="277">
        <v>0</v>
      </c>
      <c r="AD75" s="190">
        <v>32900</v>
      </c>
      <c r="AE75" s="190">
        <v>0</v>
      </c>
      <c r="AF75" s="190">
        <v>3000</v>
      </c>
      <c r="AG75" s="190">
        <v>3500</v>
      </c>
      <c r="AH75" s="190">
        <v>0</v>
      </c>
      <c r="AI75" s="190">
        <v>0</v>
      </c>
      <c r="AJ75" s="190">
        <v>0</v>
      </c>
      <c r="AK75" s="190" t="str">
        <v>소폭 10*26</v>
      </c>
      <c r="AL75" s="190">
        <v>0</v>
      </c>
      <c r="AM75" s="173">
        <v>890</v>
      </c>
      <c r="AN75" s="173">
        <v>550</v>
      </c>
      <c r="AO75" s="206">
        <v>35900</v>
      </c>
      <c r="AP75" s="206">
        <v>22750</v>
      </c>
      <c r="AQ75" s="173">
        <v>4008</v>
      </c>
      <c r="AR75" s="173">
        <v>9142</v>
      </c>
      <c r="AS75" s="173">
        <v>0.25469999999999998</v>
      </c>
      <c r="AT75" s="173">
        <v>0</v>
      </c>
      <c r="AU75" s="173" t="str">
        <v>ptDB47</v>
      </c>
      <c r="AV75" s="173">
        <v>0</v>
      </c>
      <c r="AW75" s="173">
        <v>35900</v>
      </c>
      <c r="AX75" s="173">
        <v>22750</v>
      </c>
      <c r="AY75" s="173">
        <v>4008</v>
      </c>
      <c r="AZ75" s="173">
        <v>9142</v>
      </c>
      <c r="BA75" s="173">
        <v>0.25469999999999998</v>
      </c>
      <c r="BB75" s="173" t="str">
        <v/>
      </c>
      <c r="BC75" s="173">
        <v>0</v>
      </c>
      <c r="BD75" s="156">
        <v>19250</v>
      </c>
      <c r="BF75" s="156">
        <v>164</v>
      </c>
      <c r="BG75" s="156" t="str">
        <v>비닐팩토리</v>
      </c>
      <c r="BH75" s="198">
        <v>45457</v>
      </c>
      <c r="BI75" s="199" t="str">
        <v>2024061488329411</v>
      </c>
      <c r="BJ75" s="199" t="str">
        <v>스마트 스토어</v>
      </c>
      <c r="BK75" s="199" t="str">
        <v>서치식</v>
      </c>
      <c r="BL75" s="199" t="str">
        <v>tjcl****</v>
      </c>
      <c r="BM75" s="199" t="str">
        <v>010-5367-6762</v>
      </c>
      <c r="BN75" s="198">
        <v>45457</v>
      </c>
      <c r="BO75" s="199" t="str">
        <v>CJ대한통운</v>
      </c>
      <c r="BP75" s="199" t="str">
        <v>540220887192</v>
      </c>
      <c r="BQ75" s="199">
        <v>0</v>
      </c>
      <c r="BR75" s="199" t="str">
        <v>SE.305</v>
      </c>
      <c r="BS75" s="199" t="str">
        <v>투명</v>
      </c>
      <c r="BT75" s="199">
        <v>2</v>
      </c>
      <c r="BU75" s="199" t="str">
        <v>서유승</v>
      </c>
      <c r="BV75" s="199" t="str">
        <v>010-5367-6762</v>
      </c>
      <c r="BW75" s="199" t="str">
        <v>055-283-0006</v>
      </c>
      <c r="BX75" s="199" t="str">
        <v>경상남도 창원시 성산구 상남동 16 상남재래시장 3층 C361호 3대할매충무김밥</v>
      </c>
      <c r="BY75" s="199">
        <v>0</v>
      </c>
      <c r="BZ75" s="199">
        <v>0</v>
      </c>
      <c r="CA75" s="273">
        <v>0</v>
      </c>
      <c r="CB75" s="199">
        <v>36800</v>
      </c>
      <c r="CC75" s="199">
        <v>0</v>
      </c>
      <c r="CD75" s="199">
        <v>0</v>
      </c>
      <c r="CE75" s="200">
        <v>4400</v>
      </c>
      <c r="CF75" s="200">
        <v>0</v>
      </c>
      <c r="CG75" s="200">
        <v>0</v>
      </c>
      <c r="CH75" s="200">
        <v>0</v>
      </c>
      <c r="CI75" s="200" t="str">
        <v>떡외겹 39*40</v>
      </c>
      <c r="CJ75" s="200">
        <v>0</v>
      </c>
      <c r="CK75" s="200">
        <v>18400</v>
      </c>
      <c r="CL75" s="200">
        <v>12650</v>
      </c>
      <c r="CM75" s="200">
        <v>36800</v>
      </c>
      <c r="CN75" s="156">
        <v>0</v>
      </c>
      <c r="CO75" s="156">
        <v>1929</v>
      </c>
      <c r="CP75" s="156">
        <v>0</v>
      </c>
      <c r="CQ75" s="156">
        <v>0</v>
      </c>
      <c r="CR75" s="156">
        <v>0</v>
      </c>
      <c r="CS75" s="156" t="str">
        <v>ptDB47</v>
      </c>
      <c r="CT75" s="156">
        <v>0</v>
      </c>
      <c r="CU75" s="156">
        <v>36800</v>
      </c>
      <c r="CV75" s="156">
        <v>0</v>
      </c>
      <c r="CW75" s="156">
        <v>1929</v>
      </c>
      <c r="CX75" s="156">
        <v>0</v>
      </c>
      <c r="CY75" s="156">
        <v>0</v>
      </c>
      <c r="CZ75" s="156" t="str">
        <v/>
      </c>
      <c r="DA75" s="156">
        <v>0</v>
      </c>
      <c r="DB75" s="156">
        <v>25300</v>
      </c>
    </row>
    <row r="76" spans="8:106" ht="18" customHeight="1">
      <c r="H76" s="173">
        <v>132</v>
      </c>
      <c r="I76" s="156" t="str">
        <v>비닐스토리</v>
      </c>
      <c r="J76" s="177">
        <v>45453</v>
      </c>
      <c r="K76" s="176" t="str">
        <v>3100052473841</v>
      </c>
      <c r="L76" s="176" t="str">
        <v>쿠팡</v>
      </c>
      <c r="M76" s="176" t="str">
        <v>한은희</v>
      </c>
      <c r="N76" s="176" t="str">
        <v>gk*****@gm</v>
      </c>
      <c r="O76" s="177" t="str">
        <v>0502-1701-0094</v>
      </c>
      <c r="P76" s="177">
        <v>45454</v>
      </c>
      <c r="Q76" s="176" t="str">
        <v>CJ대한통운</v>
      </c>
      <c r="R76" s="176" t="str">
        <v>530219199842</v>
      </c>
      <c r="S76" s="178">
        <v>0</v>
      </c>
      <c r="T76" s="176" t="str">
        <v>SE.307</v>
      </c>
      <c r="U76" s="176" t="str">
        <v>투명</v>
      </c>
      <c r="V76" s="176">
        <v>3</v>
      </c>
      <c r="W76" s="176" t="str">
        <v>한은희</v>
      </c>
      <c r="X76" s="176" t="str">
        <v>0502-1701-0094</v>
      </c>
      <c r="Y76" s="176">
        <v>0</v>
      </c>
      <c r="Z76" s="176" t="str">
        <v>전라남도 함평군 신광면 삼무길 6-5 두배로영농</v>
      </c>
      <c r="AA76" s="190" t="str">
        <v>문 앞</v>
      </c>
      <c r="AB76" s="190">
        <v>0</v>
      </c>
      <c r="AC76" s="277">
        <v>0</v>
      </c>
      <c r="AD76" s="190">
        <v>37410</v>
      </c>
      <c r="AE76" s="190">
        <v>0</v>
      </c>
      <c r="AF76" s="190">
        <v>0</v>
      </c>
      <c r="AG76" s="190">
        <v>3500</v>
      </c>
      <c r="AH76" s="190">
        <v>0</v>
      </c>
      <c r="AI76" s="190">
        <v>0</v>
      </c>
      <c r="AJ76" s="190">
        <v>0</v>
      </c>
      <c r="AK76" s="190" t="str">
        <v>떡외겹 30*30</v>
      </c>
      <c r="AL76" s="190">
        <v>0</v>
      </c>
      <c r="AM76" s="173">
        <v>11780</v>
      </c>
      <c r="AN76" s="173">
        <v>7260</v>
      </c>
      <c r="AO76" s="206">
        <v>37410</v>
      </c>
      <c r="AP76" s="206">
        <v>25280</v>
      </c>
      <c r="AQ76" s="173">
        <v>4444</v>
      </c>
      <c r="AR76" s="173">
        <v>7686</v>
      </c>
      <c r="AS76" s="173">
        <v>0.20549999999999999</v>
      </c>
      <c r="AT76" s="173">
        <v>0</v>
      </c>
      <c r="AU76" s="173" t="str">
        <v>ptDB47</v>
      </c>
      <c r="AV76" s="173">
        <v>0</v>
      </c>
      <c r="AW76" s="173">
        <v>37410</v>
      </c>
      <c r="AX76" s="173">
        <v>25280</v>
      </c>
      <c r="AY76" s="173">
        <v>4444</v>
      </c>
      <c r="AZ76" s="173">
        <v>7686</v>
      </c>
      <c r="BA76" s="173">
        <v>0.20549999999999999</v>
      </c>
      <c r="BB76" s="173" t="str">
        <v/>
      </c>
      <c r="BC76" s="173">
        <v>0</v>
      </c>
      <c r="BD76" s="156">
        <v>21780</v>
      </c>
      <c r="BF76" s="156">
        <v>165</v>
      </c>
      <c r="BG76" s="156" t="str">
        <v>비닐팩토리</v>
      </c>
      <c r="BH76" s="198">
        <v>45457</v>
      </c>
      <c r="BI76" s="199" t="str">
        <v>2024061488329401</v>
      </c>
      <c r="BJ76" s="199" t="str">
        <v>스마트 스토어</v>
      </c>
      <c r="BK76" s="199" t="str">
        <v>서치식</v>
      </c>
      <c r="BL76" s="199" t="str">
        <v>tjcl****</v>
      </c>
      <c r="BM76" s="199" t="str">
        <v>010-5367-6762</v>
      </c>
      <c r="BN76" s="198">
        <v>45457</v>
      </c>
      <c r="BO76" s="199" t="str">
        <v>CJ대한통운</v>
      </c>
      <c r="BP76" s="199" t="str">
        <v>540220887192</v>
      </c>
      <c r="BQ76" s="199">
        <v>0</v>
      </c>
      <c r="BR76" s="199" t="str">
        <v>SE.301</v>
      </c>
      <c r="BS76" s="199" t="str">
        <v>투명</v>
      </c>
      <c r="BT76" s="199">
        <v>1</v>
      </c>
      <c r="BU76" s="199" t="str">
        <v>서유승</v>
      </c>
      <c r="BV76" s="199" t="str">
        <v>010-5367-6762</v>
      </c>
      <c r="BW76" s="199" t="str">
        <v>055-283-0006</v>
      </c>
      <c r="BX76" s="199" t="str">
        <v>경상남도 창원시 성산구 상남동 16 상남재래시장 3층 C361호 3대할매충무김밥</v>
      </c>
      <c r="BY76" s="199">
        <v>0</v>
      </c>
      <c r="BZ76" s="199">
        <v>0</v>
      </c>
      <c r="CA76" s="273">
        <v>0</v>
      </c>
      <c r="CB76" s="199">
        <v>10560</v>
      </c>
      <c r="CC76" s="199">
        <v>0</v>
      </c>
      <c r="CD76" s="199">
        <v>0</v>
      </c>
      <c r="CE76" s="200">
        <v>0</v>
      </c>
      <c r="CF76" s="200">
        <v>0</v>
      </c>
      <c r="CG76" s="200">
        <v>0</v>
      </c>
      <c r="CH76" s="200">
        <v>0</v>
      </c>
      <c r="CI76" s="200" t="str">
        <v>떡외겹 15*20</v>
      </c>
      <c r="CJ76" s="200" t="str">
        <v>재구매</v>
      </c>
      <c r="CK76" s="200">
        <v>10560</v>
      </c>
      <c r="CL76" s="200">
        <v>7260</v>
      </c>
      <c r="CM76" s="200">
        <v>10560</v>
      </c>
      <c r="CN76" s="156">
        <v>0</v>
      </c>
      <c r="CO76" s="156">
        <v>611</v>
      </c>
      <c r="CP76" s="156">
        <v>0</v>
      </c>
      <c r="CQ76" s="156">
        <v>0</v>
      </c>
      <c r="CR76" s="156">
        <v>0</v>
      </c>
      <c r="CS76" s="156" t="str">
        <v>ptDB47</v>
      </c>
      <c r="CT76" s="156">
        <v>0</v>
      </c>
      <c r="CU76" s="156">
        <v>10560</v>
      </c>
      <c r="CV76" s="156">
        <v>0</v>
      </c>
      <c r="CW76" s="156">
        <v>611</v>
      </c>
      <c r="CX76" s="156">
        <v>0</v>
      </c>
      <c r="CY76" s="156">
        <v>0</v>
      </c>
      <c r="CZ76" s="156" t="str">
        <v/>
      </c>
      <c r="DA76" s="156">
        <v>0</v>
      </c>
      <c r="DB76" s="156">
        <v>7260</v>
      </c>
    </row>
    <row r="77" spans="8:106" ht="18" customHeight="1">
      <c r="H77" s="173">
        <v>133</v>
      </c>
      <c r="I77" s="156" t="str">
        <v>비닐스토리</v>
      </c>
      <c r="J77" s="177">
        <v>45453</v>
      </c>
      <c r="K77" s="176" t="str">
        <v>23100052328356</v>
      </c>
      <c r="L77" s="176" t="str">
        <v>쿠팡</v>
      </c>
      <c r="M77" s="176" t="str">
        <v>김성주</v>
      </c>
      <c r="N77" s="176" t="str">
        <v>ks*****@ha</v>
      </c>
      <c r="O77" s="177" t="str">
        <v>0502-4991-1148</v>
      </c>
      <c r="P77" s="177">
        <v>45454</v>
      </c>
      <c r="Q77" s="176" t="str">
        <v>CJ대한통운</v>
      </c>
      <c r="R77" s="176" t="str">
        <v>540218123780</v>
      </c>
      <c r="S77" s="178">
        <v>0</v>
      </c>
      <c r="T77" s="176" t="str">
        <v>SE.114</v>
      </c>
      <c r="U77" s="176" t="str">
        <v>투명</v>
      </c>
      <c r="V77" s="176">
        <v>5</v>
      </c>
      <c r="W77" s="176" t="str">
        <v>김성주</v>
      </c>
      <c r="X77" s="176" t="str">
        <v>0502-4991-1148</v>
      </c>
      <c r="Y77" s="176">
        <v>0</v>
      </c>
      <c r="Z77" s="176" t="str">
        <v>부산광역시 강서구 명지동 3350 중흥S-클래스 에듀오션 202동 901호</v>
      </c>
      <c r="AA77" s="190" t="str">
        <v>문 앞</v>
      </c>
      <c r="AB77" s="190">
        <v>0</v>
      </c>
      <c r="AC77" s="277">
        <v>0</v>
      </c>
      <c r="AD77" s="190">
        <v>30600</v>
      </c>
      <c r="AE77" s="190">
        <v>3400</v>
      </c>
      <c r="AF77" s="190">
        <v>0</v>
      </c>
      <c r="AG77" s="190">
        <v>3500</v>
      </c>
      <c r="AH77" s="190">
        <v>0</v>
      </c>
      <c r="AI77" s="190">
        <v>0</v>
      </c>
      <c r="AJ77" s="190">
        <v>0</v>
      </c>
      <c r="AK77" s="190" t="str">
        <v>고추 90*130</v>
      </c>
      <c r="AL77" s="190">
        <v>0</v>
      </c>
      <c r="AM77" s="173">
        <v>6430</v>
      </c>
      <c r="AN77" s="173">
        <v>3960</v>
      </c>
      <c r="AO77" s="206">
        <v>30600</v>
      </c>
      <c r="AP77" s="206">
        <v>23300</v>
      </c>
      <c r="AQ77" s="173">
        <v>3635</v>
      </c>
      <c r="AR77" s="173">
        <v>3665</v>
      </c>
      <c r="AS77" s="173">
        <v>0.1198</v>
      </c>
      <c r="AT77" s="173">
        <v>0</v>
      </c>
      <c r="AU77" s="173" t="str">
        <v>ptDB47</v>
      </c>
      <c r="AV77" s="173">
        <v>0</v>
      </c>
      <c r="AW77" s="173">
        <v>30600</v>
      </c>
      <c r="AX77" s="173">
        <v>23300</v>
      </c>
      <c r="AY77" s="173">
        <v>3635</v>
      </c>
      <c r="AZ77" s="173">
        <v>3665</v>
      </c>
      <c r="BA77" s="173">
        <v>0.1198</v>
      </c>
      <c r="BB77" s="173" t="str">
        <v/>
      </c>
      <c r="BC77" s="173">
        <v>0</v>
      </c>
      <c r="BD77" s="156">
        <v>19800</v>
      </c>
      <c r="BF77" s="156">
        <v>166</v>
      </c>
      <c r="BG77" s="156" t="str">
        <v>비닐팩토리</v>
      </c>
      <c r="BH77" s="198">
        <v>45457</v>
      </c>
      <c r="BI77" s="199" t="str">
        <v>2024061488329391</v>
      </c>
      <c r="BJ77" s="199" t="str">
        <v>스마트 스토어</v>
      </c>
      <c r="BK77" s="199" t="str">
        <v>서치식</v>
      </c>
      <c r="BL77" s="199" t="str">
        <v>tjcl****</v>
      </c>
      <c r="BM77" s="199" t="str">
        <v>010-5367-6762</v>
      </c>
      <c r="BN77" s="198">
        <v>45457</v>
      </c>
      <c r="BO77" s="199" t="str">
        <v>CJ대한통운</v>
      </c>
      <c r="BP77" s="199" t="str">
        <v>540220887192</v>
      </c>
      <c r="BQ77" s="199">
        <v>0</v>
      </c>
      <c r="BR77" s="199" t="str">
        <v>SE.303</v>
      </c>
      <c r="BS77" s="199" t="str">
        <v>투명</v>
      </c>
      <c r="BT77" s="199">
        <v>2</v>
      </c>
      <c r="BU77" s="199" t="str">
        <v>서유승</v>
      </c>
      <c r="BV77" s="199" t="str">
        <v>010-5367-6762</v>
      </c>
      <c r="BW77" s="199" t="str">
        <v>055-283-0006</v>
      </c>
      <c r="BX77" s="199" t="str">
        <v>경상남도 창원시 성산구 상남동 16 상남재래시장 3층 C361호 3대할매충무김밥</v>
      </c>
      <c r="BY77" s="199">
        <v>0</v>
      </c>
      <c r="BZ77" s="199">
        <v>0</v>
      </c>
      <c r="CA77" s="273">
        <v>0</v>
      </c>
      <c r="CB77" s="199">
        <v>43840</v>
      </c>
      <c r="CC77" s="199">
        <v>0</v>
      </c>
      <c r="CD77" s="199">
        <v>0</v>
      </c>
      <c r="CE77" s="200">
        <v>0</v>
      </c>
      <c r="CF77" s="200">
        <v>0</v>
      </c>
      <c r="CG77" s="200">
        <v>0</v>
      </c>
      <c r="CH77" s="200">
        <v>0</v>
      </c>
      <c r="CI77" s="200" t="str">
        <v>떡외겹 25*25</v>
      </c>
      <c r="CJ77" s="200" t="str">
        <v>재구매</v>
      </c>
      <c r="CK77" s="200">
        <v>21920</v>
      </c>
      <c r="CL77" s="200">
        <v>15070</v>
      </c>
      <c r="CM77" s="200">
        <v>43840</v>
      </c>
      <c r="CN77" s="156">
        <v>0</v>
      </c>
      <c r="CO77" s="156">
        <v>2283</v>
      </c>
      <c r="CP77" s="156">
        <v>0</v>
      </c>
      <c r="CQ77" s="156">
        <v>0</v>
      </c>
      <c r="CR77" s="156">
        <v>0</v>
      </c>
      <c r="CS77" s="156" t="str">
        <v>ptDB47</v>
      </c>
      <c r="CT77" s="156">
        <v>0</v>
      </c>
      <c r="CU77" s="156">
        <v>43840</v>
      </c>
      <c r="CV77" s="156">
        <v>0</v>
      </c>
      <c r="CW77" s="156">
        <v>2283</v>
      </c>
      <c r="CX77" s="156">
        <v>0</v>
      </c>
      <c r="CY77" s="156">
        <v>0</v>
      </c>
      <c r="CZ77" s="156" t="str">
        <v/>
      </c>
      <c r="DA77" s="156">
        <v>0</v>
      </c>
      <c r="DB77" s="156">
        <v>30140</v>
      </c>
    </row>
    <row r="78" spans="8:106" ht="18" customHeight="1">
      <c r="H78" s="173">
        <v>134</v>
      </c>
      <c r="I78" s="156" t="str">
        <v>비닐스토리</v>
      </c>
      <c r="J78" s="177">
        <v>45453</v>
      </c>
      <c r="K78" s="176" t="str">
        <v>9100052293792</v>
      </c>
      <c r="L78" s="176" t="str">
        <v>쿠팡</v>
      </c>
      <c r="M78" s="176" t="str">
        <v>박용곤</v>
      </c>
      <c r="N78" s="176" t="str">
        <v>dy*****@na</v>
      </c>
      <c r="O78" s="177" t="str">
        <v>0502-4178-9340</v>
      </c>
      <c r="P78" s="177">
        <v>45454</v>
      </c>
      <c r="Q78" s="176" t="str">
        <v>CJ대한통운</v>
      </c>
      <c r="R78" s="176" t="str">
        <v>530219199901</v>
      </c>
      <c r="S78" s="178">
        <v>0</v>
      </c>
      <c r="T78" s="176" t="str">
        <v>SE.102</v>
      </c>
      <c r="U78" s="176" t="str">
        <v>투명</v>
      </c>
      <c r="V78" s="176">
        <v>1</v>
      </c>
      <c r="W78" s="176" t="str">
        <v>박용곤</v>
      </c>
      <c r="X78" s="176" t="str">
        <v>0502-4178-9340</v>
      </c>
      <c r="Y78" s="176">
        <v>0</v>
      </c>
      <c r="Z78" s="176" t="str">
        <v>경기도 하남시 망월동 1096-2 우성르보아리버 1층 104호</v>
      </c>
      <c r="AA78" s="190" t="str">
        <v>문 앞</v>
      </c>
      <c r="AB78" s="190">
        <v>0</v>
      </c>
      <c r="AC78" s="277">
        <v>0</v>
      </c>
      <c r="AD78" s="190">
        <v>1150</v>
      </c>
      <c r="AE78" s="190">
        <v>0</v>
      </c>
      <c r="AF78" s="190">
        <v>3000</v>
      </c>
      <c r="AG78" s="190">
        <v>3000</v>
      </c>
      <c r="AH78" s="190">
        <v>0</v>
      </c>
      <c r="AI78" s="190">
        <v>0</v>
      </c>
      <c r="AJ78" s="190">
        <v>0</v>
      </c>
      <c r="AK78" s="190" t="str">
        <v>소폭 12*26</v>
      </c>
      <c r="AL78" s="190">
        <v>0</v>
      </c>
      <c r="AM78" s="173">
        <v>1070</v>
      </c>
      <c r="AN78" s="173">
        <v>660</v>
      </c>
      <c r="AO78" s="206">
        <v>4150</v>
      </c>
      <c r="AP78" s="206">
        <v>3660</v>
      </c>
      <c r="AQ78" s="173">
        <v>236</v>
      </c>
      <c r="AR78" s="173">
        <v>254</v>
      </c>
      <c r="AS78" s="173">
        <v>6.1199999999999997E-2</v>
      </c>
      <c r="AT78" s="173">
        <v>0</v>
      </c>
      <c r="AU78" s="173" t="str">
        <v>ptDB47</v>
      </c>
      <c r="AV78" s="173">
        <v>0</v>
      </c>
      <c r="AW78" s="173">
        <v>4150</v>
      </c>
      <c r="AX78" s="173">
        <v>3660</v>
      </c>
      <c r="AY78" s="173">
        <v>236</v>
      </c>
      <c r="AZ78" s="173">
        <v>254</v>
      </c>
      <c r="BA78" s="173">
        <v>6.1199999999999997E-2</v>
      </c>
      <c r="BB78" s="173" t="str">
        <v/>
      </c>
      <c r="BC78" s="173">
        <v>0</v>
      </c>
      <c r="BD78" s="156">
        <v>660</v>
      </c>
      <c r="BF78" s="156">
        <v>167</v>
      </c>
      <c r="BG78" s="156" t="str">
        <v>비닐팩토리</v>
      </c>
      <c r="BH78" s="198">
        <v>45456</v>
      </c>
      <c r="BI78" s="199" t="str">
        <v>2024061366372881</v>
      </c>
      <c r="BJ78" s="199" t="str">
        <v>스마트 스토어</v>
      </c>
      <c r="BK78" s="199" t="str">
        <v>정은혜</v>
      </c>
      <c r="BL78" s="199" t="str">
        <v>kdjl****</v>
      </c>
      <c r="BM78" s="199" t="str">
        <v>010-3652-1436</v>
      </c>
      <c r="BN78" s="198">
        <v>45457</v>
      </c>
      <c r="BO78" s="199" t="str">
        <v>CJ대한통운</v>
      </c>
      <c r="BP78" s="199" t="str">
        <v>530221962053</v>
      </c>
      <c r="BQ78" s="199">
        <v>0</v>
      </c>
      <c r="BR78" s="199" t="str">
        <v>SE.205</v>
      </c>
      <c r="BS78" s="199" t="str">
        <v>투명</v>
      </c>
      <c r="BT78" s="199">
        <v>2</v>
      </c>
      <c r="BU78" s="199" t="str">
        <v>정은혜</v>
      </c>
      <c r="BV78" s="199" t="str">
        <v>010-3652-1436</v>
      </c>
      <c r="BW78" s="199">
        <v>0</v>
      </c>
      <c r="BX78" s="199" t="str">
        <v>경상남도 진주시 사들로123번길 16 (충무공동) 휴니온팝 201호 사천형제국밥</v>
      </c>
      <c r="BY78" s="199">
        <v>0</v>
      </c>
      <c r="BZ78" s="199">
        <v>0</v>
      </c>
      <c r="CA78" s="273">
        <v>0</v>
      </c>
      <c r="CB78" s="199">
        <v>48000</v>
      </c>
      <c r="CC78" s="199">
        <v>0</v>
      </c>
      <c r="CD78" s="199">
        <v>0</v>
      </c>
      <c r="CE78" s="200">
        <v>4400</v>
      </c>
      <c r="CF78" s="200">
        <v>0</v>
      </c>
      <c r="CG78" s="200">
        <v>0</v>
      </c>
      <c r="CH78" s="200">
        <v>0</v>
      </c>
      <c r="CI78" s="200" t="str">
        <v>떡롤 35*400</v>
      </c>
      <c r="CJ78" s="200">
        <v>0</v>
      </c>
      <c r="CK78" s="200">
        <v>24000</v>
      </c>
      <c r="CL78" s="200">
        <v>16500</v>
      </c>
      <c r="CM78" s="200">
        <v>48000</v>
      </c>
      <c r="CN78" s="156">
        <v>0</v>
      </c>
      <c r="CO78" s="156">
        <v>2492</v>
      </c>
      <c r="CP78" s="156">
        <v>0</v>
      </c>
      <c r="CQ78" s="156">
        <v>0</v>
      </c>
      <c r="CR78" s="156">
        <v>0</v>
      </c>
      <c r="CS78" s="156" t="str">
        <v>ptDB47</v>
      </c>
      <c r="CT78" s="156">
        <v>0</v>
      </c>
      <c r="CU78" s="156">
        <v>48000</v>
      </c>
      <c r="CV78" s="156">
        <v>0</v>
      </c>
      <c r="CW78" s="156">
        <v>2492</v>
      </c>
      <c r="CX78" s="156">
        <v>0</v>
      </c>
      <c r="CY78" s="156">
        <v>0</v>
      </c>
      <c r="CZ78" s="156" t="str">
        <v/>
      </c>
      <c r="DA78" s="156">
        <v>0</v>
      </c>
      <c r="DB78" s="156">
        <v>33000</v>
      </c>
    </row>
    <row r="79" spans="8:106" ht="18" customHeight="1">
      <c r="H79" s="173">
        <v>139</v>
      </c>
      <c r="I79" s="156" t="str">
        <v>비닐스토리</v>
      </c>
      <c r="J79" s="177">
        <v>45455</v>
      </c>
      <c r="K79" s="176" t="str">
        <v>15100052626789</v>
      </c>
      <c r="L79" s="176" t="str">
        <v>쿠팡</v>
      </c>
      <c r="M79" s="176" t="str">
        <v>박희종</v>
      </c>
      <c r="N79" s="176" t="str">
        <v>qg*****@na</v>
      </c>
      <c r="O79" s="177" t="str">
        <v>0504-4978-6969</v>
      </c>
      <c r="P79" s="177">
        <v>45455</v>
      </c>
      <c r="Q79" s="176" t="str">
        <v>CJ대한통운</v>
      </c>
      <c r="R79" s="176" t="str">
        <v>540219104841</v>
      </c>
      <c r="S79" s="178">
        <v>0</v>
      </c>
      <c r="T79" s="176" t="str">
        <v>SE.204</v>
      </c>
      <c r="U79" s="176" t="str">
        <v>투명</v>
      </c>
      <c r="V79" s="176">
        <v>1</v>
      </c>
      <c r="W79" s="176" t="str">
        <v>박희종</v>
      </c>
      <c r="X79" s="176" t="str">
        <v>0504-4978-6969</v>
      </c>
      <c r="Y79" s="176">
        <v>0</v>
      </c>
      <c r="Z79" s="176" t="str">
        <v>서울특별시 용산구 이태원동 127-1 1층 피자레볼루션</v>
      </c>
      <c r="AA79" s="190" t="str">
        <v>직접 받고 부재 시 문 앞</v>
      </c>
      <c r="AB79" s="190">
        <v>0</v>
      </c>
      <c r="AC79" s="277">
        <v>0</v>
      </c>
      <c r="AD79" s="190">
        <v>24570</v>
      </c>
      <c r="AE79" s="190">
        <v>0</v>
      </c>
      <c r="AF79" s="190">
        <v>3000</v>
      </c>
      <c r="AG79" s="190">
        <v>3000</v>
      </c>
      <c r="AH79" s="190">
        <v>0</v>
      </c>
      <c r="AI79" s="190">
        <v>0</v>
      </c>
      <c r="AJ79" s="190">
        <v>0</v>
      </c>
      <c r="AK79" s="190" t="str">
        <v>떡롤 30*400</v>
      </c>
      <c r="AL79" s="190">
        <v>0</v>
      </c>
      <c r="AM79" s="173">
        <v>23210</v>
      </c>
      <c r="AN79" s="173">
        <v>14300</v>
      </c>
      <c r="AO79" s="206">
        <v>27570</v>
      </c>
      <c r="AP79" s="206">
        <v>17300</v>
      </c>
      <c r="AQ79" s="173">
        <v>3018</v>
      </c>
      <c r="AR79" s="173">
        <v>7252</v>
      </c>
      <c r="AS79" s="173">
        <v>0.26300000000000001</v>
      </c>
      <c r="AT79" s="173">
        <v>0</v>
      </c>
      <c r="AU79" s="173" t="str">
        <v>ptDB47</v>
      </c>
      <c r="AV79" s="173">
        <v>0</v>
      </c>
      <c r="AW79" s="173">
        <v>27570</v>
      </c>
      <c r="AX79" s="173">
        <v>17300</v>
      </c>
      <c r="AY79" s="173">
        <v>3018</v>
      </c>
      <c r="AZ79" s="173">
        <v>7252</v>
      </c>
      <c r="BA79" s="173">
        <v>0.26300000000000001</v>
      </c>
      <c r="BB79" s="173" t="str">
        <v/>
      </c>
      <c r="BC79" s="173">
        <v>0</v>
      </c>
      <c r="BD79" s="156">
        <v>14300</v>
      </c>
      <c r="BF79" s="156">
        <v>179</v>
      </c>
      <c r="BG79" s="156" t="str">
        <v>비닐팩토리</v>
      </c>
      <c r="BH79" s="198">
        <v>45457</v>
      </c>
      <c r="BI79" s="199" t="str">
        <v>8100053068945</v>
      </c>
      <c r="BJ79" s="199" t="str">
        <v>쿠팡</v>
      </c>
      <c r="BK79" s="199" t="str">
        <v>전경숙</v>
      </c>
      <c r="BL79" s="199" t="str">
        <v>bi*****@na</v>
      </c>
      <c r="BM79" s="199" t="str">
        <v>0504-4937-7658</v>
      </c>
      <c r="BN79" s="198">
        <v>45457</v>
      </c>
      <c r="BO79" s="199" t="str">
        <v>CJ대한통운</v>
      </c>
      <c r="BP79" s="199" t="str">
        <v>540220887030</v>
      </c>
      <c r="BQ79" s="199">
        <v>0</v>
      </c>
      <c r="BR79" s="199" t="str">
        <v>SE.206</v>
      </c>
      <c r="BS79" s="199" t="str">
        <v>투명</v>
      </c>
      <c r="BT79" s="199">
        <v>1</v>
      </c>
      <c r="BU79" s="199" t="str">
        <v>전경숙</v>
      </c>
      <c r="BV79" s="199" t="str">
        <v>0504-4937-7658</v>
      </c>
      <c r="BW79" s="199">
        <v>0</v>
      </c>
      <c r="BX79" s="199" t="str">
        <v>경기도 광주시 중앙로335번길 42 104동102호 ( 송정동, 송정동 대주파크빌 )</v>
      </c>
      <c r="BY79" s="199" t="str">
        <v>문 앞</v>
      </c>
      <c r="BZ79" s="199">
        <v>0</v>
      </c>
      <c r="CA79" s="273">
        <v>0</v>
      </c>
      <c r="CB79" s="199">
        <v>30240</v>
      </c>
      <c r="CC79" s="199">
        <v>0</v>
      </c>
      <c r="CD79" s="199">
        <v>3000</v>
      </c>
      <c r="CE79" s="200">
        <v>3500</v>
      </c>
      <c r="CF79" s="200">
        <v>0</v>
      </c>
      <c r="CG79" s="200">
        <v>0</v>
      </c>
      <c r="CH79" s="200">
        <v>0</v>
      </c>
      <c r="CI79" s="200" t="str">
        <v>떡롤 45*330</v>
      </c>
      <c r="CJ79" s="200">
        <v>0</v>
      </c>
      <c r="CK79" s="200">
        <v>30240</v>
      </c>
      <c r="CL79" s="200">
        <v>19800</v>
      </c>
      <c r="CM79" s="200">
        <v>33240</v>
      </c>
      <c r="CN79" s="156">
        <v>0</v>
      </c>
      <c r="CO79" s="156">
        <v>3692</v>
      </c>
      <c r="CP79" s="156">
        <v>0</v>
      </c>
      <c r="CQ79" s="156">
        <v>0</v>
      </c>
      <c r="CR79" s="156">
        <v>0</v>
      </c>
      <c r="CS79" s="156" t="str">
        <v>ptDB47</v>
      </c>
      <c r="CT79" s="156">
        <v>0</v>
      </c>
      <c r="CU79" s="156">
        <v>33240</v>
      </c>
      <c r="CV79" s="156">
        <v>0</v>
      </c>
      <c r="CW79" s="156">
        <v>3692</v>
      </c>
      <c r="CX79" s="156">
        <v>0</v>
      </c>
      <c r="CY79" s="156">
        <v>0</v>
      </c>
      <c r="CZ79" s="156" t="str">
        <v/>
      </c>
      <c r="DA79" s="156">
        <v>0</v>
      </c>
      <c r="DB79" s="156">
        <v>19800</v>
      </c>
    </row>
    <row r="80" spans="8:106" ht="18" customHeight="1">
      <c r="H80" s="173">
        <v>141</v>
      </c>
      <c r="I80" s="156" t="str">
        <v>비닐스토리</v>
      </c>
      <c r="J80" s="177">
        <v>45454</v>
      </c>
      <c r="K80" s="176" t="str">
        <v>2024061171125061</v>
      </c>
      <c r="L80" s="176" t="str">
        <v>스마트 스토어</v>
      </c>
      <c r="M80" s="176" t="str">
        <v>김소희</v>
      </c>
      <c r="N80" s="176" t="str">
        <v>fung****</v>
      </c>
      <c r="O80" s="177" t="str">
        <v>010-2254-5827</v>
      </c>
      <c r="P80" s="177">
        <v>45455</v>
      </c>
      <c r="Q80" s="176" t="str">
        <v>CJ대한통운</v>
      </c>
      <c r="R80" s="176" t="str">
        <v>540219104804</v>
      </c>
      <c r="S80" s="178">
        <v>0</v>
      </c>
      <c r="T80" s="176" t="str">
        <v>SE.307</v>
      </c>
      <c r="U80" s="176" t="str">
        <v>투명</v>
      </c>
      <c r="V80" s="176">
        <v>1</v>
      </c>
      <c r="W80" s="176" t="str">
        <v>김소희</v>
      </c>
      <c r="X80" s="176" t="str">
        <v>010-2254-5827</v>
      </c>
      <c r="Y80" s="176">
        <v>0</v>
      </c>
      <c r="Z80" s="176" t="str">
        <v>경기도 광명시 범안로 1050 (하안동) 성보빌딩 202호</v>
      </c>
      <c r="AA80" s="190" t="str">
        <v>문 앞에 놓아주세요</v>
      </c>
      <c r="AB80" s="190">
        <v>0</v>
      </c>
      <c r="AC80" s="277">
        <v>0</v>
      </c>
      <c r="AD80" s="190">
        <v>10690</v>
      </c>
      <c r="AE80" s="190">
        <v>1190</v>
      </c>
      <c r="AF80" s="190">
        <v>3000</v>
      </c>
      <c r="AG80" s="190">
        <v>3000</v>
      </c>
      <c r="AH80" s="190">
        <v>0</v>
      </c>
      <c r="AI80" s="190">
        <v>0</v>
      </c>
      <c r="AJ80" s="190">
        <v>0</v>
      </c>
      <c r="AK80" s="190" t="str">
        <v>떡외겹 30*30</v>
      </c>
      <c r="AL80" s="190">
        <v>0</v>
      </c>
      <c r="AM80" s="173">
        <v>11220</v>
      </c>
      <c r="AN80" s="173">
        <v>7260</v>
      </c>
      <c r="AO80" s="206">
        <v>13690</v>
      </c>
      <c r="AP80" s="206">
        <v>10260</v>
      </c>
      <c r="AQ80" s="173">
        <v>564</v>
      </c>
      <c r="AR80" s="173">
        <v>2866</v>
      </c>
      <c r="AS80" s="173">
        <v>0.20930000000000001</v>
      </c>
      <c r="AT80" s="173">
        <v>0</v>
      </c>
      <c r="AU80" s="173" t="str">
        <v>ptDB47</v>
      </c>
      <c r="AV80" s="173">
        <v>0</v>
      </c>
      <c r="AW80" s="173">
        <v>13690</v>
      </c>
      <c r="AX80" s="173">
        <v>10260</v>
      </c>
      <c r="AY80" s="173">
        <v>564</v>
      </c>
      <c r="AZ80" s="173">
        <v>2866</v>
      </c>
      <c r="BA80" s="173">
        <v>0.20930000000000001</v>
      </c>
      <c r="BB80" s="173" t="str">
        <v/>
      </c>
      <c r="BC80" s="173">
        <v>0</v>
      </c>
      <c r="BD80" s="156">
        <v>7260</v>
      </c>
    </row>
    <row r="81" spans="8:56" ht="18" customHeight="1">
      <c r="H81" s="173">
        <v>142</v>
      </c>
      <c r="I81" s="156" t="str">
        <v>비닐스토리</v>
      </c>
      <c r="J81" s="177">
        <v>45454</v>
      </c>
      <c r="K81" s="176" t="str">
        <v>2024061169075231</v>
      </c>
      <c r="L81" s="176" t="str">
        <v>스마트 스토어</v>
      </c>
      <c r="M81" s="176" t="str">
        <v>김태희</v>
      </c>
      <c r="N81" s="176" t="str">
        <v>kth9****</v>
      </c>
      <c r="O81" s="177" t="str">
        <v>010-5652-5279</v>
      </c>
      <c r="P81" s="177">
        <v>45455</v>
      </c>
      <c r="Q81" s="176" t="str">
        <v>CJ대한통운</v>
      </c>
      <c r="R81" s="176" t="str">
        <v>530220193050</v>
      </c>
      <c r="S81" s="178">
        <v>0</v>
      </c>
      <c r="T81" s="176" t="str">
        <v>SE.13</v>
      </c>
      <c r="U81" s="176" t="str">
        <v>검정</v>
      </c>
      <c r="V81" s="176">
        <v>50</v>
      </c>
      <c r="W81" s="176" t="str">
        <v>김태희</v>
      </c>
      <c r="X81" s="176" t="str">
        <v>010-5652-5279</v>
      </c>
      <c r="Y81" s="176" t="str">
        <v>055-533-5288</v>
      </c>
      <c r="Z81" s="176" t="str">
        <v>경상남도 창녕군 창녕읍 초막1길 2 (창녕읍) 영도축산</v>
      </c>
      <c r="AA81" s="190" t="str">
        <v>배송 전 미리 연락해 주세요</v>
      </c>
      <c r="AB81" s="190">
        <v>0</v>
      </c>
      <c r="AC81" s="277">
        <v>0</v>
      </c>
      <c r="AD81" s="190">
        <v>65500</v>
      </c>
      <c r="AE81" s="190">
        <v>0</v>
      </c>
      <c r="AF81" s="190">
        <v>0</v>
      </c>
      <c r="AG81" s="190">
        <v>0</v>
      </c>
      <c r="AH81" s="190">
        <v>0</v>
      </c>
      <c r="AI81" s="190">
        <v>0</v>
      </c>
      <c r="AJ81" s="190">
        <v>0</v>
      </c>
      <c r="AK81" s="190" t="str">
        <v>특대C</v>
      </c>
      <c r="AL81" s="190">
        <v>0</v>
      </c>
      <c r="AM81" s="173">
        <v>1250</v>
      </c>
      <c r="AN81" s="173">
        <v>798</v>
      </c>
      <c r="AO81" s="206">
        <v>65500</v>
      </c>
      <c r="AP81" s="206">
        <v>39900</v>
      </c>
      <c r="AQ81" s="173">
        <v>2687</v>
      </c>
      <c r="AR81" s="173">
        <v>22913</v>
      </c>
      <c r="AS81" s="173">
        <v>0.3498</v>
      </c>
      <c r="AT81" s="173">
        <v>0</v>
      </c>
      <c r="AU81" s="173" t="str">
        <v>ptDB47</v>
      </c>
      <c r="AV81" s="173">
        <v>0</v>
      </c>
      <c r="AW81" s="173">
        <v>65500</v>
      </c>
      <c r="AX81" s="173">
        <v>39900</v>
      </c>
      <c r="AY81" s="173">
        <v>2687</v>
      </c>
      <c r="AZ81" s="173">
        <v>22913</v>
      </c>
      <c r="BA81" s="173">
        <v>0.3498</v>
      </c>
      <c r="BB81" s="173" t="str">
        <v/>
      </c>
      <c r="BC81" s="173">
        <v>0</v>
      </c>
      <c r="BD81" s="156">
        <v>39900</v>
      </c>
    </row>
    <row r="82" spans="8:56" ht="18" customHeight="1">
      <c r="H82" s="173">
        <v>149</v>
      </c>
      <c r="I82" s="156" t="str">
        <v>비닐스토리</v>
      </c>
      <c r="J82" s="177">
        <v>45455</v>
      </c>
      <c r="K82" s="176" t="str">
        <v>3100052835477</v>
      </c>
      <c r="L82" s="176" t="str">
        <v>쿠팡</v>
      </c>
      <c r="M82" s="176" t="str">
        <v>주인아</v>
      </c>
      <c r="N82" s="176" t="str">
        <v>wn*****@ha</v>
      </c>
      <c r="O82" s="177" t="str">
        <v>0502-4878-0063</v>
      </c>
      <c r="P82" s="177">
        <v>45456</v>
      </c>
      <c r="Q82" s="176" t="str">
        <v>CJ대한통운</v>
      </c>
      <c r="R82" s="176" t="str">
        <v>540219665552</v>
      </c>
      <c r="S82" s="178">
        <v>0</v>
      </c>
      <c r="T82" s="176" t="str">
        <v>SE.101</v>
      </c>
      <c r="U82" s="176" t="str">
        <v>투명</v>
      </c>
      <c r="V82" s="176">
        <v>1</v>
      </c>
      <c r="W82" s="176" t="str">
        <v>주인아</v>
      </c>
      <c r="X82" s="176" t="str">
        <v>0502-4878-0063</v>
      </c>
      <c r="Y82" s="176">
        <v>0</v>
      </c>
      <c r="Z82" s="176" t="str">
        <v>대전광역시 유성구 송강로42번길 61 청솔아파트 205동 1501호 ( 송강동, 청솔아파트 )</v>
      </c>
      <c r="AA82" s="190" t="str">
        <v>문 앞</v>
      </c>
      <c r="AB82" s="190">
        <v>0</v>
      </c>
      <c r="AC82" s="277">
        <v>0</v>
      </c>
      <c r="AD82" s="190">
        <v>940</v>
      </c>
      <c r="AE82" s="190">
        <v>0</v>
      </c>
      <c r="AF82" s="190">
        <v>3000</v>
      </c>
      <c r="AG82" s="190">
        <v>3000</v>
      </c>
      <c r="AH82" s="190">
        <v>0</v>
      </c>
      <c r="AI82" s="190">
        <v>0</v>
      </c>
      <c r="AJ82" s="190">
        <v>0</v>
      </c>
      <c r="AK82" s="190" t="str">
        <v>소폭 10*26</v>
      </c>
      <c r="AL82" s="190">
        <v>0</v>
      </c>
      <c r="AM82" s="173">
        <v>890</v>
      </c>
      <c r="AN82" s="173">
        <v>550</v>
      </c>
      <c r="AO82" s="206">
        <v>3940</v>
      </c>
      <c r="AP82" s="206">
        <v>3550</v>
      </c>
      <c r="AQ82" s="173">
        <v>211</v>
      </c>
      <c r="AR82" s="173">
        <v>179</v>
      </c>
      <c r="AS82" s="173">
        <v>4.5400000000000003E-2</v>
      </c>
      <c r="AT82" s="173">
        <v>0</v>
      </c>
      <c r="AU82" s="173" t="str">
        <v>ptDB47</v>
      </c>
      <c r="AV82" s="173">
        <v>0</v>
      </c>
      <c r="AW82" s="173">
        <v>3940</v>
      </c>
      <c r="AX82" s="173">
        <v>3550</v>
      </c>
      <c r="AY82" s="173">
        <v>211</v>
      </c>
      <c r="AZ82" s="173">
        <v>179</v>
      </c>
      <c r="BA82" s="173">
        <v>4.5400000000000003E-2</v>
      </c>
      <c r="BB82" s="173" t="str">
        <v/>
      </c>
      <c r="BC82" s="173">
        <v>0</v>
      </c>
      <c r="BD82" s="156">
        <v>550</v>
      </c>
    </row>
    <row r="83" spans="8:56" ht="18" customHeight="1">
      <c r="H83" s="173">
        <v>150</v>
      </c>
      <c r="I83" s="156" t="str">
        <v>비닐스토리</v>
      </c>
      <c r="J83" s="177">
        <v>45455</v>
      </c>
      <c r="K83" s="176" t="str">
        <v>8100052791560</v>
      </c>
      <c r="L83" s="176" t="str">
        <v>쿠팡</v>
      </c>
      <c r="M83" s="176" t="str">
        <v>이성화</v>
      </c>
      <c r="N83" s="176" t="str">
        <v>a5*****@na</v>
      </c>
      <c r="O83" s="177" t="str">
        <v>0502-1357-0033</v>
      </c>
      <c r="P83" s="177">
        <v>45456</v>
      </c>
      <c r="Q83" s="176" t="str">
        <v>CJ대한통운</v>
      </c>
      <c r="R83" s="176" t="str">
        <v>530220762706</v>
      </c>
      <c r="S83" s="178">
        <v>0</v>
      </c>
      <c r="T83" s="176" t="str">
        <v>SE.102</v>
      </c>
      <c r="U83" s="176" t="str">
        <v>투명</v>
      </c>
      <c r="V83" s="176">
        <v>20</v>
      </c>
      <c r="W83" s="176" t="str">
        <v>이성화</v>
      </c>
      <c r="X83" s="176" t="str">
        <v>0502-1357-0033</v>
      </c>
      <c r="Y83" s="176">
        <v>0</v>
      </c>
      <c r="Z83" s="176" t="str">
        <v>부산광역시 동래구 석사북로 92-1 굴림당 ( 온천동 )</v>
      </c>
      <c r="AA83" s="190" t="str">
        <v>직접 받고 부재 시 문 앞</v>
      </c>
      <c r="AB83" s="190">
        <v>0</v>
      </c>
      <c r="AC83" s="277">
        <v>0</v>
      </c>
      <c r="AD83" s="190">
        <v>23000</v>
      </c>
      <c r="AE83" s="190">
        <v>0</v>
      </c>
      <c r="AF83" s="190">
        <v>3000</v>
      </c>
      <c r="AG83" s="190">
        <v>3500</v>
      </c>
      <c r="AH83" s="190">
        <v>0</v>
      </c>
      <c r="AI83" s="190">
        <v>0</v>
      </c>
      <c r="AJ83" s="190">
        <v>0</v>
      </c>
      <c r="AK83" s="190" t="str">
        <v>소폭 12*26</v>
      </c>
      <c r="AL83" s="190">
        <v>0</v>
      </c>
      <c r="AM83" s="173">
        <v>1070</v>
      </c>
      <c r="AN83" s="173">
        <v>660</v>
      </c>
      <c r="AO83" s="206">
        <v>26000</v>
      </c>
      <c r="AP83" s="206">
        <v>16700</v>
      </c>
      <c r="AQ83" s="173">
        <v>2831</v>
      </c>
      <c r="AR83" s="173">
        <v>6469</v>
      </c>
      <c r="AS83" s="173">
        <v>0.24879999999999999</v>
      </c>
      <c r="AT83" s="173">
        <v>0</v>
      </c>
      <c r="AU83" s="173" t="str">
        <v>ptDB47</v>
      </c>
      <c r="AV83" s="173">
        <v>0</v>
      </c>
      <c r="AW83" s="173">
        <v>26000</v>
      </c>
      <c r="AX83" s="173">
        <v>16700</v>
      </c>
      <c r="AY83" s="173">
        <v>2831</v>
      </c>
      <c r="AZ83" s="173">
        <v>6469</v>
      </c>
      <c r="BA83" s="173">
        <v>0.24879999999999999</v>
      </c>
      <c r="BB83" s="173" t="str">
        <v/>
      </c>
      <c r="BC83" s="173">
        <v>0</v>
      </c>
      <c r="BD83" s="156">
        <v>13200</v>
      </c>
    </row>
    <row r="84" spans="8:56" ht="18" customHeight="1">
      <c r="H84" s="173">
        <v>151</v>
      </c>
      <c r="I84" s="156" t="str">
        <v>비닐스토리</v>
      </c>
      <c r="J84" s="177">
        <v>45455</v>
      </c>
      <c r="K84" s="176" t="str">
        <v>10100052616179</v>
      </c>
      <c r="L84" s="176" t="str">
        <v>쿠팡</v>
      </c>
      <c r="M84" s="176" t="str">
        <v>이종훈</v>
      </c>
      <c r="N84" s="176" t="str">
        <v>dc*****@na</v>
      </c>
      <c r="O84" s="177" t="str">
        <v>0504-4364-4215</v>
      </c>
      <c r="P84" s="177">
        <v>45456</v>
      </c>
      <c r="Q84" s="176" t="str">
        <v>CJ대한통운</v>
      </c>
      <c r="R84" s="176" t="str">
        <v>530220762662</v>
      </c>
      <c r="S84" s="178">
        <v>0</v>
      </c>
      <c r="T84" s="176" t="str">
        <v>SE.138</v>
      </c>
      <c r="U84" s="176" t="str">
        <v>투명</v>
      </c>
      <c r="V84" s="176">
        <v>5</v>
      </c>
      <c r="W84" s="176" t="str">
        <v>서구재활주간보호센터</v>
      </c>
      <c r="X84" s="176" t="str">
        <v>0504-4364-4215</v>
      </c>
      <c r="Y84" s="176">
        <v>0</v>
      </c>
      <c r="Z84" s="176" t="str">
        <v>인천광역시 서구 탁옥로 104 다빈치프라자 2층 ( 심곡동 )</v>
      </c>
      <c r="AA84" s="190" t="str">
        <v>직접 받고 부재 시 문 앞</v>
      </c>
      <c r="AB84" s="190">
        <v>0</v>
      </c>
      <c r="AC84" s="277">
        <v>0</v>
      </c>
      <c r="AD84" s="190">
        <v>13400</v>
      </c>
      <c r="AE84" s="190">
        <v>0</v>
      </c>
      <c r="AF84" s="190">
        <v>0</v>
      </c>
      <c r="AG84" s="190">
        <v>3000</v>
      </c>
      <c r="AH84" s="190">
        <v>0</v>
      </c>
      <c r="AI84" s="190">
        <v>0</v>
      </c>
      <c r="AJ84" s="190">
        <v>0</v>
      </c>
      <c r="AK84" s="190" t="str">
        <v>끈속지 30*45</v>
      </c>
      <c r="AL84" s="190">
        <v>0</v>
      </c>
      <c r="AM84" s="173">
        <v>1950</v>
      </c>
      <c r="AN84" s="173">
        <v>1320</v>
      </c>
      <c r="AO84" s="206">
        <v>13400</v>
      </c>
      <c r="AP84" s="206">
        <v>9600</v>
      </c>
      <c r="AQ84" s="173">
        <v>1592</v>
      </c>
      <c r="AR84" s="173">
        <v>2208</v>
      </c>
      <c r="AS84" s="173">
        <v>0.1648</v>
      </c>
      <c r="AT84" s="173">
        <v>0</v>
      </c>
      <c r="AU84" s="173" t="str">
        <v>ptDB47</v>
      </c>
      <c r="AV84" s="173">
        <v>0</v>
      </c>
      <c r="AW84" s="173">
        <v>13400</v>
      </c>
      <c r="AX84" s="173">
        <v>9600</v>
      </c>
      <c r="AY84" s="173">
        <v>1592</v>
      </c>
      <c r="AZ84" s="173">
        <v>2208</v>
      </c>
      <c r="BA84" s="173">
        <v>0.1648</v>
      </c>
      <c r="BB84" s="173" t="str">
        <v/>
      </c>
      <c r="BC84" s="173">
        <v>0</v>
      </c>
      <c r="BD84" s="156">
        <v>6600</v>
      </c>
    </row>
    <row r="85" spans="8:56" ht="18" customHeight="1">
      <c r="H85" s="173">
        <v>152</v>
      </c>
      <c r="I85" s="156" t="str">
        <v>비닐스토리</v>
      </c>
      <c r="J85" s="177">
        <v>45455</v>
      </c>
      <c r="K85" s="176" t="str">
        <v>28100052588127</v>
      </c>
      <c r="L85" s="176" t="str">
        <v>쿠팡</v>
      </c>
      <c r="M85" s="176" t="str">
        <v>김재성</v>
      </c>
      <c r="N85" s="176" t="str">
        <v>pa*****@gm</v>
      </c>
      <c r="O85" s="177" t="str">
        <v>0502-5213-9023</v>
      </c>
      <c r="P85" s="177">
        <v>45456</v>
      </c>
      <c r="Q85" s="176" t="str">
        <v>CJ대한통운</v>
      </c>
      <c r="R85" s="176" t="str">
        <v>540219665515</v>
      </c>
      <c r="S85" s="178">
        <v>0</v>
      </c>
      <c r="T85" s="176" t="str">
        <v>SE.206</v>
      </c>
      <c r="U85" s="176" t="str">
        <v>투명</v>
      </c>
      <c r="V85" s="176">
        <v>1</v>
      </c>
      <c r="W85" s="176" t="str">
        <v>김재성</v>
      </c>
      <c r="X85" s="176" t="str">
        <v>0502-5213-9023</v>
      </c>
      <c r="Y85" s="176">
        <v>0</v>
      </c>
      <c r="Z85" s="176" t="str">
        <v>서울특별시 동대문구 답십리동 1003 래미안위브 403동 1605호</v>
      </c>
      <c r="AA85" s="190" t="str">
        <v>직접 받고 부재 시 문 앞</v>
      </c>
      <c r="AB85" s="190">
        <v>0</v>
      </c>
      <c r="AC85" s="277">
        <v>0</v>
      </c>
      <c r="AD85" s="190">
        <v>34020</v>
      </c>
      <c r="AE85" s="190">
        <v>0</v>
      </c>
      <c r="AF85" s="190">
        <v>3000</v>
      </c>
      <c r="AG85" s="190">
        <v>3500</v>
      </c>
      <c r="AH85" s="190">
        <v>0</v>
      </c>
      <c r="AI85" s="190">
        <v>0</v>
      </c>
      <c r="AJ85" s="190">
        <v>0</v>
      </c>
      <c r="AK85" s="190" t="str">
        <v>떡롤 45*330</v>
      </c>
      <c r="AL85" s="190">
        <v>0</v>
      </c>
      <c r="AM85" s="173">
        <v>32130</v>
      </c>
      <c r="AN85" s="173">
        <v>19800</v>
      </c>
      <c r="AO85" s="206">
        <v>37020</v>
      </c>
      <c r="AP85" s="206">
        <v>23300</v>
      </c>
      <c r="AQ85" s="173">
        <v>4141</v>
      </c>
      <c r="AR85" s="173">
        <v>9579</v>
      </c>
      <c r="AS85" s="173">
        <v>0.25879999999999997</v>
      </c>
      <c r="AT85" s="173">
        <v>0</v>
      </c>
      <c r="AU85" s="173" t="str">
        <v>ptDB47</v>
      </c>
      <c r="AV85" s="173">
        <v>0</v>
      </c>
      <c r="AW85" s="173">
        <v>37020</v>
      </c>
      <c r="AX85" s="173">
        <v>23300</v>
      </c>
      <c r="AY85" s="173">
        <v>4141</v>
      </c>
      <c r="AZ85" s="173">
        <v>9579</v>
      </c>
      <c r="BA85" s="173">
        <v>0.25879999999999997</v>
      </c>
      <c r="BB85" s="173" t="str">
        <v/>
      </c>
      <c r="BC85" s="173">
        <v>0</v>
      </c>
      <c r="BD85" s="156">
        <v>19800</v>
      </c>
    </row>
    <row r="86" spans="8:56" ht="18" customHeight="1">
      <c r="H86" s="173">
        <v>153</v>
      </c>
      <c r="I86" s="156" t="str">
        <v>비닐스토리</v>
      </c>
      <c r="J86" s="177">
        <v>45455</v>
      </c>
      <c r="K86" s="176" t="str">
        <v>9100052625136</v>
      </c>
      <c r="L86" s="176" t="str">
        <v>쿠팡</v>
      </c>
      <c r="M86" s="176" t="str">
        <v>박광용</v>
      </c>
      <c r="N86" s="176" t="str">
        <v>p3*****@gm</v>
      </c>
      <c r="O86" s="177" t="str">
        <v>0502-4648-4892</v>
      </c>
      <c r="P86" s="177">
        <v>45456</v>
      </c>
      <c r="Q86" s="176" t="str">
        <v>CJ대한통운</v>
      </c>
      <c r="R86" s="176" t="str">
        <v>540219665526</v>
      </c>
      <c r="S86" s="178">
        <v>0</v>
      </c>
      <c r="T86" s="176" t="str">
        <v>SE.116</v>
      </c>
      <c r="U86" s="176" t="str">
        <v>투명</v>
      </c>
      <c r="V86" s="176">
        <v>2</v>
      </c>
      <c r="W86" s="176" t="str">
        <v>박광용</v>
      </c>
      <c r="X86" s="176" t="str">
        <v>0502-4648-4892</v>
      </c>
      <c r="Y86" s="176">
        <v>0</v>
      </c>
      <c r="Z86" s="176" t="str">
        <v>경상북도 구미시 문장로 54-11 경북구미시도량1동792~243 2층 ( 도량동 )</v>
      </c>
      <c r="AA86" s="190" t="str">
        <v>직접 받고 부재 시 문 앞</v>
      </c>
      <c r="AB86" s="190">
        <v>0</v>
      </c>
      <c r="AC86" s="277">
        <v>0</v>
      </c>
      <c r="AD86" s="190">
        <v>14440</v>
      </c>
      <c r="AE86" s="190">
        <v>0</v>
      </c>
      <c r="AF86" s="190">
        <v>3000</v>
      </c>
      <c r="AG86" s="190">
        <v>3000</v>
      </c>
      <c r="AH86" s="190">
        <v>0</v>
      </c>
      <c r="AI86" s="190">
        <v>0</v>
      </c>
      <c r="AJ86" s="190">
        <v>0</v>
      </c>
      <c r="AK86" s="190" t="str">
        <v>고추 120*170</v>
      </c>
      <c r="AL86" s="190">
        <v>0</v>
      </c>
      <c r="AM86" s="173">
        <v>6700</v>
      </c>
      <c r="AN86" s="173">
        <v>4125</v>
      </c>
      <c r="AO86" s="206">
        <v>17440</v>
      </c>
      <c r="AP86" s="206">
        <v>11250</v>
      </c>
      <c r="AQ86" s="173">
        <v>1814</v>
      </c>
      <c r="AR86" s="173">
        <v>4376</v>
      </c>
      <c r="AS86" s="173">
        <v>0.25090000000000001</v>
      </c>
      <c r="AT86" s="173">
        <v>0</v>
      </c>
      <c r="AU86" s="173" t="str">
        <v>ptDB47</v>
      </c>
      <c r="AV86" s="173">
        <v>0</v>
      </c>
      <c r="AW86" s="173">
        <v>17440</v>
      </c>
      <c r="AX86" s="173">
        <v>11250</v>
      </c>
      <c r="AY86" s="173">
        <v>1814</v>
      </c>
      <c r="AZ86" s="173">
        <v>4376</v>
      </c>
      <c r="BA86" s="173">
        <v>0.25090000000000001</v>
      </c>
      <c r="BB86" s="173" t="str">
        <v/>
      </c>
      <c r="BC86" s="173">
        <v>0</v>
      </c>
      <c r="BD86" s="156">
        <v>8250</v>
      </c>
    </row>
    <row r="87" spans="8:56" ht="18" customHeight="1">
      <c r="H87" s="173">
        <v>154</v>
      </c>
      <c r="I87" s="156" t="str">
        <v>비닐스토리</v>
      </c>
      <c r="J87" s="177">
        <v>45455</v>
      </c>
      <c r="K87" s="176" t="str">
        <v>19100052783568</v>
      </c>
      <c r="L87" s="176" t="str">
        <v>쿠팡</v>
      </c>
      <c r="M87" s="176" t="str">
        <v>김신</v>
      </c>
      <c r="N87" s="176" t="str">
        <v>rl*****@na</v>
      </c>
      <c r="O87" s="177" t="str">
        <v>0502-4800-4396</v>
      </c>
      <c r="P87" s="177">
        <v>45456</v>
      </c>
      <c r="Q87" s="176" t="str">
        <v>CJ대한통운</v>
      </c>
      <c r="R87" s="176" t="str">
        <v>530220762695</v>
      </c>
      <c r="S87" s="178">
        <v>0</v>
      </c>
      <c r="T87" s="176" t="str">
        <v>SE.206</v>
      </c>
      <c r="U87" s="176" t="str">
        <v>투명</v>
      </c>
      <c r="V87" s="176">
        <v>1</v>
      </c>
      <c r="W87" s="176" t="str">
        <v>김신</v>
      </c>
      <c r="X87" s="176" t="str">
        <v>0502-4800-4396</v>
      </c>
      <c r="Y87" s="176">
        <v>0</v>
      </c>
      <c r="Z87" s="176" t="str">
        <v>부산광역시 동래구 온천동 1850 동래 3차 SK VIEW 상가동 1층 138호 명성뒷고기</v>
      </c>
      <c r="AA87" s="190" t="str">
        <v>문 앞</v>
      </c>
      <c r="AB87" s="190">
        <v>0</v>
      </c>
      <c r="AC87" s="277">
        <v>0</v>
      </c>
      <c r="AD87" s="190">
        <v>34020</v>
      </c>
      <c r="AE87" s="190">
        <v>0</v>
      </c>
      <c r="AF87" s="190">
        <v>3000</v>
      </c>
      <c r="AG87" s="190">
        <v>3500</v>
      </c>
      <c r="AH87" s="190">
        <v>0</v>
      </c>
      <c r="AI87" s="190">
        <v>0</v>
      </c>
      <c r="AJ87" s="190">
        <v>0</v>
      </c>
      <c r="AK87" s="190" t="str">
        <v>떡롤 45*330</v>
      </c>
      <c r="AL87" s="190">
        <v>0</v>
      </c>
      <c r="AM87" s="173">
        <v>32130</v>
      </c>
      <c r="AN87" s="173">
        <v>19800</v>
      </c>
      <c r="AO87" s="206">
        <v>37020</v>
      </c>
      <c r="AP87" s="206">
        <v>23300</v>
      </c>
      <c r="AQ87" s="173">
        <v>4141</v>
      </c>
      <c r="AR87" s="173">
        <v>9579</v>
      </c>
      <c r="AS87" s="173">
        <v>0.25879999999999997</v>
      </c>
      <c r="AT87" s="173">
        <v>0</v>
      </c>
      <c r="AU87" s="173" t="str">
        <v>ptDB47</v>
      </c>
      <c r="AV87" s="173">
        <v>0</v>
      </c>
      <c r="AW87" s="173">
        <v>37020</v>
      </c>
      <c r="AX87" s="173">
        <v>23300</v>
      </c>
      <c r="AY87" s="173">
        <v>4141</v>
      </c>
      <c r="AZ87" s="173">
        <v>9579</v>
      </c>
      <c r="BA87" s="173">
        <v>0.25879999999999997</v>
      </c>
      <c r="BB87" s="173" t="str">
        <v/>
      </c>
      <c r="BC87" s="173">
        <v>0</v>
      </c>
      <c r="BD87" s="156">
        <v>19800</v>
      </c>
    </row>
    <row r="88" spans="8:56" ht="18" customHeight="1">
      <c r="H88" s="173">
        <v>155</v>
      </c>
      <c r="I88" s="156" t="str">
        <v>비닐스토리</v>
      </c>
      <c r="J88" s="177">
        <v>45455</v>
      </c>
      <c r="K88" s="176" t="str">
        <v>20100052706525</v>
      </c>
      <c r="L88" s="176" t="str">
        <v>쿠팡</v>
      </c>
      <c r="M88" s="176" t="str">
        <v>이민석</v>
      </c>
      <c r="N88" s="176" t="str">
        <v>lm*****@na</v>
      </c>
      <c r="O88" s="177" t="str">
        <v>0504-4373-2099</v>
      </c>
      <c r="P88" s="177">
        <v>45456</v>
      </c>
      <c r="Q88" s="176" t="str">
        <v>CJ대한통운</v>
      </c>
      <c r="R88" s="176" t="str">
        <v>540219665530</v>
      </c>
      <c r="S88" s="178">
        <v>0</v>
      </c>
      <c r="T88" s="176" t="str">
        <v>SE.101</v>
      </c>
      <c r="U88" s="176" t="str">
        <v>투명</v>
      </c>
      <c r="V88" s="176">
        <v>1</v>
      </c>
      <c r="W88" s="176" t="str">
        <v>이민석</v>
      </c>
      <c r="X88" s="176" t="str">
        <v>0504-4373-2099</v>
      </c>
      <c r="Y88" s="176">
        <v>0</v>
      </c>
      <c r="Z88" s="176" t="str">
        <v>부산광역시 금정구 청룡예전로 74 102동104호 ( 청룡동,경동아파트 )</v>
      </c>
      <c r="AA88" s="190" t="str">
        <v>문 앞</v>
      </c>
      <c r="AB88" s="190">
        <v>0</v>
      </c>
      <c r="AC88" s="277">
        <v>0</v>
      </c>
      <c r="AD88" s="190">
        <v>940</v>
      </c>
      <c r="AE88" s="190">
        <v>0</v>
      </c>
      <c r="AF88" s="190">
        <v>3000</v>
      </c>
      <c r="AG88" s="190">
        <v>3000</v>
      </c>
      <c r="AH88" s="190">
        <v>0</v>
      </c>
      <c r="AI88" s="190">
        <v>0</v>
      </c>
      <c r="AJ88" s="190">
        <v>0</v>
      </c>
      <c r="AK88" s="190" t="str">
        <v>소폭 10*26</v>
      </c>
      <c r="AL88" s="190">
        <v>0</v>
      </c>
      <c r="AM88" s="173">
        <v>890</v>
      </c>
      <c r="AN88" s="173">
        <v>550</v>
      </c>
      <c r="AO88" s="206">
        <v>3940</v>
      </c>
      <c r="AP88" s="206">
        <v>3550</v>
      </c>
      <c r="AQ88" s="173">
        <v>211</v>
      </c>
      <c r="AR88" s="173">
        <v>179</v>
      </c>
      <c r="AS88" s="173">
        <v>4.5400000000000003E-2</v>
      </c>
      <c r="AT88" s="173">
        <v>0</v>
      </c>
      <c r="AU88" s="173" t="str">
        <v>ptDB47</v>
      </c>
      <c r="AV88" s="173">
        <v>0</v>
      </c>
      <c r="AW88" s="173">
        <v>3940</v>
      </c>
      <c r="AX88" s="173">
        <v>3550</v>
      </c>
      <c r="AY88" s="173">
        <v>211</v>
      </c>
      <c r="AZ88" s="173">
        <v>179</v>
      </c>
      <c r="BA88" s="173">
        <v>4.5400000000000003E-2</v>
      </c>
      <c r="BB88" s="173" t="str">
        <v/>
      </c>
      <c r="BC88" s="173">
        <v>0</v>
      </c>
      <c r="BD88" s="156">
        <v>550</v>
      </c>
    </row>
    <row r="89" spans="8:56" ht="18" customHeight="1">
      <c r="H89" s="173">
        <v>156</v>
      </c>
      <c r="I89" s="156" t="str">
        <v>비닐스토리</v>
      </c>
      <c r="J89" s="177">
        <v>45455</v>
      </c>
      <c r="K89" s="176" t="str">
        <v>20100052706525</v>
      </c>
      <c r="L89" s="176" t="str">
        <v>쿠팡</v>
      </c>
      <c r="M89" s="176" t="str">
        <v>이민석</v>
      </c>
      <c r="N89" s="176" t="str">
        <v>lm*****@na</v>
      </c>
      <c r="O89" s="177" t="str">
        <v>0504-4373-2099</v>
      </c>
      <c r="P89" s="177">
        <v>45456</v>
      </c>
      <c r="Q89" s="176" t="str">
        <v>CJ대한통운</v>
      </c>
      <c r="R89" s="176" t="str">
        <v>540219665530</v>
      </c>
      <c r="S89" s="178">
        <v>0</v>
      </c>
      <c r="T89" s="176" t="str">
        <v>SE.103</v>
      </c>
      <c r="U89" s="176" t="str">
        <v>투명</v>
      </c>
      <c r="V89" s="176">
        <v>1</v>
      </c>
      <c r="W89" s="176" t="str">
        <v>이민석</v>
      </c>
      <c r="X89" s="176" t="str">
        <v>0504-4373-2099</v>
      </c>
      <c r="Y89" s="176">
        <v>0</v>
      </c>
      <c r="Z89" s="176" t="str">
        <v>부산광역시 금정구 청룡예전로 74 102동104호 ( 청룡동,경동아파트 )</v>
      </c>
      <c r="AA89" s="190" t="str">
        <v>문 앞</v>
      </c>
      <c r="AB89" s="190">
        <v>0</v>
      </c>
      <c r="AC89" s="277">
        <v>0</v>
      </c>
      <c r="AD89" s="190">
        <v>1690</v>
      </c>
      <c r="AE89" s="190">
        <v>190</v>
      </c>
      <c r="AF89" s="190">
        <v>0</v>
      </c>
      <c r="AG89" s="190">
        <v>0</v>
      </c>
      <c r="AH89" s="190">
        <v>0</v>
      </c>
      <c r="AI89" s="190">
        <v>0</v>
      </c>
      <c r="AJ89" s="190">
        <v>0</v>
      </c>
      <c r="AK89" s="190" t="str">
        <v>소폭 15*32</v>
      </c>
      <c r="AL89" s="190" t="str">
        <v>재구매</v>
      </c>
      <c r="AM89" s="173">
        <v>1790</v>
      </c>
      <c r="AN89" s="173">
        <v>1100</v>
      </c>
      <c r="AO89" s="206">
        <v>1690</v>
      </c>
      <c r="AP89" s="206">
        <v>1100</v>
      </c>
      <c r="AQ89" s="173">
        <v>201</v>
      </c>
      <c r="AR89" s="173">
        <v>389</v>
      </c>
      <c r="AS89" s="173">
        <v>0.23019999999999999</v>
      </c>
      <c r="AT89" s="173">
        <v>0</v>
      </c>
      <c r="AU89" s="173" t="str">
        <v>ptDB47</v>
      </c>
      <c r="AV89" s="173">
        <v>0</v>
      </c>
      <c r="AW89" s="173">
        <v>1690</v>
      </c>
      <c r="AX89" s="173">
        <v>1100</v>
      </c>
      <c r="AY89" s="173">
        <v>201</v>
      </c>
      <c r="AZ89" s="173">
        <v>389</v>
      </c>
      <c r="BA89" s="173">
        <v>0.23019999999999999</v>
      </c>
      <c r="BB89" s="173" t="str">
        <v/>
      </c>
      <c r="BC89" s="173">
        <v>0</v>
      </c>
      <c r="BD89" s="156">
        <v>1100</v>
      </c>
    </row>
    <row r="90" spans="8:56" ht="18" customHeight="1">
      <c r="H90" s="173">
        <v>157</v>
      </c>
      <c r="I90" s="156" t="str">
        <v>비닐스토리</v>
      </c>
      <c r="J90" s="177">
        <v>45455</v>
      </c>
      <c r="K90" s="176" t="str">
        <v>20100052706525</v>
      </c>
      <c r="L90" s="176" t="str">
        <v>쿠팡</v>
      </c>
      <c r="M90" s="176" t="str">
        <v>이민석</v>
      </c>
      <c r="N90" s="176" t="str">
        <v>lm*****@na</v>
      </c>
      <c r="O90" s="177" t="str">
        <v>0504-4373-2099</v>
      </c>
      <c r="P90" s="177">
        <v>45456</v>
      </c>
      <c r="Q90" s="176" t="str">
        <v>CJ대한통운</v>
      </c>
      <c r="R90" s="176" t="str">
        <v>540219665530</v>
      </c>
      <c r="S90" s="178">
        <v>0</v>
      </c>
      <c r="T90" s="176" t="str">
        <v>SE.105</v>
      </c>
      <c r="U90" s="176" t="str">
        <v>투명</v>
      </c>
      <c r="V90" s="176">
        <v>1</v>
      </c>
      <c r="W90" s="176" t="str">
        <v>이민석</v>
      </c>
      <c r="X90" s="176" t="str">
        <v>0504-4373-2099</v>
      </c>
      <c r="Y90" s="176">
        <v>0</v>
      </c>
      <c r="Z90" s="176" t="str">
        <v>부산광역시 금정구 청룡예전로 74 102동104호 ( 청룡동,경동아파트 )</v>
      </c>
      <c r="AA90" s="190" t="str">
        <v>문 앞</v>
      </c>
      <c r="AB90" s="190">
        <v>0</v>
      </c>
      <c r="AC90" s="277">
        <v>0</v>
      </c>
      <c r="AD90" s="190">
        <v>2440</v>
      </c>
      <c r="AE90" s="190">
        <v>440</v>
      </c>
      <c r="AF90" s="190">
        <v>0</v>
      </c>
      <c r="AG90" s="190">
        <v>0</v>
      </c>
      <c r="AH90" s="190">
        <v>0</v>
      </c>
      <c r="AI90" s="190">
        <v>0</v>
      </c>
      <c r="AJ90" s="190">
        <v>0</v>
      </c>
      <c r="AK90" s="190" t="str">
        <v>소폭 20*38</v>
      </c>
      <c r="AL90" s="190" t="str">
        <v>재구매</v>
      </c>
      <c r="AM90" s="173">
        <v>2680</v>
      </c>
      <c r="AN90" s="173">
        <v>1650</v>
      </c>
      <c r="AO90" s="206">
        <v>2440</v>
      </c>
      <c r="AP90" s="206">
        <v>1650</v>
      </c>
      <c r="AQ90" s="173">
        <v>290</v>
      </c>
      <c r="AR90" s="173">
        <v>500</v>
      </c>
      <c r="AS90" s="173">
        <v>0.2049</v>
      </c>
      <c r="AT90" s="173">
        <v>0</v>
      </c>
      <c r="AU90" s="173" t="str">
        <v>ptDB47</v>
      </c>
      <c r="AV90" s="173">
        <v>0</v>
      </c>
      <c r="AW90" s="173">
        <v>2440</v>
      </c>
      <c r="AX90" s="173">
        <v>1650</v>
      </c>
      <c r="AY90" s="173">
        <v>290</v>
      </c>
      <c r="AZ90" s="173">
        <v>500</v>
      </c>
      <c r="BA90" s="173">
        <v>0.2049</v>
      </c>
      <c r="BB90" s="173" t="str">
        <v/>
      </c>
      <c r="BC90" s="173">
        <v>0</v>
      </c>
      <c r="BD90" s="156">
        <v>1650</v>
      </c>
    </row>
    <row r="91" spans="8:56" ht="18" customHeight="1">
      <c r="H91" s="173">
        <v>158</v>
      </c>
      <c r="I91" s="156" t="str">
        <v>비닐스토리</v>
      </c>
      <c r="J91" s="177">
        <v>45455</v>
      </c>
      <c r="K91" s="176" t="str">
        <v>20100052706525</v>
      </c>
      <c r="L91" s="176" t="str">
        <v>쿠팡</v>
      </c>
      <c r="M91" s="176" t="str">
        <v>이민석</v>
      </c>
      <c r="N91" s="176" t="str">
        <v>lm*****@na</v>
      </c>
      <c r="O91" s="177" t="str">
        <v>0504-4373-2099</v>
      </c>
      <c r="P91" s="177">
        <v>45456</v>
      </c>
      <c r="Q91" s="176" t="str">
        <v>CJ대한통운</v>
      </c>
      <c r="R91" s="176" t="str">
        <v>540219665530</v>
      </c>
      <c r="S91" s="178">
        <v>0</v>
      </c>
      <c r="T91" s="176" t="str">
        <v>SE.102</v>
      </c>
      <c r="U91" s="176" t="str">
        <v>투명</v>
      </c>
      <c r="V91" s="176">
        <v>1</v>
      </c>
      <c r="W91" s="176" t="str">
        <v>이민석</v>
      </c>
      <c r="X91" s="176" t="str">
        <v>0504-4373-2099</v>
      </c>
      <c r="Y91" s="176">
        <v>0</v>
      </c>
      <c r="Z91" s="176" t="str">
        <v>부산광역시 금정구 청룡예전로 74 102동104호 ( 청룡동,경동아파트 )</v>
      </c>
      <c r="AA91" s="190" t="str">
        <v>문 앞</v>
      </c>
      <c r="AB91" s="190">
        <v>0</v>
      </c>
      <c r="AC91" s="277">
        <v>0</v>
      </c>
      <c r="AD91" s="190">
        <v>1150</v>
      </c>
      <c r="AE91" s="190">
        <v>0</v>
      </c>
      <c r="AF91" s="190">
        <v>0</v>
      </c>
      <c r="AG91" s="190">
        <v>0</v>
      </c>
      <c r="AH91" s="190">
        <v>0</v>
      </c>
      <c r="AI91" s="190">
        <v>0</v>
      </c>
      <c r="AJ91" s="190">
        <v>0</v>
      </c>
      <c r="AK91" s="190" t="str">
        <v>소폭 12*26</v>
      </c>
      <c r="AL91" s="190" t="str">
        <v>재구매</v>
      </c>
      <c r="AM91" s="173">
        <v>1070</v>
      </c>
      <c r="AN91" s="173">
        <v>660</v>
      </c>
      <c r="AO91" s="206">
        <v>1150</v>
      </c>
      <c r="AP91" s="206">
        <v>660</v>
      </c>
      <c r="AQ91" s="173">
        <v>137</v>
      </c>
      <c r="AR91" s="173">
        <v>353</v>
      </c>
      <c r="AS91" s="173">
        <v>0.307</v>
      </c>
      <c r="AT91" s="173">
        <v>0</v>
      </c>
      <c r="AU91" s="173" t="str">
        <v>ptDB47</v>
      </c>
      <c r="AV91" s="173">
        <v>0</v>
      </c>
      <c r="AW91" s="173">
        <v>1150</v>
      </c>
      <c r="AX91" s="173">
        <v>660</v>
      </c>
      <c r="AY91" s="173">
        <v>137</v>
      </c>
      <c r="AZ91" s="173">
        <v>353</v>
      </c>
      <c r="BA91" s="173">
        <v>0.307</v>
      </c>
      <c r="BB91" s="173" t="str">
        <v/>
      </c>
      <c r="BC91" s="173">
        <v>0</v>
      </c>
      <c r="BD91" s="156">
        <v>660</v>
      </c>
    </row>
    <row r="92" spans="8:56" ht="18" customHeight="1">
      <c r="H92" s="173">
        <v>159</v>
      </c>
      <c r="I92" s="156" t="str">
        <v>비닐스토리</v>
      </c>
      <c r="J92" s="177">
        <v>45455</v>
      </c>
      <c r="K92" s="176" t="str">
        <v>20100052706525</v>
      </c>
      <c r="L92" s="176" t="str">
        <v>쿠팡</v>
      </c>
      <c r="M92" s="176" t="str">
        <v>이민석</v>
      </c>
      <c r="N92" s="176" t="str">
        <v>lm*****@na</v>
      </c>
      <c r="O92" s="177" t="str">
        <v>0504-4373-2099</v>
      </c>
      <c r="P92" s="177">
        <v>45456</v>
      </c>
      <c r="Q92" s="176" t="str">
        <v>CJ대한통운</v>
      </c>
      <c r="R92" s="176" t="str">
        <v>540219665530</v>
      </c>
      <c r="S92" s="178">
        <v>0</v>
      </c>
      <c r="T92" s="176" t="str">
        <v>SE.104</v>
      </c>
      <c r="U92" s="176" t="str">
        <v>투명</v>
      </c>
      <c r="V92" s="176">
        <v>1</v>
      </c>
      <c r="W92" s="176" t="str">
        <v>이민석</v>
      </c>
      <c r="X92" s="176" t="str">
        <v>0504-4373-2099</v>
      </c>
      <c r="Y92" s="176">
        <v>0</v>
      </c>
      <c r="Z92" s="176" t="str">
        <v>부산광역시 금정구 청룡예전로 74 102동104호 ( 청룡동,경동아파트 )</v>
      </c>
      <c r="AA92" s="190" t="str">
        <v>문 앞</v>
      </c>
      <c r="AB92" s="190">
        <v>0</v>
      </c>
      <c r="AC92" s="277">
        <v>0</v>
      </c>
      <c r="AD92" s="190">
        <v>2570</v>
      </c>
      <c r="AE92" s="190">
        <v>140</v>
      </c>
      <c r="AF92" s="190">
        <v>0</v>
      </c>
      <c r="AG92" s="190">
        <v>0</v>
      </c>
      <c r="AH92" s="190">
        <v>0</v>
      </c>
      <c r="AI92" s="190">
        <v>0</v>
      </c>
      <c r="AJ92" s="190">
        <v>0</v>
      </c>
      <c r="AK92" s="190" t="str">
        <v>소폭 18*36</v>
      </c>
      <c r="AL92" s="190" t="str">
        <v>재구매</v>
      </c>
      <c r="AM92" s="173">
        <v>2320</v>
      </c>
      <c r="AN92" s="173">
        <v>1430</v>
      </c>
      <c r="AO92" s="206">
        <v>2570</v>
      </c>
      <c r="AP92" s="206">
        <v>1430</v>
      </c>
      <c r="AQ92" s="173">
        <v>305</v>
      </c>
      <c r="AR92" s="173">
        <v>835</v>
      </c>
      <c r="AS92" s="173">
        <v>0.32490000000000002</v>
      </c>
      <c r="AT92" s="173">
        <v>0</v>
      </c>
      <c r="AU92" s="173" t="str">
        <v>ptDB47</v>
      </c>
      <c r="AV92" s="173">
        <v>0</v>
      </c>
      <c r="AW92" s="173">
        <v>2570</v>
      </c>
      <c r="AX92" s="173">
        <v>1430</v>
      </c>
      <c r="AY92" s="173">
        <v>305</v>
      </c>
      <c r="AZ92" s="173">
        <v>835</v>
      </c>
      <c r="BA92" s="173">
        <v>0.32490000000000002</v>
      </c>
      <c r="BB92" s="173" t="str">
        <v/>
      </c>
      <c r="BC92" s="173">
        <v>0</v>
      </c>
      <c r="BD92" s="156">
        <v>1430</v>
      </c>
    </row>
    <row r="93" spans="8:56" ht="18" customHeight="1">
      <c r="H93" s="173">
        <v>160</v>
      </c>
      <c r="I93" s="156" t="str">
        <v>비닐스토리</v>
      </c>
      <c r="J93" s="177">
        <v>45455</v>
      </c>
      <c r="K93" s="176" t="str">
        <v>14100052791852</v>
      </c>
      <c r="L93" s="176" t="str">
        <v>쿠팡</v>
      </c>
      <c r="M93" s="176" t="str">
        <v>라세림</v>
      </c>
      <c r="N93" s="176" t="str">
        <v>no*****@ha</v>
      </c>
      <c r="O93" s="177" t="str">
        <v>0502-4197-5787</v>
      </c>
      <c r="P93" s="177">
        <v>45456</v>
      </c>
      <c r="Q93" s="176" t="str">
        <v>CJ대한통운</v>
      </c>
      <c r="R93" s="176" t="str">
        <v>540219665541</v>
      </c>
      <c r="S93" s="178">
        <v>0</v>
      </c>
      <c r="T93" s="176" t="str">
        <v>SE.101</v>
      </c>
      <c r="U93" s="176" t="str">
        <v>투명</v>
      </c>
      <c r="V93" s="176">
        <v>10</v>
      </c>
      <c r="W93" s="176" t="str">
        <v>라세림</v>
      </c>
      <c r="X93" s="176" t="str">
        <v>0502-4197-5787</v>
      </c>
      <c r="Y93" s="176">
        <v>0</v>
      </c>
      <c r="Z93" s="176" t="str">
        <v>경기도 과천시 중앙로 287 1층 미미짬뽕 ( 관문동 )</v>
      </c>
      <c r="AA93" s="190" t="str">
        <v>직접 받고 부재 시 문 앞</v>
      </c>
      <c r="AB93" s="190">
        <v>0</v>
      </c>
      <c r="AC93" s="277">
        <v>0</v>
      </c>
      <c r="AD93" s="190">
        <v>9400</v>
      </c>
      <c r="AE93" s="190">
        <v>0</v>
      </c>
      <c r="AF93" s="190">
        <v>3000</v>
      </c>
      <c r="AG93" s="190">
        <v>3000</v>
      </c>
      <c r="AH93" s="190">
        <v>0</v>
      </c>
      <c r="AI93" s="190">
        <v>0</v>
      </c>
      <c r="AJ93" s="190">
        <v>0</v>
      </c>
      <c r="AK93" s="190" t="str">
        <v>소폭 10*26</v>
      </c>
      <c r="AL93" s="190">
        <v>0</v>
      </c>
      <c r="AM93" s="173">
        <v>890</v>
      </c>
      <c r="AN93" s="173">
        <v>550</v>
      </c>
      <c r="AO93" s="206">
        <v>12400</v>
      </c>
      <c r="AP93" s="206">
        <v>8500</v>
      </c>
      <c r="AQ93" s="173">
        <v>1216</v>
      </c>
      <c r="AR93" s="173">
        <v>2684</v>
      </c>
      <c r="AS93" s="173">
        <v>0.2165</v>
      </c>
      <c r="AT93" s="173">
        <v>0</v>
      </c>
      <c r="AU93" s="173" t="str">
        <v>ptDB47</v>
      </c>
      <c r="AV93" s="173">
        <v>0</v>
      </c>
      <c r="AW93" s="173">
        <v>12400</v>
      </c>
      <c r="AX93" s="173">
        <v>8500</v>
      </c>
      <c r="AY93" s="173">
        <v>1216</v>
      </c>
      <c r="AZ93" s="173">
        <v>2684</v>
      </c>
      <c r="BA93" s="173">
        <v>0.2165</v>
      </c>
      <c r="BB93" s="173" t="str">
        <v/>
      </c>
      <c r="BC93" s="173">
        <v>0</v>
      </c>
      <c r="BD93" s="156">
        <v>5500</v>
      </c>
    </row>
    <row r="94" spans="8:56" ht="18" customHeight="1">
      <c r="H94" s="173">
        <v>161</v>
      </c>
      <c r="I94" s="156" t="str">
        <v>비닐스토리</v>
      </c>
      <c r="J94" s="177">
        <v>45455</v>
      </c>
      <c r="K94" s="176" t="str">
        <v>2024061227356571</v>
      </c>
      <c r="L94" s="176" t="str">
        <v>스마트 스토어</v>
      </c>
      <c r="M94" s="176" t="str">
        <v>박희용</v>
      </c>
      <c r="N94" s="176" t="str">
        <v>augu****</v>
      </c>
      <c r="O94" s="177" t="str">
        <v>010-4024-8302</v>
      </c>
      <c r="P94" s="177">
        <v>45456</v>
      </c>
      <c r="Q94" s="176" t="str">
        <v>CJ대한통운</v>
      </c>
      <c r="R94" s="176" t="str">
        <v>540219665563</v>
      </c>
      <c r="S94" s="178">
        <v>0</v>
      </c>
      <c r="T94" s="176" t="str">
        <v>SE.105</v>
      </c>
      <c r="U94" s="176" t="str">
        <v>투명</v>
      </c>
      <c r="V94" s="176">
        <v>3</v>
      </c>
      <c r="W94" s="176" t="str">
        <v>박희용</v>
      </c>
      <c r="X94" s="176" t="str">
        <v>010-4024-8302</v>
      </c>
      <c r="Y94" s="176" t="str">
        <v>031-254-7070</v>
      </c>
      <c r="Z94" s="176" t="str">
        <v>경기도 수원시 장안구 수성로339번길 9 (정자동 1층 강원칡냉면</v>
      </c>
      <c r="AA94" s="190">
        <v>0</v>
      </c>
      <c r="AB94" s="190">
        <v>0</v>
      </c>
      <c r="AC94" s="277">
        <v>0</v>
      </c>
      <c r="AD94" s="190">
        <v>8340</v>
      </c>
      <c r="AE94" s="190">
        <v>0</v>
      </c>
      <c r="AF94" s="190">
        <v>3000</v>
      </c>
      <c r="AG94" s="190">
        <v>3000</v>
      </c>
      <c r="AH94" s="190">
        <v>0</v>
      </c>
      <c r="AI94" s="190">
        <v>0</v>
      </c>
      <c r="AJ94" s="190">
        <v>0</v>
      </c>
      <c r="AK94" s="190" t="str">
        <v>소폭 20*38</v>
      </c>
      <c r="AL94" s="190">
        <v>0</v>
      </c>
      <c r="AM94" s="173">
        <v>2550</v>
      </c>
      <c r="AN94" s="173">
        <v>1650</v>
      </c>
      <c r="AO94" s="206">
        <v>11340</v>
      </c>
      <c r="AP94" s="206">
        <v>7950</v>
      </c>
      <c r="AQ94" s="173">
        <v>471</v>
      </c>
      <c r="AR94" s="173">
        <v>2919</v>
      </c>
      <c r="AS94" s="173">
        <v>0.25740000000000002</v>
      </c>
      <c r="AT94" s="173">
        <v>0</v>
      </c>
      <c r="AU94" s="173" t="str">
        <v>ptDB47</v>
      </c>
      <c r="AV94" s="173">
        <v>0</v>
      </c>
      <c r="AW94" s="173">
        <v>11340</v>
      </c>
      <c r="AX94" s="173">
        <v>7950</v>
      </c>
      <c r="AY94" s="173">
        <v>471</v>
      </c>
      <c r="AZ94" s="173">
        <v>2919</v>
      </c>
      <c r="BA94" s="173">
        <v>0.25740000000000002</v>
      </c>
      <c r="BB94" s="173" t="str">
        <v/>
      </c>
      <c r="BC94" s="173">
        <v>0</v>
      </c>
      <c r="BD94" s="156">
        <v>4950</v>
      </c>
    </row>
    <row r="95" spans="8:56" ht="18" customHeight="1">
      <c r="H95" s="173">
        <v>162</v>
      </c>
      <c r="I95" s="156" t="str">
        <v>비닐스토리</v>
      </c>
      <c r="J95" s="177">
        <v>45455</v>
      </c>
      <c r="K95" s="176" t="str">
        <v>2024061224945501</v>
      </c>
      <c r="L95" s="176" t="str">
        <v>스마트 스토어</v>
      </c>
      <c r="M95" s="176" t="str">
        <v>박순애</v>
      </c>
      <c r="N95" s="176" t="str">
        <v>hank****</v>
      </c>
      <c r="O95" s="177" t="str">
        <v>010-2657-1049</v>
      </c>
      <c r="P95" s="177">
        <v>45456</v>
      </c>
      <c r="Q95" s="176" t="str">
        <v>CJ대한통운</v>
      </c>
      <c r="R95" s="176" t="str">
        <v>540219665596</v>
      </c>
      <c r="S95" s="178">
        <v>0</v>
      </c>
      <c r="T95" s="176" t="str">
        <v>SE.304</v>
      </c>
      <c r="U95" s="176" t="str">
        <v>투명</v>
      </c>
      <c r="V95" s="176">
        <v>3</v>
      </c>
      <c r="W95" s="176" t="str">
        <v>담양한과</v>
      </c>
      <c r="X95" s="176" t="str">
        <v>061-383-8283</v>
      </c>
      <c r="Y95" s="176">
        <v>0</v>
      </c>
      <c r="Z95" s="176" t="str">
        <v>전라남도 담양군 창평면 창평현로 714-36 (창평면) .</v>
      </c>
      <c r="AA95" s="190">
        <v>0</v>
      </c>
      <c r="AB95" s="190">
        <v>0</v>
      </c>
      <c r="AC95" s="277">
        <v>0</v>
      </c>
      <c r="AD95" s="190">
        <v>41310</v>
      </c>
      <c r="AE95" s="190">
        <v>4590</v>
      </c>
      <c r="AF95" s="190">
        <v>0</v>
      </c>
      <c r="AG95" s="190">
        <v>3500</v>
      </c>
      <c r="AH95" s="190">
        <v>0</v>
      </c>
      <c r="AI95" s="190">
        <v>0</v>
      </c>
      <c r="AJ95" s="190">
        <v>0</v>
      </c>
      <c r="AK95" s="190" t="str">
        <v>떡외겹 30*38</v>
      </c>
      <c r="AL95" s="190">
        <v>0</v>
      </c>
      <c r="AM95" s="173">
        <v>14450</v>
      </c>
      <c r="AN95" s="173">
        <v>9350</v>
      </c>
      <c r="AO95" s="206">
        <v>41310</v>
      </c>
      <c r="AP95" s="206">
        <v>31550</v>
      </c>
      <c r="AQ95" s="173">
        <v>1724</v>
      </c>
      <c r="AR95" s="173">
        <v>8036</v>
      </c>
      <c r="AS95" s="173">
        <v>0.19450000000000001</v>
      </c>
      <c r="AT95" s="173">
        <v>0</v>
      </c>
      <c r="AU95" s="173" t="str">
        <v>ptDB47</v>
      </c>
      <c r="AV95" s="173">
        <v>0</v>
      </c>
      <c r="AW95" s="173">
        <v>41310</v>
      </c>
      <c r="AX95" s="173">
        <v>31550</v>
      </c>
      <c r="AY95" s="173">
        <v>1724</v>
      </c>
      <c r="AZ95" s="173">
        <v>8036</v>
      </c>
      <c r="BA95" s="173">
        <v>0.19450000000000001</v>
      </c>
      <c r="BB95" s="173" t="str">
        <v/>
      </c>
      <c r="BC95" s="173">
        <v>0</v>
      </c>
      <c r="BD95" s="156">
        <v>28050</v>
      </c>
    </row>
    <row r="96" spans="8:56" ht="18" customHeight="1">
      <c r="H96" s="173">
        <v>163</v>
      </c>
      <c r="I96" s="156" t="str">
        <v>비닐스토리</v>
      </c>
      <c r="J96" s="177">
        <v>45455</v>
      </c>
      <c r="K96" s="176" t="str">
        <v>2024061218576421</v>
      </c>
      <c r="L96" s="176" t="str">
        <v>스마트 스토어</v>
      </c>
      <c r="M96" s="176" t="str">
        <v>황중섭</v>
      </c>
      <c r="N96" s="176" t="str">
        <v>poha****</v>
      </c>
      <c r="O96" s="177" t="str">
        <v>010-7631-2233</v>
      </c>
      <c r="P96" s="177">
        <v>45456</v>
      </c>
      <c r="Q96" s="176" t="str">
        <v>CJ대한통운</v>
      </c>
      <c r="R96" s="176" t="str">
        <v>540219665574</v>
      </c>
      <c r="S96" s="178">
        <v>0</v>
      </c>
      <c r="T96" s="176" t="str">
        <v>SE.202</v>
      </c>
      <c r="U96" s="176" t="str">
        <v>투명</v>
      </c>
      <c r="V96" s="176">
        <v>1</v>
      </c>
      <c r="W96" s="176" t="str">
        <v>황중섭</v>
      </c>
      <c r="X96" s="176" t="str">
        <v>010-7631-2233</v>
      </c>
      <c r="Y96" s="176">
        <v>0</v>
      </c>
      <c r="Z96" s="176" t="str">
        <v>경상북도 영천시 영화로 340-1 (조교동) 2층 돈꿉자</v>
      </c>
      <c r="AA96" s="190">
        <v>0</v>
      </c>
      <c r="AB96" s="190">
        <v>0</v>
      </c>
      <c r="AC96" s="277">
        <v>0</v>
      </c>
      <c r="AD96" s="190">
        <v>16200</v>
      </c>
      <c r="AE96" s="190">
        <v>1800</v>
      </c>
      <c r="AF96" s="190">
        <v>3000</v>
      </c>
      <c r="AG96" s="190">
        <v>3000</v>
      </c>
      <c r="AH96" s="190">
        <v>0</v>
      </c>
      <c r="AI96" s="190">
        <v>0</v>
      </c>
      <c r="AJ96" s="190">
        <v>0</v>
      </c>
      <c r="AK96" s="190" t="str">
        <v>떡롤 22*400</v>
      </c>
      <c r="AL96" s="190">
        <v>0</v>
      </c>
      <c r="AM96" s="173">
        <v>17000</v>
      </c>
      <c r="AN96" s="173">
        <v>11000</v>
      </c>
      <c r="AO96" s="206">
        <v>19200</v>
      </c>
      <c r="AP96" s="206">
        <v>14000</v>
      </c>
      <c r="AQ96" s="173">
        <v>784</v>
      </c>
      <c r="AR96" s="173">
        <v>4416</v>
      </c>
      <c r="AS96" s="173">
        <v>0.23</v>
      </c>
      <c r="AT96" s="173">
        <v>0</v>
      </c>
      <c r="AU96" s="173" t="str">
        <v>ptDB47</v>
      </c>
      <c r="AV96" s="173">
        <v>0</v>
      </c>
      <c r="AW96" s="173">
        <v>19200</v>
      </c>
      <c r="AX96" s="173">
        <v>14000</v>
      </c>
      <c r="AY96" s="173">
        <v>784</v>
      </c>
      <c r="AZ96" s="173">
        <v>4416</v>
      </c>
      <c r="BA96" s="173">
        <v>0.23</v>
      </c>
      <c r="BB96" s="173" t="str">
        <v/>
      </c>
      <c r="BC96" s="173">
        <v>0</v>
      </c>
      <c r="BD96" s="156">
        <v>11000</v>
      </c>
    </row>
    <row r="97" spans="8:56" ht="18" customHeight="1">
      <c r="H97" s="173">
        <v>168</v>
      </c>
      <c r="I97" s="156" t="str">
        <v>비닐스토리</v>
      </c>
      <c r="J97" s="177">
        <v>45456</v>
      </c>
      <c r="K97" s="176" t="str">
        <v>15100052913982</v>
      </c>
      <c r="L97" s="176" t="str">
        <v>쿠팡</v>
      </c>
      <c r="M97" s="176" t="str">
        <v>이혜원</v>
      </c>
      <c r="N97" s="176" t="str">
        <v>pt*****@na</v>
      </c>
      <c r="O97" s="177" t="str">
        <v>0502-1243-1345</v>
      </c>
      <c r="P97" s="177">
        <v>45457</v>
      </c>
      <c r="Q97" s="176" t="str">
        <v>CJ대한통운</v>
      </c>
      <c r="R97" s="176" t="str">
        <v>530221956313</v>
      </c>
      <c r="S97" s="178">
        <v>0</v>
      </c>
      <c r="T97" s="176" t="str">
        <v>SE.206</v>
      </c>
      <c r="U97" s="176" t="str">
        <v>투명</v>
      </c>
      <c r="V97" s="176">
        <v>1</v>
      </c>
      <c r="W97" s="176" t="str">
        <v>이혜원</v>
      </c>
      <c r="X97" s="176" t="str">
        <v>0502-1243-1345</v>
      </c>
      <c r="Y97" s="176">
        <v>0</v>
      </c>
      <c r="Z97" s="176" t="str">
        <v>경기도 안양시 만안구 안양로 307 금상타워 9층 더원바리스타제과제빵학원 ( 안양동 )</v>
      </c>
      <c r="AA97" s="190" t="str">
        <v>문 앞</v>
      </c>
      <c r="AB97" s="190">
        <v>0</v>
      </c>
      <c r="AC97" s="277">
        <v>0</v>
      </c>
      <c r="AD97" s="190">
        <v>34020</v>
      </c>
      <c r="AE97" s="190">
        <v>0</v>
      </c>
      <c r="AF97" s="190">
        <v>3000</v>
      </c>
      <c r="AG97" s="190">
        <v>3500</v>
      </c>
      <c r="AH97" s="190">
        <v>0</v>
      </c>
      <c r="AI97" s="190">
        <v>0</v>
      </c>
      <c r="AJ97" s="190">
        <v>0</v>
      </c>
      <c r="AK97" s="190" t="str">
        <v>떡롤 45*330</v>
      </c>
      <c r="AL97" s="190">
        <v>0</v>
      </c>
      <c r="AM97" s="173">
        <v>32130</v>
      </c>
      <c r="AN97" s="173">
        <v>19800</v>
      </c>
      <c r="AO97" s="206">
        <v>37020</v>
      </c>
      <c r="AP97" s="206">
        <v>23300</v>
      </c>
      <c r="AQ97" s="173">
        <v>4141</v>
      </c>
      <c r="AR97" s="173">
        <v>9579</v>
      </c>
      <c r="AS97" s="173">
        <v>0.25879999999999997</v>
      </c>
      <c r="AT97" s="173">
        <v>0</v>
      </c>
      <c r="AU97" s="173" t="str">
        <v>ptDB47</v>
      </c>
      <c r="AV97" s="173">
        <v>0</v>
      </c>
      <c r="AW97" s="173">
        <v>37020</v>
      </c>
      <c r="AX97" s="173">
        <v>23300</v>
      </c>
      <c r="AY97" s="173">
        <v>4141</v>
      </c>
      <c r="AZ97" s="173">
        <v>9579</v>
      </c>
      <c r="BA97" s="173">
        <v>0.25879999999999997</v>
      </c>
      <c r="BB97" s="173" t="str">
        <v/>
      </c>
      <c r="BC97" s="173">
        <v>0</v>
      </c>
      <c r="BD97" s="156">
        <v>19800</v>
      </c>
    </row>
    <row r="98" spans="8:56" ht="18" customHeight="1">
      <c r="H98" s="173">
        <v>169</v>
      </c>
      <c r="I98" s="156" t="str">
        <v>비닐스토리</v>
      </c>
      <c r="J98" s="177">
        <v>45456</v>
      </c>
      <c r="K98" s="176" t="str">
        <v>3100053050540</v>
      </c>
      <c r="L98" s="176" t="str">
        <v>쿠팡</v>
      </c>
      <c r="M98" s="176" t="str">
        <v>이경근</v>
      </c>
      <c r="N98" s="176" t="str">
        <v>ru*****@na</v>
      </c>
      <c r="O98" s="177" t="str">
        <v>0502-4691-6905</v>
      </c>
      <c r="P98" s="177">
        <v>45457</v>
      </c>
      <c r="Q98" s="176" t="str">
        <v>CJ대한통운</v>
      </c>
      <c r="R98" s="176" t="str">
        <v>530221956405</v>
      </c>
      <c r="S98" s="178">
        <v>0</v>
      </c>
      <c r="T98" s="176" t="str">
        <v>SE.137</v>
      </c>
      <c r="U98" s="176" t="str">
        <v>투명</v>
      </c>
      <c r="V98" s="176">
        <v>8</v>
      </c>
      <c r="W98" s="176" t="str">
        <v>이경근</v>
      </c>
      <c r="X98" s="176" t="str">
        <v>0502-4691-6905</v>
      </c>
      <c r="Y98" s="176">
        <v>0</v>
      </c>
      <c r="Z98" s="176" t="str">
        <v>인천광역시 남동구 문화서로4번길 25-4 보노통닭 ( 구월동 )</v>
      </c>
      <c r="AA98" s="190" t="str">
        <v>문 앞</v>
      </c>
      <c r="AB98" s="190">
        <v>0</v>
      </c>
      <c r="AC98" s="277">
        <v>0</v>
      </c>
      <c r="AD98" s="190">
        <v>13440</v>
      </c>
      <c r="AE98" s="190">
        <v>0</v>
      </c>
      <c r="AF98" s="190">
        <v>0</v>
      </c>
      <c r="AG98" s="190">
        <v>3500</v>
      </c>
      <c r="AH98" s="190">
        <v>0</v>
      </c>
      <c r="AI98" s="190">
        <v>0</v>
      </c>
      <c r="AJ98" s="190">
        <v>0</v>
      </c>
      <c r="AK98" s="190" t="str">
        <v>끈속지 25*35</v>
      </c>
      <c r="AL98" s="190">
        <v>0</v>
      </c>
      <c r="AM98" s="173">
        <v>1300</v>
      </c>
      <c r="AN98" s="173">
        <v>880</v>
      </c>
      <c r="AO98" s="206">
        <v>13440</v>
      </c>
      <c r="AP98" s="206">
        <v>10540</v>
      </c>
      <c r="AQ98" s="173">
        <v>1597</v>
      </c>
      <c r="AR98" s="173">
        <v>1303</v>
      </c>
      <c r="AS98" s="173">
        <v>9.69E-2</v>
      </c>
      <c r="AT98" s="173">
        <v>0</v>
      </c>
      <c r="AU98" s="173" t="str">
        <v>ptDB47</v>
      </c>
      <c r="AV98" s="173">
        <v>0</v>
      </c>
      <c r="AW98" s="173">
        <v>13440</v>
      </c>
      <c r="AX98" s="173">
        <v>10540</v>
      </c>
      <c r="AY98" s="173">
        <v>1597</v>
      </c>
      <c r="AZ98" s="173">
        <v>1303</v>
      </c>
      <c r="BA98" s="173">
        <v>9.69E-2</v>
      </c>
      <c r="BB98" s="173" t="str">
        <v/>
      </c>
      <c r="BC98" s="173">
        <v>0</v>
      </c>
      <c r="BD98" s="156">
        <v>7040</v>
      </c>
    </row>
    <row r="99" spans="8:56" ht="18" customHeight="1">
      <c r="H99" s="173">
        <v>170</v>
      </c>
      <c r="I99" s="156" t="str">
        <v>비닐스토리</v>
      </c>
      <c r="J99" s="177">
        <v>45456</v>
      </c>
      <c r="K99" s="176" t="str">
        <v>3100053050540</v>
      </c>
      <c r="L99" s="176" t="str">
        <v>쿠팡</v>
      </c>
      <c r="M99" s="176" t="str">
        <v>이경근</v>
      </c>
      <c r="N99" s="176" t="str">
        <v>ru*****@na</v>
      </c>
      <c r="O99" s="177" t="str">
        <v>0502-4691-6905</v>
      </c>
      <c r="P99" s="177">
        <v>45457</v>
      </c>
      <c r="Q99" s="176" t="str">
        <v>CJ대한통운</v>
      </c>
      <c r="R99" s="176" t="str">
        <v>530221956405</v>
      </c>
      <c r="S99" s="178">
        <v>0</v>
      </c>
      <c r="T99" s="176" t="str">
        <v>SE.5</v>
      </c>
      <c r="U99" s="176" t="str">
        <v>투명</v>
      </c>
      <c r="V99" s="176">
        <v>6</v>
      </c>
      <c r="W99" s="176" t="str">
        <v>이경근</v>
      </c>
      <c r="X99" s="176" t="str">
        <v>0502-4691-6905</v>
      </c>
      <c r="Y99" s="176">
        <v>0</v>
      </c>
      <c r="Z99" s="176" t="str">
        <v>인천광역시 남동구 문화서로4번길 25-4 보노통닭 ( 구월동 )</v>
      </c>
      <c r="AA99" s="190" t="str">
        <v>문 앞</v>
      </c>
      <c r="AB99" s="190">
        <v>0</v>
      </c>
      <c r="AC99" s="277">
        <v>0</v>
      </c>
      <c r="AD99" s="190">
        <v>11280</v>
      </c>
      <c r="AE99" s="190">
        <v>1260</v>
      </c>
      <c r="AF99" s="190">
        <v>0</v>
      </c>
      <c r="AG99" s="190">
        <v>0</v>
      </c>
      <c r="AH99" s="190">
        <v>0</v>
      </c>
      <c r="AI99" s="190">
        <v>0</v>
      </c>
      <c r="AJ99" s="190">
        <v>0</v>
      </c>
      <c r="AK99" s="190" t="str">
        <v>대A</v>
      </c>
      <c r="AL99" s="190" t="str">
        <v>재구매</v>
      </c>
      <c r="AM99" s="173">
        <v>2000</v>
      </c>
      <c r="AN99" s="173">
        <v>1210</v>
      </c>
      <c r="AO99" s="206">
        <v>11280</v>
      </c>
      <c r="AP99" s="206">
        <v>7260</v>
      </c>
      <c r="AQ99" s="173">
        <v>1340</v>
      </c>
      <c r="AR99" s="173">
        <v>2680</v>
      </c>
      <c r="AS99" s="173">
        <v>0.23760000000000001</v>
      </c>
      <c r="AT99" s="173">
        <v>0</v>
      </c>
      <c r="AU99" s="173" t="str">
        <v>ptDB47</v>
      </c>
      <c r="AV99" s="173">
        <v>0</v>
      </c>
      <c r="AW99" s="173">
        <v>11280</v>
      </c>
      <c r="AX99" s="173">
        <v>7260</v>
      </c>
      <c r="AY99" s="173">
        <v>1340</v>
      </c>
      <c r="AZ99" s="173">
        <v>2680</v>
      </c>
      <c r="BA99" s="173">
        <v>0.23760000000000001</v>
      </c>
      <c r="BB99" s="173" t="str">
        <v/>
      </c>
      <c r="BC99" s="173">
        <v>0</v>
      </c>
      <c r="BD99" s="156">
        <v>7260</v>
      </c>
    </row>
    <row r="100" spans="8:56" ht="18" customHeight="1">
      <c r="H100" s="173">
        <v>171</v>
      </c>
      <c r="I100" s="156" t="str">
        <v>비닐스토리</v>
      </c>
      <c r="J100" s="177">
        <v>45456</v>
      </c>
      <c r="K100" s="176" t="str">
        <v>3100053050540</v>
      </c>
      <c r="L100" s="176" t="str">
        <v>쿠팡</v>
      </c>
      <c r="M100" s="176" t="str">
        <v>이경근</v>
      </c>
      <c r="N100" s="176" t="str">
        <v>ru*****@na</v>
      </c>
      <c r="O100" s="177" t="str">
        <v>0502-4691-6905</v>
      </c>
      <c r="P100" s="177">
        <v>45457</v>
      </c>
      <c r="Q100" s="176" t="str">
        <v>CJ대한통운</v>
      </c>
      <c r="R100" s="176" t="str">
        <v>530221956405</v>
      </c>
      <c r="S100" s="178">
        <v>0</v>
      </c>
      <c r="T100" s="176" t="str">
        <v>SE.102</v>
      </c>
      <c r="U100" s="176" t="str">
        <v>투명</v>
      </c>
      <c r="V100" s="176">
        <v>9</v>
      </c>
      <c r="W100" s="176" t="str">
        <v>이경근</v>
      </c>
      <c r="X100" s="176" t="str">
        <v>0502-4691-6905</v>
      </c>
      <c r="Y100" s="176">
        <v>0</v>
      </c>
      <c r="Z100" s="176" t="str">
        <v>인천광역시 남동구 문화서로4번길 25-4 보노통닭 ( 구월동 )</v>
      </c>
      <c r="AA100" s="190" t="str">
        <v>문 앞</v>
      </c>
      <c r="AB100" s="190">
        <v>0</v>
      </c>
      <c r="AC100" s="277">
        <v>0</v>
      </c>
      <c r="AD100" s="190">
        <v>10350</v>
      </c>
      <c r="AE100" s="190">
        <v>0</v>
      </c>
      <c r="AF100" s="190">
        <v>0</v>
      </c>
      <c r="AG100" s="190">
        <v>0</v>
      </c>
      <c r="AH100" s="190">
        <v>0</v>
      </c>
      <c r="AI100" s="190">
        <v>0</v>
      </c>
      <c r="AJ100" s="190">
        <v>0</v>
      </c>
      <c r="AK100" s="190" t="str">
        <v>소폭 12*26</v>
      </c>
      <c r="AL100" s="190" t="str">
        <v>재구매</v>
      </c>
      <c r="AM100" s="173">
        <v>1070</v>
      </c>
      <c r="AN100" s="173">
        <v>660</v>
      </c>
      <c r="AO100" s="206">
        <v>10350</v>
      </c>
      <c r="AP100" s="206">
        <v>5940</v>
      </c>
      <c r="AQ100" s="173">
        <v>1230</v>
      </c>
      <c r="AR100" s="173">
        <v>3180</v>
      </c>
      <c r="AS100" s="173">
        <v>0.30719999999999997</v>
      </c>
      <c r="AT100" s="173">
        <v>0</v>
      </c>
      <c r="AU100" s="173" t="str">
        <v>ptDB47</v>
      </c>
      <c r="AV100" s="173">
        <v>0</v>
      </c>
      <c r="AW100" s="173">
        <v>10350</v>
      </c>
      <c r="AX100" s="173">
        <v>5940</v>
      </c>
      <c r="AY100" s="173">
        <v>1230</v>
      </c>
      <c r="AZ100" s="173">
        <v>3180</v>
      </c>
      <c r="BA100" s="173">
        <v>0.30719999999999997</v>
      </c>
      <c r="BB100" s="173" t="str">
        <v/>
      </c>
      <c r="BC100" s="173">
        <v>0</v>
      </c>
      <c r="BD100" s="156">
        <v>5940</v>
      </c>
    </row>
    <row r="101" spans="8:56" ht="18" customHeight="1">
      <c r="H101" s="173">
        <v>172</v>
      </c>
      <c r="I101" s="156" t="str">
        <v>비닐스토리</v>
      </c>
      <c r="J101" s="177">
        <v>45456</v>
      </c>
      <c r="K101" s="176" t="str">
        <v>5100052864365</v>
      </c>
      <c r="L101" s="176" t="str">
        <v>쿠팡</v>
      </c>
      <c r="M101" s="176" t="str">
        <v>김창우</v>
      </c>
      <c r="N101" s="176" t="str">
        <v>vu*****@na</v>
      </c>
      <c r="O101" s="177" t="str">
        <v>0504-4976-4213</v>
      </c>
      <c r="P101" s="177">
        <v>45457</v>
      </c>
      <c r="Q101" s="176" t="str">
        <v>CJ대한통운</v>
      </c>
      <c r="R101" s="176" t="str">
        <v>530221956324</v>
      </c>
      <c r="S101" s="178">
        <v>0</v>
      </c>
      <c r="T101" s="176" t="str">
        <v>SE.103</v>
      </c>
      <c r="U101" s="176" t="str">
        <v>투명</v>
      </c>
      <c r="V101" s="176">
        <v>10</v>
      </c>
      <c r="W101" s="176" t="str">
        <v>아시아마트</v>
      </c>
      <c r="X101" s="176" t="str">
        <v>0504-4976-4213</v>
      </c>
      <c r="Y101" s="176">
        <v>0</v>
      </c>
      <c r="Z101" s="176" t="str">
        <v>경상남도 창녕군 남지읍 동포옛길 13 경상남도 창녕군 남지읍 동포옛 길13</v>
      </c>
      <c r="AA101" s="190" t="str">
        <v>문 앞</v>
      </c>
      <c r="AB101" s="190">
        <v>0</v>
      </c>
      <c r="AC101" s="277">
        <v>0</v>
      </c>
      <c r="AD101" s="190">
        <v>16900</v>
      </c>
      <c r="AE101" s="190">
        <v>1900</v>
      </c>
      <c r="AF101" s="190">
        <v>0</v>
      </c>
      <c r="AG101" s="190">
        <v>3000</v>
      </c>
      <c r="AH101" s="190">
        <v>0</v>
      </c>
      <c r="AI101" s="190">
        <v>0</v>
      </c>
      <c r="AJ101" s="190">
        <v>0</v>
      </c>
      <c r="AK101" s="190" t="str">
        <v>소폭 15*32</v>
      </c>
      <c r="AL101" s="190">
        <v>0</v>
      </c>
      <c r="AM101" s="173">
        <v>1790</v>
      </c>
      <c r="AN101" s="173">
        <v>1100</v>
      </c>
      <c r="AO101" s="206">
        <v>16900</v>
      </c>
      <c r="AP101" s="206">
        <v>14000</v>
      </c>
      <c r="AQ101" s="173">
        <v>2008</v>
      </c>
      <c r="AR101" s="173">
        <v>892</v>
      </c>
      <c r="AS101" s="173">
        <v>5.28E-2</v>
      </c>
      <c r="AT101" s="173">
        <v>0</v>
      </c>
      <c r="AU101" s="173" t="str">
        <v>ptDB47</v>
      </c>
      <c r="AV101" s="173">
        <v>0</v>
      </c>
      <c r="AW101" s="173">
        <v>16900</v>
      </c>
      <c r="AX101" s="173">
        <v>14000</v>
      </c>
      <c r="AY101" s="173">
        <v>2008</v>
      </c>
      <c r="AZ101" s="173">
        <v>892</v>
      </c>
      <c r="BA101" s="173">
        <v>5.28E-2</v>
      </c>
      <c r="BB101" s="173" t="str">
        <v/>
      </c>
      <c r="BC101" s="173">
        <v>0</v>
      </c>
      <c r="BD101" s="156">
        <v>11000</v>
      </c>
    </row>
    <row r="102" spans="8:56" ht="18" customHeight="1">
      <c r="H102" s="173">
        <v>173</v>
      </c>
      <c r="I102" s="156" t="str">
        <v>비닐스토리</v>
      </c>
      <c r="J102" s="177">
        <v>45457</v>
      </c>
      <c r="K102" s="176" t="str">
        <v>1100052867012</v>
      </c>
      <c r="L102" s="176" t="str">
        <v>쿠팡</v>
      </c>
      <c r="M102" s="176" t="str">
        <v>김명석</v>
      </c>
      <c r="N102" s="176" t="str">
        <v>gm*****@na</v>
      </c>
      <c r="O102" s="177" t="str">
        <v>0502-1771-0620</v>
      </c>
      <c r="P102" s="177">
        <v>45457</v>
      </c>
      <c r="Q102" s="176" t="str">
        <v>CJ대한통운</v>
      </c>
      <c r="R102" s="176" t="str">
        <v>530221956346</v>
      </c>
      <c r="S102" s="178">
        <v>0</v>
      </c>
      <c r="T102" s="176" t="str">
        <v>SE.114</v>
      </c>
      <c r="U102" s="176" t="str">
        <v>투명</v>
      </c>
      <c r="V102" s="176">
        <v>3</v>
      </c>
      <c r="W102" s="176" t="str">
        <v>김명석</v>
      </c>
      <c r="X102" s="176" t="str">
        <v>0502-1771-0620</v>
      </c>
      <c r="Y102" s="176">
        <v>0</v>
      </c>
      <c r="Z102" s="176" t="str">
        <v>경기도 성남시 중원구 상대원동 333-7 금강펜테리움IT타워 B동 702호</v>
      </c>
      <c r="AA102" s="190" t="str">
        <v>문 앞</v>
      </c>
      <c r="AB102" s="190">
        <v>0</v>
      </c>
      <c r="AC102" s="277">
        <v>0</v>
      </c>
      <c r="AD102" s="190">
        <v>20400</v>
      </c>
      <c r="AE102" s="190">
        <v>0</v>
      </c>
      <c r="AF102" s="190">
        <v>0</v>
      </c>
      <c r="AG102" s="190">
        <v>3500</v>
      </c>
      <c r="AH102" s="190">
        <v>0</v>
      </c>
      <c r="AI102" s="190">
        <v>0</v>
      </c>
      <c r="AJ102" s="190">
        <v>0</v>
      </c>
      <c r="AK102" s="190" t="str">
        <v>고추 90*130</v>
      </c>
      <c r="AL102" s="190">
        <v>0</v>
      </c>
      <c r="AM102" s="173">
        <v>6430</v>
      </c>
      <c r="AN102" s="173">
        <v>3960</v>
      </c>
      <c r="AO102" s="206">
        <v>20400</v>
      </c>
      <c r="AP102" s="206">
        <v>15380</v>
      </c>
      <c r="AQ102" s="173">
        <v>2424</v>
      </c>
      <c r="AR102" s="173">
        <v>2596</v>
      </c>
      <c r="AS102" s="173">
        <v>0.1273</v>
      </c>
      <c r="AT102" s="173">
        <v>0</v>
      </c>
      <c r="AU102" s="173" t="str">
        <v>ptDB47</v>
      </c>
      <c r="AV102" s="173">
        <v>0</v>
      </c>
      <c r="AW102" s="173">
        <v>20400</v>
      </c>
      <c r="AX102" s="173">
        <v>15380</v>
      </c>
      <c r="AY102" s="173">
        <v>2424</v>
      </c>
      <c r="AZ102" s="173">
        <v>2596</v>
      </c>
      <c r="BA102" s="173">
        <v>0.1273</v>
      </c>
      <c r="BB102" s="173" t="str">
        <v/>
      </c>
      <c r="BC102" s="173">
        <v>0</v>
      </c>
      <c r="BD102" s="156">
        <v>11880</v>
      </c>
    </row>
    <row r="103" spans="8:56" ht="18" customHeight="1">
      <c r="H103" s="173">
        <v>174</v>
      </c>
      <c r="I103" s="156" t="str">
        <v>비닐스토리</v>
      </c>
      <c r="J103" s="177">
        <v>45457</v>
      </c>
      <c r="K103" s="176" t="str">
        <v>2024061482493251</v>
      </c>
      <c r="L103" s="176" t="str">
        <v>스마트 스토어</v>
      </c>
      <c r="M103" s="176" t="str">
        <v>노현주</v>
      </c>
      <c r="N103" s="176" t="str">
        <v>bm02****</v>
      </c>
      <c r="O103" s="177" t="str">
        <v>010-5624-9942</v>
      </c>
      <c r="P103" s="177">
        <v>45457</v>
      </c>
      <c r="Q103" s="176" t="str">
        <v>CJ대한통운</v>
      </c>
      <c r="R103" s="176" t="str">
        <v>530221956291</v>
      </c>
      <c r="S103" s="178">
        <v>0</v>
      </c>
      <c r="T103" s="176" t="str">
        <v>SE.102</v>
      </c>
      <c r="U103" s="176" t="str">
        <v>투명</v>
      </c>
      <c r="V103" s="176">
        <v>10</v>
      </c>
      <c r="W103" s="176" t="str">
        <v>노현주</v>
      </c>
      <c r="X103" s="176" t="str">
        <v>010-5624-9942</v>
      </c>
      <c r="Y103" s="176">
        <v>0</v>
      </c>
      <c r="Z103" s="176" t="str">
        <v>경기도 광주시 도척면 국사봉로 121-47 (도척면) 진우리</v>
      </c>
      <c r="AA103" s="190" t="str">
        <v>문 앞에 놓아주세요</v>
      </c>
      <c r="AB103" s="190">
        <v>0</v>
      </c>
      <c r="AC103" s="277">
        <v>0</v>
      </c>
      <c r="AD103" s="190">
        <v>10800</v>
      </c>
      <c r="AE103" s="190">
        <v>0</v>
      </c>
      <c r="AF103" s="190">
        <v>3000</v>
      </c>
      <c r="AG103" s="190">
        <v>3000</v>
      </c>
      <c r="AH103" s="190">
        <v>0</v>
      </c>
      <c r="AI103" s="190">
        <v>0</v>
      </c>
      <c r="AJ103" s="190">
        <v>0</v>
      </c>
      <c r="AK103" s="190" t="str">
        <v>소폭 12*26</v>
      </c>
      <c r="AL103" s="190">
        <v>0</v>
      </c>
      <c r="AM103" s="173">
        <v>1020</v>
      </c>
      <c r="AN103" s="173">
        <v>660</v>
      </c>
      <c r="AO103" s="206">
        <v>13800</v>
      </c>
      <c r="AP103" s="206">
        <v>9600</v>
      </c>
      <c r="AQ103" s="173">
        <v>569</v>
      </c>
      <c r="AR103" s="173">
        <v>3631</v>
      </c>
      <c r="AS103" s="173">
        <v>0.2631</v>
      </c>
      <c r="AT103" s="173">
        <v>0</v>
      </c>
      <c r="AU103" s="173" t="str">
        <v>ptDB47</v>
      </c>
      <c r="AV103" s="173">
        <v>0</v>
      </c>
      <c r="AW103" s="173">
        <v>13800</v>
      </c>
      <c r="AX103" s="173">
        <v>9600</v>
      </c>
      <c r="AY103" s="173">
        <v>569</v>
      </c>
      <c r="AZ103" s="173">
        <v>3631</v>
      </c>
      <c r="BA103" s="173">
        <v>0.2631</v>
      </c>
      <c r="BB103" s="173" t="str">
        <v/>
      </c>
      <c r="BC103" s="173">
        <v>0</v>
      </c>
      <c r="BD103" s="156">
        <v>6600</v>
      </c>
    </row>
    <row r="104" spans="8:56" ht="18" customHeight="1">
      <c r="H104" s="173">
        <v>175</v>
      </c>
      <c r="I104" s="156" t="str">
        <v>비닐스토리</v>
      </c>
      <c r="J104" s="177">
        <v>45457</v>
      </c>
      <c r="K104" s="176" t="str">
        <v>2024061481330401</v>
      </c>
      <c r="L104" s="176" t="str">
        <v>스마트 스토어</v>
      </c>
      <c r="M104" s="176" t="str">
        <v>박지숙</v>
      </c>
      <c r="N104" s="176" t="str">
        <v>choc****</v>
      </c>
      <c r="O104" s="177" t="str">
        <v>010-7933-1436</v>
      </c>
      <c r="P104" s="177">
        <v>45457</v>
      </c>
      <c r="Q104" s="176" t="str">
        <v>CJ대한통운</v>
      </c>
      <c r="R104" s="176" t="str">
        <v>540220887284</v>
      </c>
      <c r="S104" s="178">
        <v>0</v>
      </c>
      <c r="T104" s="176" t="str">
        <v>SE.206</v>
      </c>
      <c r="U104" s="176" t="str">
        <v>투명</v>
      </c>
      <c r="V104" s="176">
        <v>1</v>
      </c>
      <c r="W104" s="176" t="str">
        <v>박지숙</v>
      </c>
      <c r="X104" s="176" t="str">
        <v>010-7933-1436</v>
      </c>
      <c r="Y104" s="176">
        <v>0</v>
      </c>
      <c r="Z104" s="176" t="str">
        <v>인천광역시 부평구 안남로 260 (산곡동, 현대아파트) 506동 1516호</v>
      </c>
      <c r="AA104" s="190">
        <v>0</v>
      </c>
      <c r="AB104" s="190">
        <v>0</v>
      </c>
      <c r="AC104" s="277">
        <v>0</v>
      </c>
      <c r="AD104" s="190">
        <v>28620</v>
      </c>
      <c r="AE104" s="190">
        <v>3180</v>
      </c>
      <c r="AF104" s="190">
        <v>0</v>
      </c>
      <c r="AG104" s="190">
        <v>3500</v>
      </c>
      <c r="AH104" s="190">
        <v>0</v>
      </c>
      <c r="AI104" s="190">
        <v>0</v>
      </c>
      <c r="AJ104" s="190">
        <v>0</v>
      </c>
      <c r="AK104" s="190" t="str">
        <v>떡롤 45*330</v>
      </c>
      <c r="AL104" s="190">
        <v>0</v>
      </c>
      <c r="AM104" s="173">
        <v>30600</v>
      </c>
      <c r="AN104" s="173">
        <v>19800</v>
      </c>
      <c r="AO104" s="206">
        <v>28620</v>
      </c>
      <c r="AP104" s="206">
        <v>23300</v>
      </c>
      <c r="AQ104" s="173">
        <v>1219</v>
      </c>
      <c r="AR104" s="173">
        <v>4101</v>
      </c>
      <c r="AS104" s="173">
        <v>0.14330000000000001</v>
      </c>
      <c r="AT104" s="173">
        <v>0</v>
      </c>
      <c r="AU104" s="173" t="str">
        <v>ptDB47</v>
      </c>
      <c r="AV104" s="173">
        <v>0</v>
      </c>
      <c r="AW104" s="173">
        <v>28620</v>
      </c>
      <c r="AX104" s="173">
        <v>23300</v>
      </c>
      <c r="AY104" s="173">
        <v>1219</v>
      </c>
      <c r="AZ104" s="173">
        <v>4101</v>
      </c>
      <c r="BA104" s="173">
        <v>0.14330000000000001</v>
      </c>
      <c r="BB104" s="173" t="str">
        <v/>
      </c>
      <c r="BC104" s="173">
        <v>0</v>
      </c>
      <c r="BD104" s="156">
        <v>19800</v>
      </c>
    </row>
    <row r="105" spans="8:56" ht="18" customHeight="1">
      <c r="H105" s="173">
        <v>176</v>
      </c>
      <c r="I105" s="156" t="str">
        <v>비닐스토리</v>
      </c>
      <c r="J105" s="177">
        <v>45457</v>
      </c>
      <c r="K105" s="176" t="str">
        <v>2024061481330391</v>
      </c>
      <c r="L105" s="176" t="str">
        <v>스마트 스토어</v>
      </c>
      <c r="M105" s="176" t="str">
        <v>박지숙</v>
      </c>
      <c r="N105" s="176" t="str">
        <v>choc****</v>
      </c>
      <c r="O105" s="177" t="str">
        <v>010-7933-1436</v>
      </c>
      <c r="P105" s="177">
        <v>45457</v>
      </c>
      <c r="Q105" s="176" t="str">
        <v>CJ대한통운</v>
      </c>
      <c r="R105" s="176" t="str">
        <v>540220887284</v>
      </c>
      <c r="S105" s="178">
        <v>0</v>
      </c>
      <c r="T105" s="176" t="str">
        <v>SE.304</v>
      </c>
      <c r="U105" s="176" t="str">
        <v>투명</v>
      </c>
      <c r="V105" s="176">
        <v>1</v>
      </c>
      <c r="W105" s="176" t="str">
        <v>박지숙</v>
      </c>
      <c r="X105" s="176" t="str">
        <v>010-7933-1436</v>
      </c>
      <c r="Y105" s="176">
        <v>0</v>
      </c>
      <c r="Z105" s="176" t="str">
        <v>인천광역시 부평구 안남로 260 (산곡동, 현대아파트) 506동 1516호</v>
      </c>
      <c r="AA105" s="190">
        <v>0</v>
      </c>
      <c r="AB105" s="190">
        <v>0</v>
      </c>
      <c r="AC105" s="277">
        <v>0</v>
      </c>
      <c r="AD105" s="190">
        <v>13770</v>
      </c>
      <c r="AE105" s="190">
        <v>1530</v>
      </c>
      <c r="AF105" s="190">
        <v>0</v>
      </c>
      <c r="AG105" s="190">
        <v>0</v>
      </c>
      <c r="AH105" s="190">
        <v>0</v>
      </c>
      <c r="AI105" s="190">
        <v>0</v>
      </c>
      <c r="AJ105" s="190">
        <v>0</v>
      </c>
      <c r="AK105" s="190" t="str">
        <v>떡외겹 30*38</v>
      </c>
      <c r="AL105" s="190" t="str">
        <v>재구매</v>
      </c>
      <c r="AM105" s="173">
        <v>14450</v>
      </c>
      <c r="AN105" s="173">
        <v>9350</v>
      </c>
      <c r="AO105" s="206">
        <v>13770</v>
      </c>
      <c r="AP105" s="206">
        <v>9350</v>
      </c>
      <c r="AQ105" s="173">
        <v>628</v>
      </c>
      <c r="AR105" s="173">
        <v>3792</v>
      </c>
      <c r="AS105" s="173">
        <v>0.27539999999999998</v>
      </c>
      <c r="AT105" s="173">
        <v>0</v>
      </c>
      <c r="AU105" s="173" t="str">
        <v>ptDB47</v>
      </c>
      <c r="AV105" s="173">
        <v>0</v>
      </c>
      <c r="AW105" s="173">
        <v>13770</v>
      </c>
      <c r="AX105" s="173">
        <v>9350</v>
      </c>
      <c r="AY105" s="173">
        <v>628</v>
      </c>
      <c r="AZ105" s="173">
        <v>3792</v>
      </c>
      <c r="BA105" s="173">
        <v>0.27539999999999998</v>
      </c>
      <c r="BB105" s="173" t="str">
        <v/>
      </c>
      <c r="BC105" s="173">
        <v>0</v>
      </c>
      <c r="BD105" s="156">
        <v>9350</v>
      </c>
    </row>
    <row r="106" spans="8:56" ht="18" customHeight="1">
      <c r="H106" s="173">
        <v>177</v>
      </c>
      <c r="I106" s="156" t="str">
        <v>비닐스토리</v>
      </c>
      <c r="J106" s="177">
        <v>45456</v>
      </c>
      <c r="K106" s="176" t="str">
        <v>2024061363875971</v>
      </c>
      <c r="L106" s="176" t="str">
        <v>스마트 스토어</v>
      </c>
      <c r="M106" s="176" t="str">
        <v>안민호</v>
      </c>
      <c r="N106" s="176" t="str">
        <v>dark****</v>
      </c>
      <c r="O106" s="177" t="str">
        <v>010-4184-2843</v>
      </c>
      <c r="P106" s="177">
        <v>45457</v>
      </c>
      <c r="Q106" s="176" t="str">
        <v>CJ대한통운</v>
      </c>
      <c r="R106" s="176" t="str">
        <v>540220887015</v>
      </c>
      <c r="S106" s="178">
        <v>0</v>
      </c>
      <c r="T106" s="176" t="str">
        <v>SE.201</v>
      </c>
      <c r="U106" s="176" t="str">
        <v>투명</v>
      </c>
      <c r="V106" s="176">
        <v>2</v>
      </c>
      <c r="W106" s="176" t="str">
        <v>안민호</v>
      </c>
      <c r="X106" s="176" t="str">
        <v>010-4184-2843</v>
      </c>
      <c r="Y106" s="176">
        <v>0</v>
      </c>
      <c r="Z106" s="176" t="str">
        <v>경상북도 김천시 용전1로 9 (율곡동, 힐스테이트 율곡) 112동 501호</v>
      </c>
      <c r="AA106" s="190">
        <v>0</v>
      </c>
      <c r="AB106" s="190">
        <v>0</v>
      </c>
      <c r="AC106" s="277">
        <v>0</v>
      </c>
      <c r="AD106" s="190">
        <v>29160</v>
      </c>
      <c r="AE106" s="190">
        <v>3240</v>
      </c>
      <c r="AF106" s="190">
        <v>0</v>
      </c>
      <c r="AG106" s="190">
        <v>4400</v>
      </c>
      <c r="AH106" s="190">
        <v>0</v>
      </c>
      <c r="AI106" s="190">
        <v>0</v>
      </c>
      <c r="AJ106" s="190">
        <v>0</v>
      </c>
      <c r="AK106" s="190" t="str">
        <v>떡롤 20*400</v>
      </c>
      <c r="AL106" s="190">
        <v>0</v>
      </c>
      <c r="AM106" s="173">
        <v>15300</v>
      </c>
      <c r="AN106" s="173">
        <v>9900</v>
      </c>
      <c r="AO106" s="206">
        <v>29160</v>
      </c>
      <c r="AP106" s="206">
        <v>24200</v>
      </c>
      <c r="AQ106" s="173">
        <v>1241</v>
      </c>
      <c r="AR106" s="173">
        <v>3719</v>
      </c>
      <c r="AS106" s="173">
        <v>0.1275</v>
      </c>
      <c r="AT106" s="173">
        <v>0</v>
      </c>
      <c r="AU106" s="173" t="str">
        <v>ptDB47</v>
      </c>
      <c r="AV106" s="173">
        <v>0</v>
      </c>
      <c r="AW106" s="173">
        <v>29160</v>
      </c>
      <c r="AX106" s="173">
        <v>24200</v>
      </c>
      <c r="AY106" s="173">
        <v>1241</v>
      </c>
      <c r="AZ106" s="173">
        <v>3719</v>
      </c>
      <c r="BA106" s="173">
        <v>0.1275</v>
      </c>
      <c r="BB106" s="173" t="str">
        <v/>
      </c>
      <c r="BC106" s="173">
        <v>0</v>
      </c>
      <c r="BD106" s="156">
        <v>19800</v>
      </c>
    </row>
    <row r="107" spans="8:56" ht="18" customHeight="1">
      <c r="H107" s="173">
        <v>178</v>
      </c>
      <c r="I107" s="156" t="str">
        <v>비닐스토리</v>
      </c>
      <c r="J107" s="177">
        <v>45456</v>
      </c>
      <c r="K107" s="176" t="str">
        <v>2024061363875961</v>
      </c>
      <c r="L107" s="176" t="str">
        <v>스마트 스토어</v>
      </c>
      <c r="M107" s="176" t="str">
        <v>안민호</v>
      </c>
      <c r="N107" s="176" t="str">
        <v>dark****</v>
      </c>
      <c r="O107" s="177" t="str">
        <v>010-4184-2843</v>
      </c>
      <c r="P107" s="177">
        <v>45457</v>
      </c>
      <c r="Q107" s="176" t="str">
        <v>CJ대한통운</v>
      </c>
      <c r="R107" s="176" t="str">
        <v>540220887015</v>
      </c>
      <c r="S107" s="178">
        <v>0</v>
      </c>
      <c r="T107" s="176" t="str">
        <v>SE.206</v>
      </c>
      <c r="U107" s="176" t="str">
        <v>투명</v>
      </c>
      <c r="V107" s="176">
        <v>1</v>
      </c>
      <c r="W107" s="176" t="str">
        <v>안민호</v>
      </c>
      <c r="X107" s="176" t="str">
        <v>010-4184-2843</v>
      </c>
      <c r="Y107" s="176">
        <v>0</v>
      </c>
      <c r="Z107" s="176" t="str">
        <v>경상북도 김천시 용전1로 9 (율곡동, 힐스테이트 율곡) 112동 501호</v>
      </c>
      <c r="AA107" s="190">
        <v>0</v>
      </c>
      <c r="AB107" s="190">
        <v>0</v>
      </c>
      <c r="AC107" s="277">
        <v>0</v>
      </c>
      <c r="AD107" s="190">
        <v>28620</v>
      </c>
      <c r="AE107" s="190">
        <v>3180</v>
      </c>
      <c r="AF107" s="190">
        <v>0</v>
      </c>
      <c r="AG107" s="190">
        <v>0</v>
      </c>
      <c r="AH107" s="190">
        <v>0</v>
      </c>
      <c r="AI107" s="190">
        <v>0</v>
      </c>
      <c r="AJ107" s="190">
        <v>0</v>
      </c>
      <c r="AK107" s="190" t="str">
        <v>떡롤 45*330</v>
      </c>
      <c r="AL107" s="190" t="str">
        <v>재구매</v>
      </c>
      <c r="AM107" s="173">
        <v>30600</v>
      </c>
      <c r="AN107" s="173">
        <v>19800</v>
      </c>
      <c r="AO107" s="206">
        <v>28620</v>
      </c>
      <c r="AP107" s="206">
        <v>19800</v>
      </c>
      <c r="AQ107" s="173">
        <v>1219</v>
      </c>
      <c r="AR107" s="173">
        <v>7601</v>
      </c>
      <c r="AS107" s="173">
        <v>0.2656</v>
      </c>
      <c r="AT107" s="173">
        <v>0</v>
      </c>
      <c r="AU107" s="173" t="str">
        <v>ptDB47</v>
      </c>
      <c r="AV107" s="173">
        <v>0</v>
      </c>
      <c r="AW107" s="173">
        <v>28620</v>
      </c>
      <c r="AX107" s="173">
        <v>19800</v>
      </c>
      <c r="AY107" s="173">
        <v>1219</v>
      </c>
      <c r="AZ107" s="173">
        <v>7601</v>
      </c>
      <c r="BA107" s="173">
        <v>0.2656</v>
      </c>
      <c r="BB107" s="173" t="str">
        <v/>
      </c>
      <c r="BC107" s="173">
        <v>0</v>
      </c>
      <c r="BD107" s="156">
        <v>19800</v>
      </c>
    </row>
  </sheetData>
  <mergeCells count="30">
    <mergeCell ref="BH10:BJ10"/>
    <mergeCell ref="T11:U12"/>
    <mergeCell ref="V12:W12"/>
    <mergeCell ref="V11:W11"/>
    <mergeCell ref="AC11:AG11"/>
    <mergeCell ref="AC12:AG12"/>
    <mergeCell ref="B6:D6"/>
    <mergeCell ref="B7:E10"/>
    <mergeCell ref="D4:E4"/>
    <mergeCell ref="C13:D13"/>
    <mergeCell ref="P12:R12"/>
    <mergeCell ref="P11:R11"/>
    <mergeCell ref="L11:L12"/>
    <mergeCell ref="J11:J12"/>
    <mergeCell ref="CF12:CG12"/>
    <mergeCell ref="CH12:CM12"/>
    <mergeCell ref="AH11:AI11"/>
    <mergeCell ref="AJ11:AO11"/>
    <mergeCell ref="CF11:CG11"/>
    <mergeCell ref="CH11:CM11"/>
    <mergeCell ref="AH12:AI12"/>
    <mergeCell ref="AJ12:AO12"/>
    <mergeCell ref="BW11:CB11"/>
    <mergeCell ref="CC11:CD11"/>
    <mergeCell ref="BW12:CB12"/>
    <mergeCell ref="CC12:CD12"/>
    <mergeCell ref="BM11:BP11"/>
    <mergeCell ref="BM12:BP12"/>
    <mergeCell ref="BR11:BS12"/>
    <mergeCell ref="BH11:BJ12"/>
  </mergeCells>
  <phoneticPr fontId="4" type="noConversion"/>
  <conditionalFormatting sqref="CN13">
    <cfRule type="cellIs" dxfId="268" priority="4" operator="lessThan">
      <formula>0</formula>
    </cfRule>
  </conditionalFormatting>
  <conditionalFormatting sqref="BF13:CN13">
    <cfRule type="expression" dxfId="267" priority="6">
      <formula>$C13="비닐팩토리"</formula>
    </cfRule>
  </conditionalFormatting>
  <conditionalFormatting sqref="BJ13">
    <cfRule type="cellIs" dxfId="266" priority="3" operator="equal">
      <formula>"제작"</formula>
    </cfRule>
    <cfRule type="cellIs" dxfId="265" priority="5" operator="equal">
      <formula>"쿠팡"</formula>
    </cfRule>
    <cfRule type="cellIs" dxfId="264" priority="7" operator="equal">
      <formula>"위메프"</formula>
    </cfRule>
  </conditionalFormatting>
  <conditionalFormatting sqref="BO13">
    <cfRule type="cellIs" dxfId="263" priority="8" operator="equal">
      <formula>"직접전달"</formula>
    </cfRule>
    <cfRule type="cellIs" dxfId="262" priority="9" operator="equal">
      <formula>"한진택배"</formula>
    </cfRule>
  </conditionalFormatting>
  <conditionalFormatting sqref="BT13">
    <cfRule type="cellIs" dxfId="261" priority="2" operator="lessThanOrEqual">
      <formula>0</formula>
    </cfRule>
  </conditionalFormatting>
  <conditionalFormatting sqref="CA13">
    <cfRule type="cellIs" dxfId="260" priority="1" operator="equal">
      <formula>"반품"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710CC-D8A0-4DF8-B093-7F476419AC3F}">
  <sheetPr codeName="Sheet5">
    <tabColor rgb="FFFFC000"/>
  </sheetPr>
  <dimension ref="A1:AE183"/>
  <sheetViews>
    <sheetView workbookViewId="0">
      <selection activeCell="G30" sqref="G30"/>
    </sheetView>
  </sheetViews>
  <sheetFormatPr defaultRowHeight="16.5"/>
  <cols>
    <col min="1" max="1" width="4.375" style="132" customWidth="1"/>
    <col min="2" max="2" width="12.75" style="132" customWidth="1"/>
    <col min="3" max="3" width="13.75" style="132" bestFit="1" customWidth="1"/>
    <col min="4" max="4" width="9.25" style="132" customWidth="1"/>
    <col min="5" max="5" width="11.625" style="133" customWidth="1"/>
    <col min="6" max="6" width="12.125" style="132" customWidth="1"/>
    <col min="7" max="7" width="16.625" style="132" customWidth="1"/>
    <col min="8" max="8" width="7.375" style="132" customWidth="1"/>
    <col min="9" max="9" width="7.625" style="132" customWidth="1"/>
    <col min="10" max="10" width="4" style="132" customWidth="1"/>
    <col min="11" max="11" width="9.875" style="139" customWidth="1"/>
    <col min="12" max="12" width="12.625" style="139" customWidth="1"/>
    <col min="13" max="13" width="12.125" style="139" bestFit="1" customWidth="1"/>
    <col min="14" max="14" width="11.125" style="133" bestFit="1" customWidth="1"/>
    <col min="15" max="15" width="17.625" style="132" customWidth="1"/>
    <col min="16" max="16" width="11.25" style="135" bestFit="1" customWidth="1"/>
    <col min="17" max="17" width="15.25" style="149" customWidth="1"/>
    <col min="18" max="18" width="15.625" style="132" customWidth="1"/>
    <col min="19" max="19" width="12.625" style="140" customWidth="1"/>
    <col min="20" max="20" width="16.375" style="132" customWidth="1"/>
    <col min="21" max="21" width="41.5" style="132" customWidth="1"/>
    <col min="22" max="22" width="14" style="132" customWidth="1"/>
    <col min="23" max="23" width="8.375" style="139" bestFit="1" customWidth="1"/>
    <col min="24" max="24" width="7.375" style="139" customWidth="1"/>
    <col min="25" max="25" width="9" style="139" bestFit="1" customWidth="1"/>
    <col min="26" max="26" width="8.75" style="139" customWidth="1"/>
    <col min="27" max="27" width="9.375" style="139" customWidth="1"/>
    <col min="28" max="28" width="9.75" style="146" customWidth="1"/>
    <col min="29" max="29" width="9" style="146" bestFit="1" customWidth="1"/>
    <col min="30" max="30" width="7.125" style="139" bestFit="1" customWidth="1"/>
    <col min="31" max="31" width="63.375" style="132" hidden="1" customWidth="1"/>
    <col min="32" max="16384" width="9" style="132"/>
  </cols>
  <sheetData>
    <row r="1" spans="1:31" s="122" customFormat="1" ht="9.9499999999999993" customHeight="1">
      <c r="A1" s="119"/>
      <c r="B1" s="119" t="s">
        <v>560</v>
      </c>
      <c r="C1" s="119">
        <v>1</v>
      </c>
      <c r="D1" s="119">
        <f>C1+3</f>
        <v>4</v>
      </c>
      <c r="E1" s="119">
        <v>1</v>
      </c>
      <c r="F1" s="119">
        <f>IF(E1=2,-1,1)</f>
        <v>1</v>
      </c>
      <c r="G1" s="119"/>
      <c r="H1" s="119"/>
      <c r="I1" s="119"/>
      <c r="J1" s="120"/>
      <c r="K1" s="136"/>
      <c r="L1" s="136"/>
      <c r="M1" s="136"/>
      <c r="N1" s="120"/>
      <c r="O1" s="121"/>
      <c r="P1" s="150"/>
      <c r="Q1" s="147"/>
      <c r="W1" s="141"/>
      <c r="X1" s="141"/>
      <c r="Y1" s="141"/>
      <c r="Z1" s="141"/>
      <c r="AA1" s="141"/>
      <c r="AB1" s="143"/>
      <c r="AC1" s="143"/>
      <c r="AD1" s="141"/>
    </row>
    <row r="2" spans="1:31" s="123" customFormat="1" ht="35.25" customHeight="1">
      <c r="A2" s="119"/>
      <c r="B2" s="119"/>
      <c r="C2" s="297"/>
      <c r="D2" s="297"/>
      <c r="E2" s="297"/>
      <c r="F2" s="297"/>
      <c r="G2" s="297"/>
      <c r="H2" s="297"/>
      <c r="I2" s="151"/>
      <c r="J2" s="151"/>
      <c r="K2" s="136"/>
      <c r="L2" s="136"/>
      <c r="M2" s="136"/>
      <c r="N2" s="120"/>
      <c r="O2" s="121"/>
      <c r="P2" s="134"/>
      <c r="Q2" s="148"/>
      <c r="W2" s="137"/>
      <c r="X2" s="137"/>
      <c r="Y2" s="137"/>
      <c r="Z2" s="137"/>
      <c r="AA2" s="137"/>
      <c r="AB2" s="144"/>
      <c r="AC2" s="144"/>
      <c r="AD2" s="137"/>
    </row>
    <row r="3" spans="1:31" s="123" customFormat="1" ht="9.9499999999999993" customHeight="1">
      <c r="K3" s="137"/>
      <c r="L3" s="137"/>
      <c r="M3" s="137"/>
      <c r="P3" s="134"/>
      <c r="Q3" s="148"/>
      <c r="W3" s="137"/>
      <c r="X3" s="137"/>
      <c r="Y3" s="137"/>
      <c r="Z3" s="137"/>
      <c r="AA3" s="137"/>
      <c r="AB3" s="144"/>
      <c r="AC3" s="144"/>
      <c r="AD3" s="137"/>
    </row>
    <row r="4" spans="1:31" s="131" customFormat="1" ht="30" customHeight="1">
      <c r="A4" s="124" t="s">
        <v>660</v>
      </c>
      <c r="B4" s="124" t="s">
        <v>539</v>
      </c>
      <c r="C4" s="124" t="s">
        <v>538</v>
      </c>
      <c r="D4" s="124" t="s">
        <v>313</v>
      </c>
      <c r="E4" s="125" t="s">
        <v>127</v>
      </c>
      <c r="F4" s="126" t="s">
        <v>123</v>
      </c>
      <c r="G4" s="126" t="s">
        <v>116</v>
      </c>
      <c r="H4" s="126" t="s">
        <v>113</v>
      </c>
      <c r="I4" s="126" t="s">
        <v>860</v>
      </c>
      <c r="J4" s="126" t="s">
        <v>536</v>
      </c>
      <c r="K4" s="138" t="s">
        <v>119</v>
      </c>
      <c r="L4" s="138" t="s">
        <v>817</v>
      </c>
      <c r="M4" s="138" t="s">
        <v>824</v>
      </c>
      <c r="N4" s="127" t="s">
        <v>540</v>
      </c>
      <c r="O4" s="128" t="s">
        <v>633</v>
      </c>
      <c r="P4" s="129" t="s">
        <v>632</v>
      </c>
      <c r="Q4" s="130" t="s">
        <v>544</v>
      </c>
      <c r="R4" s="129" t="s">
        <v>546</v>
      </c>
      <c r="S4" s="124" t="s">
        <v>840</v>
      </c>
      <c r="T4" s="128" t="s">
        <v>626</v>
      </c>
      <c r="U4" s="124" t="s">
        <v>549</v>
      </c>
      <c r="V4" s="124" t="s">
        <v>550</v>
      </c>
      <c r="W4" s="142" t="s">
        <v>841</v>
      </c>
      <c r="X4" s="142" t="s">
        <v>845</v>
      </c>
      <c r="Y4" s="142" t="s">
        <v>842</v>
      </c>
      <c r="Z4" s="142" t="s">
        <v>846</v>
      </c>
      <c r="AA4" s="142" t="s">
        <v>843</v>
      </c>
      <c r="AB4" s="145" t="s">
        <v>847</v>
      </c>
      <c r="AC4" s="145" t="s">
        <v>825</v>
      </c>
      <c r="AD4" s="142" t="s">
        <v>701</v>
      </c>
      <c r="AE4" s="124" t="s">
        <v>844</v>
      </c>
    </row>
    <row r="5" spans="1:31">
      <c r="A5" s="132" cm="1">
        <f t="array" ref="A5:AE183">_xlfn._xlws.SORT(_xlfn._xlws.FILTER(출고표1[],ISNUMBER(SEARCH($B$1,출고표1[검사])),"결과 없음"),$D$1,$F$1)</f>
        <v>17</v>
      </c>
      <c r="B5" s="132" t="str">
        <v>비닐스토리</v>
      </c>
      <c r="C5" s="132" t="str">
        <v>쿠팡</v>
      </c>
      <c r="D5" s="132" t="str">
        <v>DUONG THANH HANH</v>
      </c>
      <c r="E5" s="133">
        <v>45443</v>
      </c>
      <c r="F5" s="132" t="str">
        <v>Duong Hanh</v>
      </c>
      <c r="G5" s="132" t="str">
        <v>530211538493</v>
      </c>
      <c r="H5" s="132" t="str">
        <v>SE.105</v>
      </c>
      <c r="I5" s="132" t="str">
        <v>투명</v>
      </c>
      <c r="J5" s="132">
        <v>3</v>
      </c>
      <c r="K5" s="139">
        <v>7950</v>
      </c>
      <c r="L5" s="139">
        <v>3000</v>
      </c>
      <c r="M5" s="139">
        <v>0</v>
      </c>
      <c r="N5" s="133">
        <v>45443</v>
      </c>
      <c r="O5" s="132" t="str">
        <v>29100050606795</v>
      </c>
      <c r="P5" s="135" t="str">
        <v>du*****@gm</v>
      </c>
      <c r="Q5" s="149" t="str">
        <v>0502-4530-6882</v>
      </c>
      <c r="R5" s="132" t="str">
        <v>CJ대한통운</v>
      </c>
      <c r="S5" s="140">
        <v>0</v>
      </c>
      <c r="T5" s="132" t="str">
        <v>0502-4530-6882</v>
      </c>
      <c r="U5" s="132" t="str">
        <v>경상북도 경주시 한빛길6번길 47 1층. 아시안 마트 ( 성건동 )</v>
      </c>
      <c r="V5" s="132" t="str">
        <v>문 앞</v>
      </c>
      <c r="W5" s="139">
        <v>7320</v>
      </c>
      <c r="X5" s="139">
        <v>1320</v>
      </c>
      <c r="Y5" s="139">
        <v>0</v>
      </c>
      <c r="Z5" s="139">
        <v>0</v>
      </c>
      <c r="AA5" s="139">
        <v>0</v>
      </c>
      <c r="AB5" s="146">
        <v>0</v>
      </c>
      <c r="AC5" s="146">
        <v>0</v>
      </c>
      <c r="AD5" s="139">
        <v>0</v>
      </c>
      <c r="AE5" s="132" t="str">
        <v>비닐스토리 쿠팡 DUONG THANH HANH Duong Hanh SE.105 투명 530211538493 0502-4530-6882 29100050606795</v>
      </c>
    </row>
    <row r="6" spans="1:31">
      <c r="A6" s="132">
        <v>18</v>
      </c>
      <c r="B6" s="132" t="str">
        <v>비닐스토리</v>
      </c>
      <c r="C6" s="132" t="str">
        <v>쿠팡</v>
      </c>
      <c r="D6" s="132" t="str">
        <v>DUONG THANH HANH</v>
      </c>
      <c r="E6" s="133">
        <v>45443</v>
      </c>
      <c r="F6" s="132" t="str">
        <v>Duong Hanh</v>
      </c>
      <c r="G6" s="132" t="str">
        <v>530211538493</v>
      </c>
      <c r="H6" s="132" t="str">
        <v>SE.138</v>
      </c>
      <c r="I6" s="132" t="str">
        <v>투명</v>
      </c>
      <c r="J6" s="132">
        <v>3</v>
      </c>
      <c r="K6" s="139">
        <v>3960</v>
      </c>
      <c r="L6" s="139">
        <v>0</v>
      </c>
      <c r="M6" s="139">
        <v>0</v>
      </c>
      <c r="N6" s="133">
        <v>45443</v>
      </c>
      <c r="O6" s="132" t="str">
        <v>29100050606795</v>
      </c>
      <c r="P6" s="135" t="str">
        <v>du*****@gm</v>
      </c>
      <c r="Q6" s="149" t="str">
        <v>0502-4530-6882</v>
      </c>
      <c r="R6" s="132" t="str">
        <v>CJ대한통운</v>
      </c>
      <c r="S6" s="140">
        <v>0</v>
      </c>
      <c r="T6" s="132" t="str">
        <v>0502-4530-6882</v>
      </c>
      <c r="U6" s="132" t="str">
        <v>경상북도 경주시 한빛길6번길 47 1층. 아시안 마트 ( 성건동 )</v>
      </c>
      <c r="V6" s="132" t="str">
        <v>문 앞</v>
      </c>
      <c r="W6" s="139">
        <v>7620</v>
      </c>
      <c r="X6" s="139">
        <v>420</v>
      </c>
      <c r="Y6" s="139">
        <v>0</v>
      </c>
      <c r="Z6" s="139">
        <v>0</v>
      </c>
      <c r="AA6" s="139">
        <v>0</v>
      </c>
      <c r="AB6" s="146">
        <v>0</v>
      </c>
      <c r="AC6" s="146">
        <v>0</v>
      </c>
      <c r="AD6" s="139">
        <v>0</v>
      </c>
      <c r="AE6" s="132" t="str">
        <v>비닐스토리 쿠팡 DUONG THANH HANH Duong Hanh SE.138 투명 530211538493 0502-4530-6882 29100050606795</v>
      </c>
    </row>
    <row r="7" spans="1:31">
      <c r="A7" s="132">
        <v>28</v>
      </c>
      <c r="B7" s="132" t="str">
        <v>비닐팩토리</v>
      </c>
      <c r="C7" s="132" t="str">
        <v>스마트 스토어</v>
      </c>
      <c r="D7" s="132" t="str">
        <v>JINXIANGHUA</v>
      </c>
      <c r="E7" s="133">
        <v>45446</v>
      </c>
      <c r="F7" s="132" t="str">
        <v>김단혜</v>
      </c>
      <c r="G7" s="132" t="str">
        <v>530213304910</v>
      </c>
      <c r="H7" s="132" t="str">
        <v>SE.204</v>
      </c>
      <c r="I7" s="132" t="str">
        <v>투명</v>
      </c>
      <c r="J7" s="132">
        <v>1</v>
      </c>
      <c r="K7" s="139">
        <v>0</v>
      </c>
      <c r="L7" s="139">
        <v>3500</v>
      </c>
      <c r="M7" s="139">
        <v>0</v>
      </c>
      <c r="N7" s="133">
        <v>45444</v>
      </c>
      <c r="O7" s="132" t="str">
        <v>2024060186841831</v>
      </c>
      <c r="P7" s="135" t="str">
        <v>danh****</v>
      </c>
      <c r="Q7" s="149" t="str">
        <v>010-5313-3880</v>
      </c>
      <c r="R7" s="132" t="str">
        <v>CJ대한통운</v>
      </c>
      <c r="S7" s="140">
        <v>0</v>
      </c>
      <c r="T7" s="132" t="str">
        <v>010-5313-3880</v>
      </c>
      <c r="U7" s="132" t="str">
        <v>경기도 안양시 동안구 시민대로 180 (호계동, G.SQURE, 롯데백화점 평촌점) 지하1층 검품장</v>
      </c>
      <c r="V7" s="132">
        <v>0</v>
      </c>
      <c r="W7" s="139">
        <v>20800</v>
      </c>
      <c r="X7" s="139">
        <v>0</v>
      </c>
      <c r="Y7" s="139">
        <v>3000</v>
      </c>
      <c r="Z7" s="139">
        <v>0</v>
      </c>
      <c r="AA7" s="139">
        <v>0</v>
      </c>
      <c r="AB7" s="146">
        <v>0</v>
      </c>
      <c r="AC7" s="146">
        <v>0</v>
      </c>
      <c r="AD7" s="139">
        <v>0</v>
      </c>
      <c r="AE7" s="132" t="str">
        <v>비닐팩토리 스마트 스토어 JINXIANGHUA 김단혜 SE.204 투명 530213304910 010-5313-3880 2024060186841831</v>
      </c>
    </row>
    <row r="8" spans="1:31">
      <c r="A8" s="132">
        <v>66</v>
      </c>
      <c r="B8" s="132" t="str">
        <v>비닐팩토리</v>
      </c>
      <c r="C8" s="132" t="str">
        <v>쿠팡</v>
      </c>
      <c r="D8" s="132" t="str">
        <v>PIAO SHUNDAO</v>
      </c>
      <c r="E8" s="133">
        <v>45448</v>
      </c>
      <c r="F8" s="132" t="str">
        <v>황용해</v>
      </c>
      <c r="G8" s="132" t="str">
        <v>530215273870</v>
      </c>
      <c r="H8" s="132" t="str">
        <v>SE.307</v>
      </c>
      <c r="I8" s="132" t="str">
        <v>투명</v>
      </c>
      <c r="J8" s="132">
        <v>10</v>
      </c>
      <c r="K8" s="139">
        <v>0</v>
      </c>
      <c r="L8" s="139">
        <v>0</v>
      </c>
      <c r="M8" s="139">
        <v>0</v>
      </c>
      <c r="N8" s="133">
        <v>45447</v>
      </c>
      <c r="O8" s="132" t="str">
        <v>29100051408736</v>
      </c>
      <c r="P8" s="135" t="str">
        <v>pi*****@na</v>
      </c>
      <c r="Q8" s="149" t="str">
        <v>0502-4630-5725</v>
      </c>
      <c r="R8" s="132" t="str">
        <v>CJ대한통운</v>
      </c>
      <c r="S8" s="140">
        <v>0</v>
      </c>
      <c r="T8" s="132" t="str">
        <v>0502-4630-5725</v>
      </c>
      <c r="U8" s="132" t="str">
        <v>충청남도 천안시 동남구 천중3길 3 2층미스터용 ( 문화동 )</v>
      </c>
      <c r="V8" s="132" t="str">
        <v>문 앞</v>
      </c>
      <c r="W8" s="139">
        <v>110900</v>
      </c>
      <c r="X8" s="139">
        <v>0</v>
      </c>
      <c r="Y8" s="139">
        <v>0</v>
      </c>
      <c r="Z8" s="139">
        <v>0</v>
      </c>
      <c r="AA8" s="139">
        <v>0</v>
      </c>
      <c r="AB8" s="146">
        <v>0</v>
      </c>
      <c r="AC8" s="146">
        <v>0</v>
      </c>
      <c r="AD8" s="139">
        <v>0</v>
      </c>
      <c r="AE8" s="132" t="str">
        <v>비닐팩토리 쿠팡 PIAO SHUNDAO 황용해 SE.307 투명 530215273870 0502-4630-5725 29100051408736</v>
      </c>
    </row>
    <row r="9" spans="1:31">
      <c r="A9" s="132">
        <v>1</v>
      </c>
      <c r="B9" s="132" t="str">
        <v>비닐스토리</v>
      </c>
      <c r="C9" s="132" t="str">
        <v>스마트 스토어</v>
      </c>
      <c r="D9" s="132" t="str">
        <v>강경숙</v>
      </c>
      <c r="E9" s="133">
        <v>45293</v>
      </c>
      <c r="F9" s="132" t="str">
        <v>강경숙</v>
      </c>
      <c r="G9" s="132" t="str">
        <v>653499871196</v>
      </c>
      <c r="H9" s="132" t="str">
        <v>SE.206</v>
      </c>
      <c r="I9" s="132" t="str">
        <v>투명</v>
      </c>
      <c r="J9" s="132">
        <v>2</v>
      </c>
      <c r="K9" s="139">
        <v>45550</v>
      </c>
      <c r="L9" s="139">
        <v>4300</v>
      </c>
      <c r="M9" s="139">
        <v>1650</v>
      </c>
      <c r="N9" s="133">
        <v>45293</v>
      </c>
      <c r="O9" s="132" t="str">
        <v>2023010267662551</v>
      </c>
      <c r="P9" s="135" t="str">
        <v>kkanggs74</v>
      </c>
      <c r="Q9" s="149">
        <v>0</v>
      </c>
      <c r="R9" s="132" t="str">
        <v>CJ대한통운</v>
      </c>
      <c r="S9" s="140">
        <v>44929</v>
      </c>
      <c r="T9" s="132" t="str">
        <v>010-9034-9537</v>
      </c>
      <c r="U9" s="132" t="str">
        <v>인천광역시 남동구 논현고잔로 208-1 (논현동, 어진마을한화꿈에그린6단지 상가)_x000D_
1층 104호 수작떡공방</v>
      </c>
      <c r="V9" s="132">
        <v>0</v>
      </c>
      <c r="W9" s="139">
        <v>64800</v>
      </c>
      <c r="X9" s="139">
        <v>0</v>
      </c>
      <c r="Y9" s="139">
        <v>0</v>
      </c>
      <c r="Z9" s="139">
        <v>0</v>
      </c>
      <c r="AA9" s="139">
        <v>0</v>
      </c>
      <c r="AB9" s="146">
        <v>0</v>
      </c>
      <c r="AC9" s="146">
        <v>0</v>
      </c>
      <c r="AD9" s="139">
        <v>0</v>
      </c>
      <c r="AE9" s="132" t="str">
        <v>비닐스토리 스마트 스토어 강경숙 강경숙 SE.206 투명 653499871196 010-9034-9537 2023010267662551</v>
      </c>
    </row>
    <row r="10" spans="1:31">
      <c r="A10" s="132">
        <v>14</v>
      </c>
      <c r="B10" s="132" t="str">
        <v>비닐스토리</v>
      </c>
      <c r="C10" s="132" t="str">
        <v>쿠팡</v>
      </c>
      <c r="D10" s="132" t="str">
        <v>강인석</v>
      </c>
      <c r="E10" s="133">
        <v>45443</v>
      </c>
      <c r="F10" s="132" t="str">
        <v>강인석</v>
      </c>
      <c r="G10" s="132" t="str">
        <v>530211538213</v>
      </c>
      <c r="H10" s="132" t="str">
        <v>SE.206</v>
      </c>
      <c r="I10" s="132" t="str">
        <v>투명</v>
      </c>
      <c r="J10" s="132">
        <v>1</v>
      </c>
      <c r="K10" s="139">
        <v>23300</v>
      </c>
      <c r="L10" s="139">
        <v>3500</v>
      </c>
      <c r="M10" s="139">
        <v>0</v>
      </c>
      <c r="N10" s="133">
        <v>45442</v>
      </c>
      <c r="O10" s="132" t="str">
        <v>7100050532943</v>
      </c>
      <c r="P10" s="135" t="str">
        <v>ki*****@ha</v>
      </c>
      <c r="Q10" s="149" t="str">
        <v>0502-5120-3674</v>
      </c>
      <c r="R10" s="132" t="str">
        <v>CJ대한통운</v>
      </c>
      <c r="S10" s="140">
        <v>0</v>
      </c>
      <c r="T10" s="132" t="str">
        <v>0502-5120-3674</v>
      </c>
      <c r="U10" s="132" t="str">
        <v>경기도 구리시 안골로103번길 30 1층 103호 온기담 ( 수택동 )</v>
      </c>
      <c r="V10" s="132" t="str">
        <v>문 앞</v>
      </c>
      <c r="W10" s="139">
        <v>34020</v>
      </c>
      <c r="X10" s="139">
        <v>0</v>
      </c>
      <c r="Y10" s="139">
        <v>3000</v>
      </c>
      <c r="Z10" s="139">
        <v>0</v>
      </c>
      <c r="AA10" s="139">
        <v>0</v>
      </c>
      <c r="AB10" s="146">
        <v>0</v>
      </c>
      <c r="AC10" s="146">
        <v>0</v>
      </c>
      <c r="AD10" s="139">
        <v>0</v>
      </c>
      <c r="AE10" s="132" t="str">
        <v>비닐스토리 쿠팡 강인석 강인석 SE.206 투명 530211538213 0502-5120-3674 7100050532943</v>
      </c>
    </row>
    <row r="11" spans="1:31">
      <c r="A11" s="132">
        <v>24</v>
      </c>
      <c r="B11" s="132" t="str">
        <v>비닐스토리</v>
      </c>
      <c r="C11" s="132" t="str">
        <v>스마트 스토어</v>
      </c>
      <c r="D11" s="132" t="str">
        <v>강정화</v>
      </c>
      <c r="E11" s="133">
        <v>45446</v>
      </c>
      <c r="F11" s="132" t="str">
        <v>강정화</v>
      </c>
      <c r="G11" s="132" t="str">
        <v>530213305105</v>
      </c>
      <c r="H11" s="132" t="str">
        <v>SE.201</v>
      </c>
      <c r="I11" s="132" t="str">
        <v>투명</v>
      </c>
      <c r="J11" s="132">
        <v>1</v>
      </c>
      <c r="K11" s="139">
        <v>12900</v>
      </c>
      <c r="L11" s="139">
        <v>3000</v>
      </c>
      <c r="M11" s="139">
        <v>0</v>
      </c>
      <c r="N11" s="133">
        <v>45445</v>
      </c>
      <c r="O11" s="132" t="str">
        <v>2024060217398401</v>
      </c>
      <c r="P11" s="135" t="str">
        <v>bacc****</v>
      </c>
      <c r="Q11" s="149" t="str">
        <v>010-2849-9914</v>
      </c>
      <c r="R11" s="132" t="str">
        <v>CJ대한통운</v>
      </c>
      <c r="S11" s="140">
        <v>0</v>
      </c>
      <c r="T11" s="132" t="str">
        <v>010-2849-9914</v>
      </c>
      <c r="U11" s="132" t="str">
        <v>울산광역시 울주군 온양읍 터실3길 6 (온양읍) 1층</v>
      </c>
      <c r="V11" s="132">
        <v>0</v>
      </c>
      <c r="W11" s="139">
        <v>14580</v>
      </c>
      <c r="X11" s="139">
        <v>1620</v>
      </c>
      <c r="Y11" s="139">
        <v>3000</v>
      </c>
      <c r="Z11" s="139">
        <v>0</v>
      </c>
      <c r="AA11" s="139">
        <v>0</v>
      </c>
      <c r="AB11" s="146">
        <v>0</v>
      </c>
      <c r="AC11" s="146">
        <v>0</v>
      </c>
      <c r="AD11" s="139">
        <v>0</v>
      </c>
      <c r="AE11" s="132" t="str">
        <v>비닐스토리 스마트 스토어 강정화 강정화 SE.201 투명 530213305105 010-2849-9914 2024060217398401</v>
      </c>
    </row>
    <row r="12" spans="1:31">
      <c r="A12" s="132">
        <v>39</v>
      </c>
      <c r="B12" s="132" t="str">
        <v>비닐스토리</v>
      </c>
      <c r="C12" s="132" t="str">
        <v>스마트 스토어</v>
      </c>
      <c r="D12" s="132" t="str">
        <v>강정환</v>
      </c>
      <c r="E12" s="133">
        <v>45447</v>
      </c>
      <c r="F12" s="132" t="str">
        <v>경북대 생활협동조합</v>
      </c>
      <c r="G12" s="132" t="str">
        <v>530214528101</v>
      </c>
      <c r="H12" s="132" t="str">
        <v>SE.28</v>
      </c>
      <c r="I12" s="132" t="str">
        <v>유백</v>
      </c>
      <c r="J12" s="132">
        <v>6</v>
      </c>
      <c r="K12" s="139">
        <v>33220</v>
      </c>
      <c r="L12" s="139">
        <v>5500</v>
      </c>
      <c r="M12" s="139">
        <v>0</v>
      </c>
      <c r="N12" s="133">
        <v>45447</v>
      </c>
      <c r="O12" s="132" t="str">
        <v>45470995</v>
      </c>
      <c r="P12" s="135" t="str">
        <v>ksl1****</v>
      </c>
      <c r="Q12" s="149" t="str">
        <v>010-9226-2126</v>
      </c>
      <c r="R12" s="132" t="str">
        <v>CJ대한통운</v>
      </c>
      <c r="S12" s="140">
        <v>0</v>
      </c>
      <c r="T12" s="132" t="str">
        <v>010-9226-2126</v>
      </c>
      <c r="U12" s="132" t="str">
        <v>대구광역시 북구 대학로 80 (산격동, 경북대학교) 복현회관 2층 생활협동조합</v>
      </c>
      <c r="V12" s="132" t="str">
        <v>문앞에 배송해주세요 감사합니다</v>
      </c>
      <c r="W12" s="139">
        <v>45360</v>
      </c>
      <c r="X12" s="139">
        <v>0</v>
      </c>
      <c r="Y12" s="139">
        <v>0</v>
      </c>
      <c r="Z12" s="139">
        <v>0</v>
      </c>
      <c r="AA12" s="139">
        <v>0</v>
      </c>
      <c r="AB12" s="146">
        <v>0</v>
      </c>
      <c r="AC12" s="146">
        <v>0</v>
      </c>
      <c r="AD12" s="139">
        <v>0</v>
      </c>
      <c r="AE12" s="132" t="str">
        <v>비닐스토리 스마트 스토어 강정환 경북대 생활협동조합 SE.28 유백 530214528101 010-9226-2126 45470995</v>
      </c>
    </row>
    <row r="13" spans="1:31">
      <c r="A13" s="132">
        <v>40</v>
      </c>
      <c r="B13" s="132" t="str">
        <v>비닐스토리</v>
      </c>
      <c r="C13" s="132" t="str">
        <v>스마트 스토어</v>
      </c>
      <c r="D13" s="132" t="str">
        <v>강정환</v>
      </c>
      <c r="E13" s="133">
        <v>45447</v>
      </c>
      <c r="F13" s="132" t="str">
        <v>경북대 생활협동조합</v>
      </c>
      <c r="G13" s="132" t="str">
        <v>540213347735</v>
      </c>
      <c r="H13" s="132" t="str">
        <v>SE.27</v>
      </c>
      <c r="I13" s="132" t="str">
        <v>유백</v>
      </c>
      <c r="J13" s="132">
        <v>16</v>
      </c>
      <c r="K13" s="139">
        <v>56320</v>
      </c>
      <c r="L13" s="139">
        <v>0</v>
      </c>
      <c r="M13" s="139">
        <v>0</v>
      </c>
      <c r="N13" s="133">
        <v>45447</v>
      </c>
      <c r="O13" s="132" t="str">
        <v>2024060498971601</v>
      </c>
      <c r="P13" s="135" t="str">
        <v>ksl1****</v>
      </c>
      <c r="Q13" s="149" t="str">
        <v>010-9226-2126</v>
      </c>
      <c r="R13" s="132" t="str">
        <v>CJ대한통운</v>
      </c>
      <c r="S13" s="140">
        <v>0</v>
      </c>
      <c r="T13" s="132" t="str">
        <v>010-9226-2126</v>
      </c>
      <c r="U13" s="132" t="str">
        <v>대구광역시 북구 대학로 80 (산격동, 경북대학교) 복현회관 2층 생활협동조합</v>
      </c>
      <c r="V13" s="132" t="str">
        <v>문앞에 배송해주세요 감사합니다</v>
      </c>
      <c r="W13" s="139">
        <v>92160</v>
      </c>
      <c r="X13" s="139">
        <v>0</v>
      </c>
      <c r="Y13" s="139">
        <v>0</v>
      </c>
      <c r="Z13" s="139">
        <v>0</v>
      </c>
      <c r="AA13" s="139">
        <v>0</v>
      </c>
      <c r="AB13" s="146">
        <v>0</v>
      </c>
      <c r="AC13" s="146">
        <v>0</v>
      </c>
      <c r="AD13" s="139">
        <v>0</v>
      </c>
      <c r="AE13" s="132" t="str">
        <v>비닐스토리 스마트 스토어 강정환 경북대 생활협동조합 SE.27 유백 540213347735 010-9226-2126 2024060498971601</v>
      </c>
    </row>
    <row r="14" spans="1:31">
      <c r="A14" s="132">
        <v>41</v>
      </c>
      <c r="B14" s="132" t="str">
        <v>비닐스토리</v>
      </c>
      <c r="C14" s="132" t="str">
        <v>스마트 스토어</v>
      </c>
      <c r="D14" s="132" t="str">
        <v>강정환</v>
      </c>
      <c r="E14" s="133">
        <v>45447</v>
      </c>
      <c r="F14" s="132" t="str">
        <v>경북대 생활협동조합</v>
      </c>
      <c r="G14" s="132" t="str">
        <v>540213347735</v>
      </c>
      <c r="H14" s="132" t="str">
        <v>SE.28</v>
      </c>
      <c r="I14" s="132" t="str">
        <v>유백</v>
      </c>
      <c r="J14" s="132">
        <v>6</v>
      </c>
      <c r="K14" s="139">
        <v>27720</v>
      </c>
      <c r="L14" s="139">
        <v>0</v>
      </c>
      <c r="M14" s="139">
        <v>0</v>
      </c>
      <c r="N14" s="133">
        <v>45447</v>
      </c>
      <c r="O14" s="132" t="str">
        <v>2024060498672261</v>
      </c>
      <c r="P14" s="135" t="str">
        <v>ksl1****</v>
      </c>
      <c r="Q14" s="149" t="str">
        <v>010-9226-2126</v>
      </c>
      <c r="R14" s="132" t="str">
        <v>CJ대한통운</v>
      </c>
      <c r="S14" s="140">
        <v>0</v>
      </c>
      <c r="T14" s="132" t="str">
        <v>010-9226-2126</v>
      </c>
      <c r="U14" s="132" t="str">
        <v>대구광역시 북구 대학로 80 (산격동, 경북대학교) 복현회관 2층 생활협동조합</v>
      </c>
      <c r="V14" s="132" t="str">
        <v>문앞에 배송해주세요 감사합니다</v>
      </c>
      <c r="W14" s="139">
        <v>45360</v>
      </c>
      <c r="X14" s="139">
        <v>0</v>
      </c>
      <c r="Y14" s="139">
        <v>0</v>
      </c>
      <c r="Z14" s="139">
        <v>0</v>
      </c>
      <c r="AA14" s="139">
        <v>0</v>
      </c>
      <c r="AB14" s="146">
        <v>0</v>
      </c>
      <c r="AC14" s="146">
        <v>0</v>
      </c>
      <c r="AD14" s="139">
        <v>0</v>
      </c>
      <c r="AE14" s="132" t="str">
        <v>비닐스토리 스마트 스토어 강정환 경북대 생활협동조합 SE.28 유백 540213347735 010-9226-2126 2024060498672261</v>
      </c>
    </row>
    <row r="15" spans="1:31">
      <c r="A15" s="132">
        <v>68</v>
      </c>
      <c r="B15" s="132" t="str">
        <v>비닐스토리</v>
      </c>
      <c r="C15" s="132" t="str">
        <v>쿠팡</v>
      </c>
      <c r="D15" s="132" t="str">
        <v>고성관</v>
      </c>
      <c r="E15" s="133">
        <v>45448</v>
      </c>
      <c r="F15" s="132" t="str">
        <v>을찌로떡볶이</v>
      </c>
      <c r="G15" s="132" t="str">
        <v>530215273796</v>
      </c>
      <c r="H15" s="132" t="str">
        <v>SE.307</v>
      </c>
      <c r="I15" s="132" t="str">
        <v>투명</v>
      </c>
      <c r="J15" s="132">
        <v>1</v>
      </c>
      <c r="K15" s="139">
        <v>10260</v>
      </c>
      <c r="L15" s="139">
        <v>3000</v>
      </c>
      <c r="M15" s="139">
        <v>0</v>
      </c>
      <c r="N15" s="133">
        <v>45447</v>
      </c>
      <c r="O15" s="132" t="str">
        <v>24100051338432</v>
      </c>
      <c r="P15" s="135" t="str">
        <v>dk*****@na</v>
      </c>
      <c r="Q15" s="149" t="str">
        <v>0502-4654-2053</v>
      </c>
      <c r="R15" s="132" t="str">
        <v>CJ대한통운</v>
      </c>
      <c r="S15" s="140">
        <v>0</v>
      </c>
      <c r="T15" s="132" t="str">
        <v>0502-4654-2053</v>
      </c>
      <c r="U15" s="132" t="str">
        <v>경기도 광명시 안재로6번길 24 1층 을찌로떡볶이 ( 하안동 )</v>
      </c>
      <c r="V15" s="132" t="str">
        <v>문 앞</v>
      </c>
      <c r="W15" s="139">
        <v>12470</v>
      </c>
      <c r="X15" s="139">
        <v>0</v>
      </c>
      <c r="Y15" s="139">
        <v>3000</v>
      </c>
      <c r="Z15" s="139">
        <v>0</v>
      </c>
      <c r="AA15" s="139">
        <v>0</v>
      </c>
      <c r="AB15" s="146">
        <v>0</v>
      </c>
      <c r="AC15" s="146">
        <v>0</v>
      </c>
      <c r="AD15" s="139">
        <v>0</v>
      </c>
      <c r="AE15" s="132" t="str">
        <v>비닐스토리 쿠팡 고성관 을찌로떡볶이 SE.307 투명 530215273796 0502-4654-2053 24100051338432</v>
      </c>
    </row>
    <row r="16" spans="1:31">
      <c r="A16" s="132">
        <v>6</v>
      </c>
      <c r="B16" s="132" t="str">
        <v>비닐스토리</v>
      </c>
      <c r="C16" s="132" t="str">
        <v>스마트 스토어</v>
      </c>
      <c r="D16" s="132" t="str">
        <v>고수연</v>
      </c>
      <c r="E16" s="133">
        <v>45443</v>
      </c>
      <c r="F16" s="132" t="str">
        <v>고수연</v>
      </c>
      <c r="G16" s="132" t="str">
        <v>530211538681</v>
      </c>
      <c r="H16" s="132" t="str">
        <v>SE.9</v>
      </c>
      <c r="I16" s="132" t="str">
        <v>보라</v>
      </c>
      <c r="J16" s="132">
        <v>40</v>
      </c>
      <c r="K16" s="139">
        <v>35200</v>
      </c>
      <c r="L16" s="139">
        <v>4400</v>
      </c>
      <c r="M16" s="139">
        <v>0</v>
      </c>
      <c r="N16" s="133">
        <v>45443</v>
      </c>
      <c r="O16" s="132" t="str">
        <v>2024053156943881</v>
      </c>
      <c r="P16" s="135" t="str">
        <v>kkos****</v>
      </c>
      <c r="Q16" s="149" t="str">
        <v>010-9034-2127</v>
      </c>
      <c r="R16" s="132" t="str">
        <v>CJ대한통운</v>
      </c>
      <c r="S16" s="140">
        <v>0</v>
      </c>
      <c r="T16" s="132" t="str">
        <v>010-9034-2127</v>
      </c>
      <c r="U16" s="132" t="str">
        <v>인천광역시 연수구 옥련로 33 (옥련동, 현대1차아파트) 104동104호</v>
      </c>
      <c r="V16" s="132">
        <v>0</v>
      </c>
      <c r="W16" s="139">
        <v>50400</v>
      </c>
      <c r="X16" s="139">
        <v>0</v>
      </c>
      <c r="Y16" s="139">
        <v>0</v>
      </c>
      <c r="Z16" s="139">
        <v>0</v>
      </c>
      <c r="AA16" s="139">
        <v>0</v>
      </c>
      <c r="AB16" s="146">
        <v>0</v>
      </c>
      <c r="AC16" s="146">
        <v>0</v>
      </c>
      <c r="AD16" s="139">
        <v>0</v>
      </c>
      <c r="AE16" s="132" t="str">
        <v>비닐스토리 스마트 스토어 고수연 고수연 SE.9 보라 530211538681 010-9034-2127 2024053156943881</v>
      </c>
    </row>
    <row r="17" spans="1:31">
      <c r="A17" s="132">
        <v>127</v>
      </c>
      <c r="B17" s="132" t="str">
        <v>비닐스토리</v>
      </c>
      <c r="C17" s="132" t="str">
        <v>스마트 스토어</v>
      </c>
      <c r="D17" s="132" t="str">
        <v>고정아</v>
      </c>
      <c r="E17" s="133">
        <v>45454</v>
      </c>
      <c r="F17" s="132" t="str">
        <v>제주한울에프앤비</v>
      </c>
      <c r="G17" s="132" t="str">
        <v>530219199816</v>
      </c>
      <c r="H17" s="132" t="str">
        <v>SE.204</v>
      </c>
      <c r="I17" s="132" t="str">
        <v>투명</v>
      </c>
      <c r="J17" s="132">
        <v>2</v>
      </c>
      <c r="K17" s="139">
        <v>33000</v>
      </c>
      <c r="L17" s="139">
        <v>4400</v>
      </c>
      <c r="M17" s="139">
        <v>0</v>
      </c>
      <c r="N17" s="133">
        <v>45453</v>
      </c>
      <c r="O17" s="132" t="str">
        <v>2024061031222111</v>
      </c>
      <c r="P17" s="135" t="str">
        <v>hanu****</v>
      </c>
      <c r="Q17" s="149" t="str">
        <v>010-4784-8940</v>
      </c>
      <c r="R17" s="132" t="str">
        <v>CJ대한통운</v>
      </c>
      <c r="S17" s="140">
        <v>0</v>
      </c>
      <c r="T17" s="132" t="str">
        <v>010-4784-8940</v>
      </c>
      <c r="U17" s="132" t="str">
        <v>제주특별자치도 제주시 한림읍 누운오름로 4 (한림읍)</v>
      </c>
      <c r="V17" s="132" t="str">
        <v>부재시 건물 뒤쪽 회색컨테이너안에 넣어주세요</v>
      </c>
      <c r="W17" s="139">
        <v>42120</v>
      </c>
      <c r="X17" s="139">
        <v>4680</v>
      </c>
      <c r="Y17" s="139">
        <v>0</v>
      </c>
      <c r="Z17" s="139">
        <v>3000</v>
      </c>
      <c r="AA17" s="139">
        <v>0</v>
      </c>
      <c r="AB17" s="146">
        <v>0</v>
      </c>
      <c r="AC17" s="146">
        <v>0</v>
      </c>
      <c r="AD17" s="139">
        <v>0</v>
      </c>
      <c r="AE17" s="132" t="str">
        <v>비닐스토리 스마트 스토어 고정아 제주한울에프앤비 SE.204 투명 530219199816 010-4784-8940 2024061031222111</v>
      </c>
    </row>
    <row r="18" spans="1:31">
      <c r="A18" s="132">
        <v>128</v>
      </c>
      <c r="B18" s="132" t="str">
        <v>비닐스토리</v>
      </c>
      <c r="C18" s="132" t="str">
        <v>스마트 스토어</v>
      </c>
      <c r="D18" s="132" t="str">
        <v>고정아</v>
      </c>
      <c r="E18" s="133">
        <v>45454</v>
      </c>
      <c r="F18" s="132" t="str">
        <v>제주한울에프앤비</v>
      </c>
      <c r="G18" s="132" t="str">
        <v>530219199816</v>
      </c>
      <c r="H18" s="132" t="str">
        <v>SE.205</v>
      </c>
      <c r="I18" s="132" t="str">
        <v>투명</v>
      </c>
      <c r="J18" s="132">
        <v>1</v>
      </c>
      <c r="K18" s="139">
        <v>16500</v>
      </c>
      <c r="L18" s="139">
        <v>0</v>
      </c>
      <c r="M18" s="139">
        <v>0</v>
      </c>
      <c r="N18" s="133">
        <v>45453</v>
      </c>
      <c r="O18" s="132" t="str">
        <v>2024061031222101</v>
      </c>
      <c r="P18" s="135" t="str">
        <v>hanu****</v>
      </c>
      <c r="Q18" s="149" t="str">
        <v>010-4784-8940</v>
      </c>
      <c r="R18" s="132" t="str">
        <v>CJ대한통운</v>
      </c>
      <c r="S18" s="140">
        <v>0</v>
      </c>
      <c r="T18" s="132" t="str">
        <v>010-4784-8940</v>
      </c>
      <c r="U18" s="132" t="str">
        <v>제주특별자치도 제주시 한림읍 누운오름로 4 (한림읍)</v>
      </c>
      <c r="V18" s="132" t="str">
        <v>부재시 건물 뒤쪽 회색컨테이너안에 넣어주세요</v>
      </c>
      <c r="W18" s="139">
        <v>24300</v>
      </c>
      <c r="X18" s="139">
        <v>2700</v>
      </c>
      <c r="Y18" s="139">
        <v>0</v>
      </c>
      <c r="Z18" s="139">
        <v>3000</v>
      </c>
      <c r="AA18" s="139">
        <v>0</v>
      </c>
      <c r="AB18" s="146">
        <v>0</v>
      </c>
      <c r="AC18" s="146">
        <v>0</v>
      </c>
      <c r="AD18" s="139">
        <v>0</v>
      </c>
      <c r="AE18" s="132" t="str">
        <v>비닐스토리 스마트 스토어 고정아 제주한울에프앤비 SE.205 투명 530219199816 010-4784-8940 2024061031222101</v>
      </c>
    </row>
    <row r="19" spans="1:31">
      <c r="A19" s="132">
        <v>47</v>
      </c>
      <c r="B19" s="132" t="str">
        <v>비닐팩토리</v>
      </c>
      <c r="C19" s="132" t="str">
        <v>스마트 스토어</v>
      </c>
      <c r="D19" s="132" t="str">
        <v>고종연</v>
      </c>
      <c r="E19" s="133">
        <v>45447</v>
      </c>
      <c r="F19" s="132" t="str">
        <v>고종연</v>
      </c>
      <c r="G19" s="132" t="str">
        <v>540213347831</v>
      </c>
      <c r="H19" s="132" t="str">
        <v>SE.106</v>
      </c>
      <c r="I19" s="132" t="str">
        <v>투명</v>
      </c>
      <c r="J19" s="132">
        <v>10</v>
      </c>
      <c r="K19" s="139">
        <v>0</v>
      </c>
      <c r="L19" s="139">
        <v>3500</v>
      </c>
      <c r="M19" s="139">
        <v>0</v>
      </c>
      <c r="N19" s="133">
        <v>45447</v>
      </c>
      <c r="O19" s="132" t="str">
        <v>2024060499064921</v>
      </c>
      <c r="P19" s="135" t="str">
        <v>kjy6****</v>
      </c>
      <c r="Q19" s="149" t="str">
        <v>010-3789-6659</v>
      </c>
      <c r="R19" s="132" t="str">
        <v>CJ대한통운</v>
      </c>
      <c r="S19" s="140">
        <v>0</v>
      </c>
      <c r="T19" s="132" t="str">
        <v>010-3789-6659</v>
      </c>
      <c r="U19" s="132" t="str">
        <v>경기도 하남시 미사대로 380 (망월동) 농협하나로마트</v>
      </c>
      <c r="V19" s="132" t="str">
        <v>배송 전 미리 연락해 주세요</v>
      </c>
      <c r="W19" s="139">
        <v>29700</v>
      </c>
      <c r="X19" s="139">
        <v>12900</v>
      </c>
      <c r="Y19" s="139">
        <v>0</v>
      </c>
      <c r="Z19" s="139">
        <v>0</v>
      </c>
      <c r="AA19" s="139">
        <v>0</v>
      </c>
      <c r="AB19" s="146">
        <v>0</v>
      </c>
      <c r="AC19" s="146">
        <v>0</v>
      </c>
      <c r="AD19" s="139">
        <v>0</v>
      </c>
      <c r="AE19" s="132" t="str">
        <v>비닐팩토리 스마트 스토어 고종연 고종연 SE.106 투명 540213347831 010-3789-6659 2024060499064921</v>
      </c>
    </row>
    <row r="20" spans="1:31">
      <c r="A20" s="132">
        <v>93</v>
      </c>
      <c r="B20" s="132" t="str">
        <v>비닐스토리</v>
      </c>
      <c r="C20" s="132" t="str">
        <v>쿠팡</v>
      </c>
      <c r="D20" s="132" t="str">
        <v>권보민</v>
      </c>
      <c r="E20" s="133">
        <v>45453</v>
      </c>
      <c r="F20" s="132" t="str">
        <v>해피앤댕</v>
      </c>
      <c r="G20" s="132" t="str">
        <v>530217935675</v>
      </c>
      <c r="H20" s="132" t="str">
        <v>SE.307</v>
      </c>
      <c r="I20" s="132" t="str">
        <v>투명</v>
      </c>
      <c r="J20" s="132">
        <v>1</v>
      </c>
      <c r="K20" s="139">
        <v>10260</v>
      </c>
      <c r="L20" s="139">
        <v>3000</v>
      </c>
      <c r="M20" s="139">
        <v>0</v>
      </c>
      <c r="N20" s="133">
        <v>45450</v>
      </c>
      <c r="O20" s="132" t="str">
        <v>8100051985118</v>
      </c>
      <c r="P20" s="135" t="str">
        <v>sk*****@na</v>
      </c>
      <c r="Q20" s="149" t="str">
        <v>0502-1253-6938</v>
      </c>
      <c r="R20" s="132" t="str">
        <v>CJ대한통운</v>
      </c>
      <c r="S20" s="140">
        <v>0</v>
      </c>
      <c r="T20" s="132" t="str">
        <v>0502-1253-6938</v>
      </c>
      <c r="U20" s="132" t="str">
        <v>충청북도 청주시 청원구 율봉로116번길 24 102호 해피앤댕 ( 율량동 )</v>
      </c>
      <c r="V20" s="132" t="str">
        <v>문 앞</v>
      </c>
      <c r="W20" s="139">
        <v>12470</v>
      </c>
      <c r="X20" s="139">
        <v>0</v>
      </c>
      <c r="Y20" s="139">
        <v>3000</v>
      </c>
      <c r="Z20" s="139">
        <v>0</v>
      </c>
      <c r="AA20" s="139">
        <v>0</v>
      </c>
      <c r="AB20" s="146">
        <v>0</v>
      </c>
      <c r="AC20" s="146">
        <v>0</v>
      </c>
      <c r="AD20" s="139">
        <v>0</v>
      </c>
      <c r="AE20" s="132" t="str">
        <v>비닐스토리 쿠팡 권보민 해피앤댕 SE.307 투명 530217935675 0502-1253-6938 8100051985118</v>
      </c>
    </row>
    <row r="21" spans="1:31">
      <c r="A21" s="132">
        <v>86</v>
      </c>
      <c r="B21" s="132" t="str">
        <v>비닐스토리</v>
      </c>
      <c r="C21" s="132" t="str">
        <v>쿠팡</v>
      </c>
      <c r="D21" s="132" t="str">
        <v>권유진</v>
      </c>
      <c r="E21" s="133">
        <v>45450</v>
      </c>
      <c r="F21" s="132" t="str">
        <v>다다하다장산점</v>
      </c>
      <c r="G21" s="132" t="str">
        <v>540215391470</v>
      </c>
      <c r="H21" s="132" t="str">
        <v>SE.206</v>
      </c>
      <c r="I21" s="132" t="str">
        <v>투명</v>
      </c>
      <c r="J21" s="132">
        <v>1</v>
      </c>
      <c r="K21" s="139">
        <v>23300</v>
      </c>
      <c r="L21" s="139">
        <v>3500</v>
      </c>
      <c r="M21" s="139">
        <v>0</v>
      </c>
      <c r="N21" s="133">
        <v>45448</v>
      </c>
      <c r="O21" s="132" t="str">
        <v>25100051580368</v>
      </c>
      <c r="P21" s="135" t="str">
        <v>lo*****@ho</v>
      </c>
      <c r="Q21" s="149" t="str">
        <v>0502-1654-1737</v>
      </c>
      <c r="R21" s="132" t="str">
        <v>CJ대한통운</v>
      </c>
      <c r="S21" s="140">
        <v>0</v>
      </c>
      <c r="T21" s="132" t="str">
        <v>0502-1654-1737</v>
      </c>
      <c r="U21" s="132" t="str">
        <v>부산광역시 해운대구 좌동로 105 1층 ( 좌동 )</v>
      </c>
      <c r="V21" s="132" t="str">
        <v>매장안에 부탁드립니다</v>
      </c>
      <c r="W21" s="139">
        <v>34020</v>
      </c>
      <c r="X21" s="139">
        <v>0</v>
      </c>
      <c r="Y21" s="139">
        <v>3000</v>
      </c>
      <c r="Z21" s="139">
        <v>0</v>
      </c>
      <c r="AA21" s="139">
        <v>0</v>
      </c>
      <c r="AB21" s="146">
        <v>0</v>
      </c>
      <c r="AC21" s="146">
        <v>0</v>
      </c>
      <c r="AD21" s="139">
        <v>0</v>
      </c>
      <c r="AE21" s="132" t="str">
        <v>비닐스토리 쿠팡 권유진 다다하다장산점 SE.206 투명 540215391470 0502-1654-1737 25100051580368</v>
      </c>
    </row>
    <row r="22" spans="1:31">
      <c r="A22" s="132">
        <v>85</v>
      </c>
      <c r="B22" s="132" t="str">
        <v>비닐팩토리</v>
      </c>
      <c r="C22" s="132" t="str">
        <v>쿠팡</v>
      </c>
      <c r="D22" s="132" t="str">
        <v>김기옥</v>
      </c>
      <c r="E22" s="133">
        <v>45450</v>
      </c>
      <c r="F22" s="132" t="str">
        <v>김기옥</v>
      </c>
      <c r="G22" s="132" t="str">
        <v>540215391374</v>
      </c>
      <c r="H22" s="132" t="str">
        <v>SE.206</v>
      </c>
      <c r="I22" s="132" t="str">
        <v>투명</v>
      </c>
      <c r="J22" s="132">
        <v>1</v>
      </c>
      <c r="K22" s="139">
        <v>0</v>
      </c>
      <c r="L22" s="139">
        <v>3500</v>
      </c>
      <c r="M22" s="139">
        <v>0</v>
      </c>
      <c r="N22" s="133">
        <v>45449</v>
      </c>
      <c r="O22" s="132" t="str">
        <v>13100051693704</v>
      </c>
      <c r="P22" s="135" t="str">
        <v>ki*****@ha</v>
      </c>
      <c r="Q22" s="149" t="str">
        <v>0502-4592-1021</v>
      </c>
      <c r="R22" s="132" t="str">
        <v>CJ대한통운</v>
      </c>
      <c r="S22" s="140">
        <v>0</v>
      </c>
      <c r="T22" s="132" t="str">
        <v>0502-4592-1021</v>
      </c>
      <c r="U22" s="132" t="str">
        <v>서울특별시 은평구 구산동 16-85 1층 왼쪽</v>
      </c>
      <c r="V22" s="132" t="str">
        <v>문 앞</v>
      </c>
      <c r="W22" s="139">
        <v>30240</v>
      </c>
      <c r="X22" s="139">
        <v>0</v>
      </c>
      <c r="Y22" s="139">
        <v>3000</v>
      </c>
      <c r="Z22" s="139">
        <v>0</v>
      </c>
      <c r="AA22" s="139">
        <v>0</v>
      </c>
      <c r="AB22" s="146">
        <v>0</v>
      </c>
      <c r="AC22" s="146">
        <v>0</v>
      </c>
      <c r="AD22" s="139">
        <v>0</v>
      </c>
      <c r="AE22" s="132" t="str">
        <v>비닐팩토리 쿠팡 김기옥 김기옥 SE.206 투명 540215391374 0502-4592-1021 13100051693704</v>
      </c>
    </row>
    <row r="23" spans="1:31">
      <c r="A23" s="132">
        <v>173</v>
      </c>
      <c r="B23" s="132" t="str">
        <v>비닐스토리</v>
      </c>
      <c r="C23" s="132" t="str">
        <v>쿠팡</v>
      </c>
      <c r="D23" s="132" t="str">
        <v>김명석</v>
      </c>
      <c r="E23" s="133">
        <v>45457</v>
      </c>
      <c r="F23" s="132" t="str">
        <v>김명석</v>
      </c>
      <c r="G23" s="132" t="str">
        <v>530221956346</v>
      </c>
      <c r="H23" s="132" t="str">
        <v>SE.114</v>
      </c>
      <c r="I23" s="132" t="str">
        <v>투명</v>
      </c>
      <c r="J23" s="132">
        <v>3</v>
      </c>
      <c r="K23" s="139">
        <v>15380</v>
      </c>
      <c r="L23" s="139">
        <v>3500</v>
      </c>
      <c r="M23" s="139">
        <v>0</v>
      </c>
      <c r="N23" s="133">
        <v>45457</v>
      </c>
      <c r="O23" s="132" t="str">
        <v>1100052867012</v>
      </c>
      <c r="P23" s="135" t="str">
        <v>gm*****@na</v>
      </c>
      <c r="Q23" s="149" t="str">
        <v>0502-1771-0620</v>
      </c>
      <c r="R23" s="132" t="str">
        <v>CJ대한통운</v>
      </c>
      <c r="S23" s="140">
        <v>0</v>
      </c>
      <c r="T23" s="132" t="str">
        <v>0502-1771-0620</v>
      </c>
      <c r="U23" s="132" t="str">
        <v>경기도 성남시 중원구 상대원동 333-7 금강펜테리움IT타워 B동 702호</v>
      </c>
      <c r="V23" s="132" t="str">
        <v>문 앞</v>
      </c>
      <c r="W23" s="139">
        <v>20400</v>
      </c>
      <c r="X23" s="139">
        <v>0</v>
      </c>
      <c r="Y23" s="139">
        <v>0</v>
      </c>
      <c r="Z23" s="139">
        <v>0</v>
      </c>
      <c r="AA23" s="139">
        <v>0</v>
      </c>
      <c r="AB23" s="146">
        <v>0</v>
      </c>
      <c r="AC23" s="146">
        <v>0</v>
      </c>
      <c r="AD23" s="139">
        <v>0</v>
      </c>
      <c r="AE23" s="132" t="str">
        <v>비닐스토리 쿠팡 김명석 김명석 SE.114 투명 530221956346 0502-1771-0620 1100052867012</v>
      </c>
    </row>
    <row r="24" spans="1:31">
      <c r="A24" s="132">
        <v>46</v>
      </c>
      <c r="B24" s="132" t="str">
        <v>비닐스토리</v>
      </c>
      <c r="C24" s="132" t="str">
        <v>쿠팡</v>
      </c>
      <c r="D24" s="132" t="str">
        <v>김명준</v>
      </c>
      <c r="E24" s="133">
        <v>45447</v>
      </c>
      <c r="F24" s="132" t="str">
        <v>김범준</v>
      </c>
      <c r="G24" s="132" t="str">
        <v>530214334735</v>
      </c>
      <c r="H24" s="132" t="str">
        <v>SE.206</v>
      </c>
      <c r="I24" s="132" t="str">
        <v>투명</v>
      </c>
      <c r="J24" s="132">
        <v>1</v>
      </c>
      <c r="K24" s="139">
        <v>23300</v>
      </c>
      <c r="L24" s="139">
        <v>3500</v>
      </c>
      <c r="M24" s="139">
        <v>0</v>
      </c>
      <c r="N24" s="133">
        <v>45447</v>
      </c>
      <c r="O24" s="132" t="str">
        <v>11100051193765</v>
      </c>
      <c r="P24" s="135" t="str">
        <v>wo*****@na</v>
      </c>
      <c r="Q24" s="149" t="str">
        <v>0504-4953-1243</v>
      </c>
      <c r="R24" s="132" t="str">
        <v>CJ대한통운</v>
      </c>
      <c r="S24" s="140">
        <v>0</v>
      </c>
      <c r="T24" s="132" t="str">
        <v>0504-4953-1243</v>
      </c>
      <c r="U24" s="132" t="str">
        <v>인천광역시 서구 경서로31번길 15 단지내상가1층 웰니스카페 ( 경서동, 북청라하우스토리 )</v>
      </c>
      <c r="V24" s="132" t="str">
        <v>문 앞</v>
      </c>
      <c r="W24" s="139">
        <v>34020</v>
      </c>
      <c r="X24" s="139">
        <v>0</v>
      </c>
      <c r="Y24" s="139">
        <v>3000</v>
      </c>
      <c r="Z24" s="139">
        <v>0</v>
      </c>
      <c r="AA24" s="139">
        <v>0</v>
      </c>
      <c r="AB24" s="146">
        <v>0</v>
      </c>
      <c r="AC24" s="146">
        <v>0</v>
      </c>
      <c r="AD24" s="139">
        <v>0</v>
      </c>
      <c r="AE24" s="132" t="str">
        <v>비닐스토리 쿠팡 김명준 김범준 SE.206 투명 530214334735 0504-4953-1243 11100051193765</v>
      </c>
    </row>
    <row r="25" spans="1:31">
      <c r="A25" s="132">
        <v>84</v>
      </c>
      <c r="B25" s="132" t="str">
        <v>비닐팩토리</v>
      </c>
      <c r="C25" s="132" t="str">
        <v>쿠팡</v>
      </c>
      <c r="D25" s="132" t="str">
        <v>김서영</v>
      </c>
      <c r="E25" s="133">
        <v>45450</v>
      </c>
      <c r="F25" s="132" t="str">
        <v>김서영</v>
      </c>
      <c r="G25" s="132" t="str">
        <v>540215391573</v>
      </c>
      <c r="H25" s="132" t="str">
        <v>SE.205</v>
      </c>
      <c r="I25" s="132" t="str">
        <v>투명</v>
      </c>
      <c r="J25" s="132">
        <v>1</v>
      </c>
      <c r="K25" s="139">
        <v>0</v>
      </c>
      <c r="L25" s="139">
        <v>3500</v>
      </c>
      <c r="M25" s="139">
        <v>0</v>
      </c>
      <c r="N25" s="133">
        <v>45448</v>
      </c>
      <c r="O25" s="132" t="str">
        <v>5100051437810</v>
      </c>
      <c r="P25" s="135" t="str">
        <v>vv*****@na</v>
      </c>
      <c r="Q25" s="149" t="str">
        <v>0502-4860-8914</v>
      </c>
      <c r="R25" s="132" t="str">
        <v>CJ대한통운</v>
      </c>
      <c r="S25" s="140">
        <v>0</v>
      </c>
      <c r="T25" s="132" t="str">
        <v>0502-4860-8914</v>
      </c>
      <c r="U25" s="132" t="str">
        <v>부산광역시 부산진구 성지로 37 연지 래미안어반파크 101동 102호 ( 연지동 )</v>
      </c>
      <c r="V25" s="132" t="str">
        <v>직접 받고 부재 시 문 앞</v>
      </c>
      <c r="W25" s="139">
        <v>25200</v>
      </c>
      <c r="X25" s="139">
        <v>0</v>
      </c>
      <c r="Y25" s="139">
        <v>3000</v>
      </c>
      <c r="Z25" s="139">
        <v>0</v>
      </c>
      <c r="AA25" s="139">
        <v>0</v>
      </c>
      <c r="AB25" s="146">
        <v>0</v>
      </c>
      <c r="AC25" s="146">
        <v>0</v>
      </c>
      <c r="AD25" s="139">
        <v>0</v>
      </c>
      <c r="AE25" s="132" t="str">
        <v>비닐팩토리 쿠팡 김서영 김서영 SE.205 투명 540215391573 0502-4860-8914 5100051437810</v>
      </c>
    </row>
    <row r="26" spans="1:31">
      <c r="A26" s="132">
        <v>136</v>
      </c>
      <c r="B26" s="132" t="str">
        <v>비닐팩토리</v>
      </c>
      <c r="C26" s="132" t="str">
        <v>스마트 스토어</v>
      </c>
      <c r="D26" s="132" t="str">
        <v>김성엽</v>
      </c>
      <c r="E26" s="133">
        <v>45454</v>
      </c>
      <c r="F26" s="132" t="str">
        <v>윌로우(주)</v>
      </c>
      <c r="G26" s="132" t="str">
        <v>530219199912</v>
      </c>
      <c r="H26" s="132" t="str">
        <v>SE.205</v>
      </c>
      <c r="I26" s="132" t="str">
        <v>투명</v>
      </c>
      <c r="J26" s="132">
        <v>1</v>
      </c>
      <c r="K26" s="139">
        <v>0</v>
      </c>
      <c r="L26" s="139">
        <v>3500</v>
      </c>
      <c r="M26" s="139">
        <v>0</v>
      </c>
      <c r="N26" s="133">
        <v>45453</v>
      </c>
      <c r="O26" s="132" t="str">
        <v>2024061021846441</v>
      </c>
      <c r="P26" s="135" t="str">
        <v>yeop****</v>
      </c>
      <c r="Q26" s="149" t="str">
        <v>010-9372-6698</v>
      </c>
      <c r="R26" s="132" t="str">
        <v>CJ대한통운</v>
      </c>
      <c r="S26" s="140">
        <v>0</v>
      </c>
      <c r="T26" s="132" t="str">
        <v>010-9372-6698</v>
      </c>
      <c r="U26" s="132" t="str">
        <v>경기도 수원시 장안구 수성로261번길 16 (정자동, 정자종합시장) 제 4층 409호 윌로우(주)</v>
      </c>
      <c r="V26" s="132">
        <v>0</v>
      </c>
      <c r="W26" s="139">
        <v>24000</v>
      </c>
      <c r="X26" s="139">
        <v>0</v>
      </c>
      <c r="Y26" s="139">
        <v>3000</v>
      </c>
      <c r="Z26" s="139">
        <v>0</v>
      </c>
      <c r="AA26" s="139">
        <v>0</v>
      </c>
      <c r="AB26" s="146">
        <v>0</v>
      </c>
      <c r="AC26" s="146">
        <v>0</v>
      </c>
      <c r="AD26" s="139">
        <v>0</v>
      </c>
      <c r="AE26" s="132" t="str">
        <v>비닐팩토리 스마트 스토어 김성엽 윌로우(주) SE.205 투명 530219199912 010-9372-6698 2024061021846441</v>
      </c>
    </row>
    <row r="27" spans="1:31">
      <c r="A27" s="132">
        <v>133</v>
      </c>
      <c r="B27" s="132" t="str">
        <v>비닐스토리</v>
      </c>
      <c r="C27" s="132" t="str">
        <v>쿠팡</v>
      </c>
      <c r="D27" s="132" t="str">
        <v>김성주</v>
      </c>
      <c r="E27" s="133">
        <v>45454</v>
      </c>
      <c r="F27" s="132" t="str">
        <v>김성주</v>
      </c>
      <c r="G27" s="132" t="str">
        <v>540218123780</v>
      </c>
      <c r="H27" s="132" t="str">
        <v>SE.114</v>
      </c>
      <c r="I27" s="132" t="str">
        <v>투명</v>
      </c>
      <c r="J27" s="132">
        <v>5</v>
      </c>
      <c r="K27" s="139">
        <v>23300</v>
      </c>
      <c r="L27" s="139">
        <v>3500</v>
      </c>
      <c r="M27" s="139">
        <v>0</v>
      </c>
      <c r="N27" s="133">
        <v>45453</v>
      </c>
      <c r="O27" s="132" t="str">
        <v>23100052328356</v>
      </c>
      <c r="P27" s="135" t="str">
        <v>ks*****@ha</v>
      </c>
      <c r="Q27" s="149" t="str">
        <v>0502-4991-1148</v>
      </c>
      <c r="R27" s="132" t="str">
        <v>CJ대한통운</v>
      </c>
      <c r="S27" s="140">
        <v>0</v>
      </c>
      <c r="T27" s="132" t="str">
        <v>0502-4991-1148</v>
      </c>
      <c r="U27" s="132" t="str">
        <v>부산광역시 강서구 명지동 3350 중흥S-클래스 에듀오션 202동 901호</v>
      </c>
      <c r="V27" s="132" t="str">
        <v>문 앞</v>
      </c>
      <c r="W27" s="139">
        <v>30600</v>
      </c>
      <c r="X27" s="139">
        <v>3400</v>
      </c>
      <c r="Y27" s="139">
        <v>0</v>
      </c>
      <c r="Z27" s="139">
        <v>0</v>
      </c>
      <c r="AA27" s="139">
        <v>0</v>
      </c>
      <c r="AB27" s="146">
        <v>0</v>
      </c>
      <c r="AC27" s="146">
        <v>0</v>
      </c>
      <c r="AD27" s="139">
        <v>0</v>
      </c>
      <c r="AE27" s="132" t="str">
        <v>비닐스토리 쿠팡 김성주 김성주 SE.114 투명 540218123780 0502-4991-1148 23100052328356</v>
      </c>
    </row>
    <row r="28" spans="1:31">
      <c r="A28" s="132">
        <v>141</v>
      </c>
      <c r="B28" s="132" t="str">
        <v>비닐스토리</v>
      </c>
      <c r="C28" s="132" t="str">
        <v>스마트 스토어</v>
      </c>
      <c r="D28" s="132" t="str">
        <v>김소희</v>
      </c>
      <c r="E28" s="133">
        <v>45455</v>
      </c>
      <c r="F28" s="132" t="str">
        <v>김소희</v>
      </c>
      <c r="G28" s="132" t="str">
        <v>540219104804</v>
      </c>
      <c r="H28" s="132" t="str">
        <v>SE.307</v>
      </c>
      <c r="I28" s="132" t="str">
        <v>투명</v>
      </c>
      <c r="J28" s="132">
        <v>1</v>
      </c>
      <c r="K28" s="139">
        <v>10260</v>
      </c>
      <c r="L28" s="139">
        <v>3000</v>
      </c>
      <c r="M28" s="139">
        <v>0</v>
      </c>
      <c r="N28" s="133">
        <v>45454</v>
      </c>
      <c r="O28" s="132" t="str">
        <v>2024061171125061</v>
      </c>
      <c r="P28" s="135" t="str">
        <v>fung****</v>
      </c>
      <c r="Q28" s="149" t="str">
        <v>010-2254-5827</v>
      </c>
      <c r="R28" s="132" t="str">
        <v>CJ대한통운</v>
      </c>
      <c r="S28" s="140">
        <v>0</v>
      </c>
      <c r="T28" s="132" t="str">
        <v>010-2254-5827</v>
      </c>
      <c r="U28" s="132" t="str">
        <v>경기도 광명시 범안로 1050 (하안동) 성보빌딩 202호</v>
      </c>
      <c r="V28" s="132" t="str">
        <v>문 앞에 놓아주세요</v>
      </c>
      <c r="W28" s="139">
        <v>10690</v>
      </c>
      <c r="X28" s="139">
        <v>1190</v>
      </c>
      <c r="Y28" s="139">
        <v>3000</v>
      </c>
      <c r="Z28" s="139">
        <v>0</v>
      </c>
      <c r="AA28" s="139">
        <v>0</v>
      </c>
      <c r="AB28" s="146">
        <v>0</v>
      </c>
      <c r="AC28" s="146">
        <v>0</v>
      </c>
      <c r="AD28" s="139">
        <v>0</v>
      </c>
      <c r="AE28" s="132" t="str">
        <v>비닐스토리 스마트 스토어 김소희 김소희 SE.307 투명 540219104804 010-2254-5827 2024061171125061</v>
      </c>
    </row>
    <row r="29" spans="1:31">
      <c r="A29" s="132">
        <v>154</v>
      </c>
      <c r="B29" s="132" t="str">
        <v>비닐스토리</v>
      </c>
      <c r="C29" s="132" t="str">
        <v>쿠팡</v>
      </c>
      <c r="D29" s="132" t="str">
        <v>김신</v>
      </c>
      <c r="E29" s="133">
        <v>45456</v>
      </c>
      <c r="F29" s="132" t="str">
        <v>김신</v>
      </c>
      <c r="G29" s="132" t="str">
        <v>530220762695</v>
      </c>
      <c r="H29" s="132" t="str">
        <v>SE.206</v>
      </c>
      <c r="I29" s="132" t="str">
        <v>투명</v>
      </c>
      <c r="J29" s="132">
        <v>1</v>
      </c>
      <c r="K29" s="139">
        <v>23300</v>
      </c>
      <c r="L29" s="139">
        <v>3500</v>
      </c>
      <c r="M29" s="139">
        <v>0</v>
      </c>
      <c r="N29" s="133">
        <v>45455</v>
      </c>
      <c r="O29" s="132" t="str">
        <v>19100052783568</v>
      </c>
      <c r="P29" s="135" t="str">
        <v>rl*****@na</v>
      </c>
      <c r="Q29" s="149" t="str">
        <v>0502-4800-4396</v>
      </c>
      <c r="R29" s="132" t="str">
        <v>CJ대한통운</v>
      </c>
      <c r="S29" s="140">
        <v>0</v>
      </c>
      <c r="T29" s="132" t="str">
        <v>0502-4800-4396</v>
      </c>
      <c r="U29" s="132" t="str">
        <v>부산광역시 동래구 온천동 1850 동래 3차 SK VIEW 상가동 1층 138호 명성뒷고기</v>
      </c>
      <c r="V29" s="132" t="str">
        <v>문 앞</v>
      </c>
      <c r="W29" s="139">
        <v>34020</v>
      </c>
      <c r="X29" s="139">
        <v>0</v>
      </c>
      <c r="Y29" s="139">
        <v>3000</v>
      </c>
      <c r="Z29" s="139">
        <v>0</v>
      </c>
      <c r="AA29" s="139">
        <v>0</v>
      </c>
      <c r="AB29" s="146">
        <v>0</v>
      </c>
      <c r="AC29" s="146">
        <v>0</v>
      </c>
      <c r="AD29" s="139">
        <v>0</v>
      </c>
      <c r="AE29" s="132" t="str">
        <v>비닐스토리 쿠팡 김신 김신 SE.206 투명 530220762695 0502-4800-4396 19100052783568</v>
      </c>
    </row>
    <row r="30" spans="1:31">
      <c r="A30" s="132">
        <v>110</v>
      </c>
      <c r="B30" s="132" t="str">
        <v>비닐스토리</v>
      </c>
      <c r="C30" s="132" t="str">
        <v>스마트 스토어</v>
      </c>
      <c r="D30" s="132" t="str">
        <v>김영균</v>
      </c>
      <c r="E30" s="133">
        <v>45453</v>
      </c>
      <c r="F30" s="132" t="str">
        <v>김영균</v>
      </c>
      <c r="G30" s="132" t="str">
        <v>540216957510</v>
      </c>
      <c r="H30" s="132" t="str">
        <v>SE.306</v>
      </c>
      <c r="I30" s="132" t="str">
        <v>투명</v>
      </c>
      <c r="J30" s="132">
        <v>4</v>
      </c>
      <c r="K30" s="139">
        <v>43120</v>
      </c>
      <c r="L30" s="139">
        <v>4400</v>
      </c>
      <c r="M30" s="139">
        <v>0</v>
      </c>
      <c r="N30" s="133">
        <v>45452</v>
      </c>
      <c r="O30" s="132" t="str">
        <v>2024060970394221</v>
      </c>
      <c r="P30" s="135" t="str">
        <v>kyg7****</v>
      </c>
      <c r="Q30" s="149" t="str">
        <v>010-3481-7254</v>
      </c>
      <c r="R30" s="132" t="str">
        <v>CJ대한통운</v>
      </c>
      <c r="S30" s="140">
        <v>0</v>
      </c>
      <c r="T30" s="132" t="str">
        <v>010-3481-7254</v>
      </c>
      <c r="U30" s="132" t="str">
        <v>세종특별자치시 금남면 성강길 35 서가네떡방</v>
      </c>
      <c r="V30" s="132">
        <v>0</v>
      </c>
      <c r="W30" s="139">
        <v>57000</v>
      </c>
      <c r="X30" s="139">
        <v>6360</v>
      </c>
      <c r="Y30" s="139">
        <v>0</v>
      </c>
      <c r="Z30" s="139">
        <v>0</v>
      </c>
      <c r="AA30" s="139">
        <v>0</v>
      </c>
      <c r="AB30" s="146">
        <v>0</v>
      </c>
      <c r="AC30" s="146">
        <v>0</v>
      </c>
      <c r="AD30" s="139">
        <v>0</v>
      </c>
      <c r="AE30" s="132" t="str">
        <v>비닐스토리 스마트 스토어 김영균 김영균 SE.306 투명 540216957510 010-3481-7254 2024060970394221</v>
      </c>
    </row>
    <row r="31" spans="1:31">
      <c r="A31" s="132">
        <v>73</v>
      </c>
      <c r="B31" s="132" t="str">
        <v>비닐팩토리</v>
      </c>
      <c r="C31" s="132" t="str">
        <v>스마트 스토어</v>
      </c>
      <c r="D31" s="132" t="str">
        <v>김영희</v>
      </c>
      <c r="E31" s="133">
        <v>45450</v>
      </c>
      <c r="F31" s="132" t="str">
        <v>김영희</v>
      </c>
      <c r="G31" s="132" t="str">
        <v>540215483284</v>
      </c>
      <c r="H31" s="132" t="str">
        <v>SE.206</v>
      </c>
      <c r="I31" s="132" t="str">
        <v>투명</v>
      </c>
      <c r="J31" s="132">
        <v>1</v>
      </c>
      <c r="K31" s="139">
        <v>0</v>
      </c>
      <c r="L31" s="139">
        <v>3000</v>
      </c>
      <c r="M31" s="139">
        <v>0</v>
      </c>
      <c r="N31" s="133">
        <v>45450</v>
      </c>
      <c r="O31" s="132" t="str">
        <v>2024060720131911</v>
      </c>
      <c r="P31" s="135" t="str">
        <v>hapt****</v>
      </c>
      <c r="Q31" s="149" t="str">
        <v>010-8563-3273</v>
      </c>
      <c r="R31" s="132" t="str">
        <v>CJ대한통운</v>
      </c>
      <c r="S31" s="140">
        <v>0</v>
      </c>
      <c r="T31" s="132" t="str">
        <v>0502-3778-2814</v>
      </c>
      <c r="U31" s="132" t="str">
        <v>경기도 남양주시 와부읍 수레로 88 (와부읍, 강산빌딩) 코너 103호 인생떡집</v>
      </c>
      <c r="V31" s="132">
        <v>0</v>
      </c>
      <c r="W31" s="139">
        <v>28400</v>
      </c>
      <c r="X31" s="139">
        <v>0</v>
      </c>
      <c r="Y31" s="139">
        <v>3000</v>
      </c>
      <c r="Z31" s="139">
        <v>0</v>
      </c>
      <c r="AA31" s="139">
        <v>0</v>
      </c>
      <c r="AB31" s="146">
        <v>0</v>
      </c>
      <c r="AC31" s="146">
        <v>0</v>
      </c>
      <c r="AD31" s="139">
        <v>0</v>
      </c>
      <c r="AE31" s="132" t="str">
        <v>비닐팩토리 스마트 스토어 김영희 김영희 SE.206 투명 540215483284 0502-3778-2814 2024060720131911</v>
      </c>
    </row>
    <row r="32" spans="1:31">
      <c r="A32" s="132">
        <v>94</v>
      </c>
      <c r="B32" s="132" t="str">
        <v>비닐스토리</v>
      </c>
      <c r="C32" s="132" t="str">
        <v>쿠팡</v>
      </c>
      <c r="D32" s="132" t="str">
        <v>김유리</v>
      </c>
      <c r="E32" s="133">
        <v>45453</v>
      </c>
      <c r="F32" s="132" t="str">
        <v>부평집</v>
      </c>
      <c r="G32" s="132" t="str">
        <v>540216957602</v>
      </c>
      <c r="H32" s="132" t="str">
        <v>SE.102</v>
      </c>
      <c r="I32" s="132" t="str">
        <v>투명</v>
      </c>
      <c r="J32" s="132">
        <v>1</v>
      </c>
      <c r="K32" s="139">
        <v>3660</v>
      </c>
      <c r="L32" s="139">
        <v>3000</v>
      </c>
      <c r="M32" s="139">
        <v>0</v>
      </c>
      <c r="N32" s="133">
        <v>45451</v>
      </c>
      <c r="O32" s="132" t="str">
        <v>3100052051031</v>
      </c>
      <c r="P32" s="135" t="str">
        <v>ky*****@na</v>
      </c>
      <c r="Q32" s="149" t="str">
        <v>0502-1492-5252</v>
      </c>
      <c r="R32" s="132" t="str">
        <v>CJ대한통운</v>
      </c>
      <c r="S32" s="140">
        <v>0</v>
      </c>
      <c r="T32" s="132" t="str">
        <v>0502-1492-5252</v>
      </c>
      <c r="U32" s="132" t="str">
        <v>인천광역시 부평구 길주남로10번길 21 105동 1803호 ( 부평동, 래미안부평 )</v>
      </c>
      <c r="V32" s="132" t="str">
        <v>문 앞</v>
      </c>
      <c r="W32" s="139">
        <v>1150</v>
      </c>
      <c r="X32" s="139">
        <v>0</v>
      </c>
      <c r="Y32" s="139">
        <v>3000</v>
      </c>
      <c r="Z32" s="139">
        <v>0</v>
      </c>
      <c r="AA32" s="139">
        <v>0</v>
      </c>
      <c r="AB32" s="146">
        <v>0</v>
      </c>
      <c r="AC32" s="146">
        <v>0</v>
      </c>
      <c r="AD32" s="139">
        <v>0</v>
      </c>
      <c r="AE32" s="132" t="str">
        <v>비닐스토리 쿠팡 김유리 부평집 SE.102 투명 540216957602 0502-1492-5252 3100052051031</v>
      </c>
    </row>
    <row r="33" spans="1:31">
      <c r="A33" s="132">
        <v>102</v>
      </c>
      <c r="B33" s="132" t="str">
        <v>비닐스토리</v>
      </c>
      <c r="C33" s="132" t="str">
        <v>쿠팡</v>
      </c>
      <c r="D33" s="132" t="str">
        <v>김은희</v>
      </c>
      <c r="E33" s="133">
        <v>45453</v>
      </c>
      <c r="F33" s="132" t="str">
        <v>김은희</v>
      </c>
      <c r="G33" s="132" t="str">
        <v>530217935815</v>
      </c>
      <c r="H33" s="132" t="str">
        <v>SE.206</v>
      </c>
      <c r="I33" s="132" t="str">
        <v>투명</v>
      </c>
      <c r="J33" s="132">
        <v>1</v>
      </c>
      <c r="K33" s="139">
        <v>23300</v>
      </c>
      <c r="L33" s="139">
        <v>3500</v>
      </c>
      <c r="M33" s="139">
        <v>0</v>
      </c>
      <c r="N33" s="133">
        <v>45452</v>
      </c>
      <c r="O33" s="132" t="str">
        <v>23100052114583</v>
      </c>
      <c r="P33" s="135" t="str">
        <v>mi*****@da</v>
      </c>
      <c r="Q33" s="149" t="str">
        <v>0502-4284-9467</v>
      </c>
      <c r="R33" s="132" t="str">
        <v>CJ대한통운</v>
      </c>
      <c r="S33" s="140">
        <v>0</v>
      </c>
      <c r="T33" s="132" t="str">
        <v>0502-4284-9467</v>
      </c>
      <c r="U33" s="132" t="str">
        <v>충청북도 청주시 흥덕구 오송읍 봉산2길 16 OK타워 203호 살롱 마인</v>
      </c>
      <c r="V33" s="132" t="str">
        <v>문 앞</v>
      </c>
      <c r="W33" s="139">
        <v>34020</v>
      </c>
      <c r="X33" s="139">
        <v>0</v>
      </c>
      <c r="Y33" s="139">
        <v>3000</v>
      </c>
      <c r="Z33" s="139">
        <v>0</v>
      </c>
      <c r="AA33" s="139">
        <v>0</v>
      </c>
      <c r="AB33" s="146">
        <v>0</v>
      </c>
      <c r="AC33" s="146">
        <v>0</v>
      </c>
      <c r="AD33" s="139">
        <v>0</v>
      </c>
      <c r="AE33" s="132" t="str">
        <v>비닐스토리 쿠팡 김은희 김은희 SE.206 투명 530217935815 0502-4284-9467 23100052114583</v>
      </c>
    </row>
    <row r="34" spans="1:31">
      <c r="A34" s="132">
        <v>152</v>
      </c>
      <c r="B34" s="132" t="str">
        <v>비닐스토리</v>
      </c>
      <c r="C34" s="132" t="str">
        <v>쿠팡</v>
      </c>
      <c r="D34" s="132" t="str">
        <v>김재성</v>
      </c>
      <c r="E34" s="133">
        <v>45456</v>
      </c>
      <c r="F34" s="132" t="str">
        <v>김재성</v>
      </c>
      <c r="G34" s="132" t="str">
        <v>540219665515</v>
      </c>
      <c r="H34" s="132" t="str">
        <v>SE.206</v>
      </c>
      <c r="I34" s="132" t="str">
        <v>투명</v>
      </c>
      <c r="J34" s="132">
        <v>1</v>
      </c>
      <c r="K34" s="139">
        <v>23300</v>
      </c>
      <c r="L34" s="139">
        <v>3500</v>
      </c>
      <c r="M34" s="139">
        <v>0</v>
      </c>
      <c r="N34" s="133">
        <v>45455</v>
      </c>
      <c r="O34" s="132" t="str">
        <v>28100052588127</v>
      </c>
      <c r="P34" s="135" t="str">
        <v>pa*****@gm</v>
      </c>
      <c r="Q34" s="149" t="str">
        <v>0502-5213-9023</v>
      </c>
      <c r="R34" s="132" t="str">
        <v>CJ대한통운</v>
      </c>
      <c r="S34" s="140">
        <v>0</v>
      </c>
      <c r="T34" s="132" t="str">
        <v>0502-5213-9023</v>
      </c>
      <c r="U34" s="132" t="str">
        <v>서울특별시 동대문구 답십리동 1003 래미안위브 403동 1605호</v>
      </c>
      <c r="V34" s="132" t="str">
        <v>직접 받고 부재 시 문 앞</v>
      </c>
      <c r="W34" s="139">
        <v>34020</v>
      </c>
      <c r="X34" s="139">
        <v>0</v>
      </c>
      <c r="Y34" s="139">
        <v>3000</v>
      </c>
      <c r="Z34" s="139">
        <v>0</v>
      </c>
      <c r="AA34" s="139">
        <v>0</v>
      </c>
      <c r="AB34" s="146">
        <v>0</v>
      </c>
      <c r="AC34" s="146">
        <v>0</v>
      </c>
      <c r="AD34" s="139">
        <v>0</v>
      </c>
      <c r="AE34" s="132" t="str">
        <v>비닐스토리 쿠팡 김재성 김재성 SE.206 투명 540219665515 0502-5213-9023 28100052588127</v>
      </c>
    </row>
    <row r="35" spans="1:31">
      <c r="A35" s="132">
        <v>7</v>
      </c>
      <c r="B35" s="132" t="str">
        <v>비닐스토리</v>
      </c>
      <c r="C35" s="132" t="str">
        <v>스마트 스토어</v>
      </c>
      <c r="D35" s="132" t="str">
        <v>김정윤</v>
      </c>
      <c r="E35" s="133">
        <v>45443</v>
      </c>
      <c r="F35" s="132" t="str">
        <v>김정윤</v>
      </c>
      <c r="G35" s="132" t="str">
        <v>530211538235</v>
      </c>
      <c r="H35" s="132" t="str">
        <v>SE.307</v>
      </c>
      <c r="I35" s="132" t="str">
        <v>투명</v>
      </c>
      <c r="J35" s="132">
        <v>1</v>
      </c>
      <c r="K35" s="139">
        <v>10260</v>
      </c>
      <c r="L35" s="139">
        <v>3000</v>
      </c>
      <c r="M35" s="139">
        <v>0</v>
      </c>
      <c r="N35" s="133">
        <v>45443</v>
      </c>
      <c r="O35" s="132" t="str">
        <v>2024053153041311</v>
      </c>
      <c r="P35" s="135" t="str">
        <v>danj****</v>
      </c>
      <c r="Q35" s="149" t="str">
        <v>010-2715-3902</v>
      </c>
      <c r="R35" s="132" t="str">
        <v>CJ대한통운</v>
      </c>
      <c r="S35" s="140">
        <v>0</v>
      </c>
      <c r="T35" s="132" t="str">
        <v>010-2715-3902</v>
      </c>
      <c r="U35" s="132" t="str">
        <v>대구광역시 남구 자유6길 11-12 (대명동) 1층</v>
      </c>
      <c r="V35" s="132">
        <v>0</v>
      </c>
      <c r="W35" s="139">
        <v>10690</v>
      </c>
      <c r="X35" s="139">
        <v>1190</v>
      </c>
      <c r="Y35" s="139">
        <v>3000</v>
      </c>
      <c r="Z35" s="139">
        <v>0</v>
      </c>
      <c r="AA35" s="139">
        <v>0</v>
      </c>
      <c r="AB35" s="146">
        <v>0</v>
      </c>
      <c r="AC35" s="146">
        <v>0</v>
      </c>
      <c r="AD35" s="139">
        <v>0</v>
      </c>
      <c r="AE35" s="132" t="str">
        <v>비닐스토리 스마트 스토어 김정윤 김정윤 SE.307 투명 530211538235 010-2715-3902 2024053153041311</v>
      </c>
    </row>
    <row r="36" spans="1:31">
      <c r="A36" s="132">
        <v>129</v>
      </c>
      <c r="B36" s="132" t="str">
        <v>비닐스토리</v>
      </c>
      <c r="C36" s="132" t="str">
        <v>스마트 스토어</v>
      </c>
      <c r="D36" s="132" t="str">
        <v>김지혜</v>
      </c>
      <c r="E36" s="133">
        <v>45454</v>
      </c>
      <c r="F36" s="132" t="str">
        <v>김지혜</v>
      </c>
      <c r="G36" s="132" t="str">
        <v>540215391551</v>
      </c>
      <c r="H36" s="132" t="str">
        <v>SE.14</v>
      </c>
      <c r="I36" s="132" t="str">
        <v>보라</v>
      </c>
      <c r="J36" s="132">
        <v>30</v>
      </c>
      <c r="K36" s="139">
        <v>35750</v>
      </c>
      <c r="L36" s="139">
        <v>4400</v>
      </c>
      <c r="M36" s="139">
        <v>0</v>
      </c>
      <c r="N36" s="133">
        <v>45449</v>
      </c>
      <c r="O36" s="132" t="str">
        <v>2024060675963021</v>
      </c>
      <c r="P36" s="135" t="str">
        <v>jihy****</v>
      </c>
      <c r="Q36" s="149" t="str">
        <v>010-3999-4733</v>
      </c>
      <c r="R36" s="132" t="str">
        <v>CJ대한통운</v>
      </c>
      <c r="S36" s="140">
        <v>0</v>
      </c>
      <c r="T36" s="132" t="str">
        <v>010-3999-4733</v>
      </c>
      <c r="U36" s="132" t="str">
        <v>대구광역시 달서구 한들로 36 (장기동, 영남네오빌파크) 상가4호 농촌사람들</v>
      </c>
      <c r="V36" s="132">
        <v>0</v>
      </c>
      <c r="W36" s="139">
        <v>51000</v>
      </c>
      <c r="X36" s="139">
        <v>0</v>
      </c>
      <c r="Y36" s="139">
        <v>0</v>
      </c>
      <c r="Z36" s="139">
        <v>0</v>
      </c>
      <c r="AA36" s="139">
        <v>0</v>
      </c>
      <c r="AB36" s="146">
        <v>0</v>
      </c>
      <c r="AC36" s="146">
        <v>0</v>
      </c>
      <c r="AD36" s="139">
        <v>0</v>
      </c>
      <c r="AE36" s="132" t="str">
        <v>비닐스토리 스마트 스토어 김지혜 김지혜 SE.14 보라 540215391551 010-3999-4733 2024060675963021</v>
      </c>
    </row>
    <row r="37" spans="1:31">
      <c r="A37" s="132">
        <v>130</v>
      </c>
      <c r="B37" s="132" t="str">
        <v>비닐스토리</v>
      </c>
      <c r="C37" s="132" t="str">
        <v>스마트 스토어</v>
      </c>
      <c r="D37" s="132" t="str">
        <v>김지혜</v>
      </c>
      <c r="E37" s="133">
        <v>45454</v>
      </c>
      <c r="F37" s="132" t="str">
        <v>김지혜</v>
      </c>
      <c r="G37" s="132" t="str">
        <v>540215391551</v>
      </c>
      <c r="H37" s="132" t="str">
        <v>SE.22</v>
      </c>
      <c r="I37" s="132" t="str">
        <v>보라</v>
      </c>
      <c r="J37" s="132">
        <v>2</v>
      </c>
      <c r="K37" s="139">
        <v>4730</v>
      </c>
      <c r="L37" s="139">
        <v>0</v>
      </c>
      <c r="M37" s="139">
        <v>0</v>
      </c>
      <c r="N37" s="133">
        <v>45449</v>
      </c>
      <c r="O37" s="132" t="str">
        <v>2024060675963011</v>
      </c>
      <c r="P37" s="135" t="str">
        <v>jihy****</v>
      </c>
      <c r="Q37" s="149" t="str">
        <v>010-3999-4733</v>
      </c>
      <c r="R37" s="132" t="str">
        <v>CJ대한통운</v>
      </c>
      <c r="S37" s="140">
        <v>0</v>
      </c>
      <c r="T37" s="132" t="str">
        <v>010-3999-4733</v>
      </c>
      <c r="U37" s="132" t="str">
        <v>대구광역시 달서구 한들로 36 (장기동, 영남네오빌파크) 상가4호 농촌사람들</v>
      </c>
      <c r="V37" s="132">
        <v>0</v>
      </c>
      <c r="W37" s="139">
        <v>7740</v>
      </c>
      <c r="X37" s="139">
        <v>0</v>
      </c>
      <c r="Y37" s="139">
        <v>0</v>
      </c>
      <c r="Z37" s="139">
        <v>0</v>
      </c>
      <c r="AA37" s="139">
        <v>0</v>
      </c>
      <c r="AB37" s="146">
        <v>0</v>
      </c>
      <c r="AC37" s="146">
        <v>0</v>
      </c>
      <c r="AD37" s="139">
        <v>0</v>
      </c>
      <c r="AE37" s="132" t="str">
        <v>비닐스토리 스마트 스토어 김지혜 김지혜 SE.22 보라 540215391551 010-3999-4733 2024060675963011</v>
      </c>
    </row>
    <row r="38" spans="1:31">
      <c r="A38" s="132">
        <v>172</v>
      </c>
      <c r="B38" s="132" t="str">
        <v>비닐스토리</v>
      </c>
      <c r="C38" s="132" t="str">
        <v>쿠팡</v>
      </c>
      <c r="D38" s="132" t="str">
        <v>김창우</v>
      </c>
      <c r="E38" s="133">
        <v>45457</v>
      </c>
      <c r="F38" s="132" t="str">
        <v>아시아마트</v>
      </c>
      <c r="G38" s="132" t="str">
        <v>530221956324</v>
      </c>
      <c r="H38" s="132" t="str">
        <v>SE.103</v>
      </c>
      <c r="I38" s="132" t="str">
        <v>투명</v>
      </c>
      <c r="J38" s="132">
        <v>10</v>
      </c>
      <c r="K38" s="139">
        <v>14000</v>
      </c>
      <c r="L38" s="139">
        <v>3000</v>
      </c>
      <c r="M38" s="139">
        <v>0</v>
      </c>
      <c r="N38" s="133">
        <v>45456</v>
      </c>
      <c r="O38" s="132" t="str">
        <v>5100052864365</v>
      </c>
      <c r="P38" s="135" t="str">
        <v>vu*****@na</v>
      </c>
      <c r="Q38" s="149" t="str">
        <v>0504-4976-4213</v>
      </c>
      <c r="R38" s="132" t="str">
        <v>CJ대한통운</v>
      </c>
      <c r="S38" s="140">
        <v>0</v>
      </c>
      <c r="T38" s="132" t="str">
        <v>0504-4976-4213</v>
      </c>
      <c r="U38" s="132" t="str">
        <v>경상남도 창녕군 남지읍 동포옛길 13 경상남도 창녕군 남지읍 동포옛 길13</v>
      </c>
      <c r="V38" s="132" t="str">
        <v>문 앞</v>
      </c>
      <c r="W38" s="139">
        <v>16900</v>
      </c>
      <c r="X38" s="139">
        <v>1900</v>
      </c>
      <c r="Y38" s="139">
        <v>0</v>
      </c>
      <c r="Z38" s="139">
        <v>0</v>
      </c>
      <c r="AA38" s="139">
        <v>0</v>
      </c>
      <c r="AB38" s="146">
        <v>0</v>
      </c>
      <c r="AC38" s="146">
        <v>0</v>
      </c>
      <c r="AD38" s="139">
        <v>0</v>
      </c>
      <c r="AE38" s="132" t="str">
        <v>비닐스토리 쿠팡 김창우 아시아마트 SE.103 투명 530221956324 0504-4976-4213 5100052864365</v>
      </c>
    </row>
    <row r="39" spans="1:31">
      <c r="A39" s="132">
        <v>142</v>
      </c>
      <c r="B39" s="132" t="str">
        <v>비닐스토리</v>
      </c>
      <c r="C39" s="132" t="str">
        <v>스마트 스토어</v>
      </c>
      <c r="D39" s="132" t="str">
        <v>김태희</v>
      </c>
      <c r="E39" s="133">
        <v>45455</v>
      </c>
      <c r="F39" s="132" t="str">
        <v>김태희</v>
      </c>
      <c r="G39" s="132" t="str">
        <v>530220193050</v>
      </c>
      <c r="H39" s="132" t="str">
        <v>SE.13</v>
      </c>
      <c r="I39" s="132" t="str">
        <v>검정</v>
      </c>
      <c r="J39" s="132">
        <v>50</v>
      </c>
      <c r="K39" s="139">
        <v>39900</v>
      </c>
      <c r="L39" s="139">
        <v>0</v>
      </c>
      <c r="M39" s="139">
        <v>0</v>
      </c>
      <c r="N39" s="133">
        <v>45454</v>
      </c>
      <c r="O39" s="132" t="str">
        <v>2024061169075231</v>
      </c>
      <c r="P39" s="135" t="str">
        <v>kth9****</v>
      </c>
      <c r="Q39" s="149" t="str">
        <v>010-5652-5279</v>
      </c>
      <c r="R39" s="132" t="str">
        <v>CJ대한통운</v>
      </c>
      <c r="S39" s="140">
        <v>0</v>
      </c>
      <c r="T39" s="132" t="str">
        <v>010-5652-5279</v>
      </c>
      <c r="U39" s="132" t="str">
        <v>경상남도 창녕군 창녕읍 초막1길 2 (창녕읍) 영도축산</v>
      </c>
      <c r="V39" s="132" t="str">
        <v>배송 전 미리 연락해 주세요</v>
      </c>
      <c r="W39" s="139">
        <v>65500</v>
      </c>
      <c r="X39" s="139">
        <v>0</v>
      </c>
      <c r="Y39" s="139">
        <v>0</v>
      </c>
      <c r="Z39" s="139">
        <v>0</v>
      </c>
      <c r="AA39" s="139">
        <v>0</v>
      </c>
      <c r="AB39" s="146">
        <v>0</v>
      </c>
      <c r="AC39" s="146">
        <v>0</v>
      </c>
      <c r="AD39" s="139">
        <v>0</v>
      </c>
      <c r="AE39" s="132" t="str">
        <v>비닐스토리 스마트 스토어 김태희 김태희 SE.13 검정 530220193050 010-5652-5279 2024061169075231</v>
      </c>
    </row>
    <row r="40" spans="1:31">
      <c r="A40" s="132">
        <v>55</v>
      </c>
      <c r="B40" s="132" t="str">
        <v>비닐팩토리</v>
      </c>
      <c r="C40" s="132" t="str">
        <v>쿠팡</v>
      </c>
      <c r="D40" s="132" t="str">
        <v>김형희</v>
      </c>
      <c r="E40" s="133">
        <v>45447</v>
      </c>
      <c r="F40" s="132" t="str">
        <v>김형희</v>
      </c>
      <c r="G40" s="132" t="str">
        <v>530214334702</v>
      </c>
      <c r="H40" s="132" t="str">
        <v>SE.205</v>
      </c>
      <c r="I40" s="132" t="str">
        <v>투명</v>
      </c>
      <c r="J40" s="132">
        <v>1</v>
      </c>
      <c r="K40" s="139">
        <v>0</v>
      </c>
      <c r="L40" s="139">
        <v>3000</v>
      </c>
      <c r="M40" s="139">
        <v>0</v>
      </c>
      <c r="N40" s="133">
        <v>45446</v>
      </c>
      <c r="O40" s="132" t="str">
        <v>25100051185893</v>
      </c>
      <c r="P40" s="135" t="str">
        <v>gu*****@ha</v>
      </c>
      <c r="Q40" s="149" t="str">
        <v>0502-4733-5563</v>
      </c>
      <c r="R40" s="132" t="str">
        <v>CJ대한통운</v>
      </c>
      <c r="S40" s="140">
        <v>0</v>
      </c>
      <c r="T40" s="132" t="str">
        <v>0502-4733-5563</v>
      </c>
      <c r="U40" s="132" t="str">
        <v>전라남도 강진군 군동면 호계리 호계길5 떡마루</v>
      </c>
      <c r="V40" s="132" t="str">
        <v>직접 받고 부재 시 문 앞</v>
      </c>
      <c r="W40" s="139">
        <v>25200</v>
      </c>
      <c r="X40" s="139">
        <v>0</v>
      </c>
      <c r="Y40" s="139">
        <v>3000</v>
      </c>
      <c r="Z40" s="139">
        <v>0</v>
      </c>
      <c r="AA40" s="139">
        <v>0</v>
      </c>
      <c r="AB40" s="146">
        <v>0</v>
      </c>
      <c r="AC40" s="146">
        <v>0</v>
      </c>
      <c r="AD40" s="139">
        <v>0</v>
      </c>
      <c r="AE40" s="132" t="str">
        <v>비닐팩토리 쿠팡 김형희 김형희 SE.205 투명 530214334702 0502-4733-5563 25100051185893</v>
      </c>
    </row>
    <row r="41" spans="1:31">
      <c r="A41" s="132">
        <v>140</v>
      </c>
      <c r="B41" s="132" t="str">
        <v>비닐팩토리</v>
      </c>
      <c r="C41" s="132" t="str">
        <v>쿠팡</v>
      </c>
      <c r="D41" s="132" t="str">
        <v>김혜진</v>
      </c>
      <c r="E41" s="133">
        <v>45455</v>
      </c>
      <c r="F41" s="132" t="str">
        <v>김혜진</v>
      </c>
      <c r="G41" s="132" t="str">
        <v>540219105143</v>
      </c>
      <c r="H41" s="132" t="str">
        <v>SE.303</v>
      </c>
      <c r="I41" s="132" t="str">
        <v>투명</v>
      </c>
      <c r="J41" s="132">
        <v>1</v>
      </c>
      <c r="K41" s="139">
        <v>0</v>
      </c>
      <c r="L41" s="139">
        <v>3000</v>
      </c>
      <c r="M41" s="139">
        <v>0</v>
      </c>
      <c r="N41" s="133">
        <v>45454</v>
      </c>
      <c r="O41" s="132" t="str">
        <v>7100052575971</v>
      </c>
      <c r="P41" s="135" t="str">
        <v>gr*****@na</v>
      </c>
      <c r="Q41" s="149" t="str">
        <v>0502-5080-8204</v>
      </c>
      <c r="R41" s="132" t="str">
        <v>CJ대한통운</v>
      </c>
      <c r="S41" s="140">
        <v>0</v>
      </c>
      <c r="T41" s="132" t="str">
        <v>0502-5080-8204</v>
      </c>
      <c r="U41" s="132" t="str">
        <v>인천광역시 부평구 부평동 134-23 승림아파트7차 101동302호</v>
      </c>
      <c r="V41" s="132" t="str">
        <v>직접 받고 부재 시 문 앞</v>
      </c>
      <c r="W41" s="139">
        <v>23020</v>
      </c>
      <c r="X41" s="139">
        <v>0</v>
      </c>
      <c r="Y41" s="139">
        <v>3000</v>
      </c>
      <c r="Z41" s="139">
        <v>0</v>
      </c>
      <c r="AA41" s="139">
        <v>0</v>
      </c>
      <c r="AB41" s="146">
        <v>0</v>
      </c>
      <c r="AC41" s="146">
        <v>0</v>
      </c>
      <c r="AD41" s="139">
        <v>0</v>
      </c>
      <c r="AE41" s="132" t="str">
        <v>비닐팩토리 쿠팡 김혜진 김혜진 SE.303 투명 540219105143 0502-5080-8204 7100052575971</v>
      </c>
    </row>
    <row r="42" spans="1:31">
      <c r="A42" s="132">
        <v>26</v>
      </c>
      <c r="B42" s="132" t="str">
        <v>비닐팩토리</v>
      </c>
      <c r="C42" s="132" t="str">
        <v>스마트 스토어</v>
      </c>
      <c r="D42" s="132" t="str">
        <v>노민정</v>
      </c>
      <c r="E42" s="133">
        <v>45446</v>
      </c>
      <c r="F42" s="132" t="str">
        <v>노민정</v>
      </c>
      <c r="G42" s="132" t="str">
        <v>530213304862</v>
      </c>
      <c r="H42" s="132" t="str">
        <v>SE.205</v>
      </c>
      <c r="I42" s="132" t="str">
        <v>투명</v>
      </c>
      <c r="J42" s="132">
        <v>1</v>
      </c>
      <c r="K42" s="139">
        <v>0</v>
      </c>
      <c r="L42" s="139">
        <v>3000</v>
      </c>
      <c r="M42" s="139">
        <v>0</v>
      </c>
      <c r="N42" s="133">
        <v>45446</v>
      </c>
      <c r="O42" s="132" t="str">
        <v>2024060349869161</v>
      </c>
      <c r="P42" s="135" t="str">
        <v>mimi****</v>
      </c>
      <c r="Q42" s="149" t="str">
        <v>010-2714-7704</v>
      </c>
      <c r="R42" s="132" t="str">
        <v>CJ대한통운</v>
      </c>
      <c r="S42" s="140">
        <v>0</v>
      </c>
      <c r="T42" s="132" t="str">
        <v>010-2714-7704</v>
      </c>
      <c r="U42" s="132" t="str">
        <v>서울특별시 양천구 중앙로 224 (신정동) 102호</v>
      </c>
      <c r="V42" s="132">
        <v>0</v>
      </c>
      <c r="W42" s="139">
        <v>24000</v>
      </c>
      <c r="X42" s="139">
        <v>0</v>
      </c>
      <c r="Y42" s="139">
        <v>3000</v>
      </c>
      <c r="Z42" s="139">
        <v>0</v>
      </c>
      <c r="AA42" s="139">
        <v>0</v>
      </c>
      <c r="AB42" s="146">
        <v>0</v>
      </c>
      <c r="AC42" s="146">
        <v>0</v>
      </c>
      <c r="AD42" s="139">
        <v>0</v>
      </c>
      <c r="AE42" s="132" t="str">
        <v>비닐팩토리 스마트 스토어 노민정 노민정 SE.205 투명 530213304862 010-2714-7704 2024060349869161</v>
      </c>
    </row>
    <row r="43" spans="1:31">
      <c r="A43" s="132">
        <v>174</v>
      </c>
      <c r="B43" s="132" t="str">
        <v>비닐스토리</v>
      </c>
      <c r="C43" s="132" t="str">
        <v>스마트 스토어</v>
      </c>
      <c r="D43" s="132" t="str">
        <v>노현주</v>
      </c>
      <c r="E43" s="133">
        <v>45457</v>
      </c>
      <c r="F43" s="132" t="str">
        <v>노현주</v>
      </c>
      <c r="G43" s="132" t="str">
        <v>530221956291</v>
      </c>
      <c r="H43" s="132" t="str">
        <v>SE.102</v>
      </c>
      <c r="I43" s="132" t="str">
        <v>투명</v>
      </c>
      <c r="J43" s="132">
        <v>10</v>
      </c>
      <c r="K43" s="139">
        <v>9600</v>
      </c>
      <c r="L43" s="139">
        <v>3000</v>
      </c>
      <c r="M43" s="139">
        <v>0</v>
      </c>
      <c r="N43" s="133">
        <v>45457</v>
      </c>
      <c r="O43" s="132" t="str">
        <v>2024061482493251</v>
      </c>
      <c r="P43" s="135" t="str">
        <v>bm02****</v>
      </c>
      <c r="Q43" s="149" t="str">
        <v>010-5624-9942</v>
      </c>
      <c r="R43" s="132" t="str">
        <v>CJ대한통운</v>
      </c>
      <c r="S43" s="140">
        <v>0</v>
      </c>
      <c r="T43" s="132" t="str">
        <v>010-5624-9942</v>
      </c>
      <c r="U43" s="132" t="str">
        <v>경기도 광주시 도척면 국사봉로 121-47 (도척면) 진우리</v>
      </c>
      <c r="V43" s="132" t="str">
        <v>문 앞에 놓아주세요</v>
      </c>
      <c r="W43" s="139">
        <v>10800</v>
      </c>
      <c r="X43" s="139">
        <v>0</v>
      </c>
      <c r="Y43" s="139">
        <v>3000</v>
      </c>
      <c r="Z43" s="139">
        <v>0</v>
      </c>
      <c r="AA43" s="139">
        <v>0</v>
      </c>
      <c r="AB43" s="146">
        <v>0</v>
      </c>
      <c r="AC43" s="146">
        <v>0</v>
      </c>
      <c r="AD43" s="139">
        <v>0</v>
      </c>
      <c r="AE43" s="132" t="str">
        <v>비닐스토리 스마트 스토어 노현주 노현주 SE.102 투명 530221956291 010-5624-9942 2024061482493251</v>
      </c>
    </row>
    <row r="44" spans="1:31">
      <c r="A44" s="132">
        <v>160</v>
      </c>
      <c r="B44" s="132" t="str">
        <v>비닐스토리</v>
      </c>
      <c r="C44" s="132" t="str">
        <v>쿠팡</v>
      </c>
      <c r="D44" s="132" t="str">
        <v>라세림</v>
      </c>
      <c r="E44" s="133">
        <v>45456</v>
      </c>
      <c r="F44" s="132" t="str">
        <v>라세림</v>
      </c>
      <c r="G44" s="132" t="str">
        <v>540219665541</v>
      </c>
      <c r="H44" s="132" t="str">
        <v>SE.101</v>
      </c>
      <c r="I44" s="132" t="str">
        <v>투명</v>
      </c>
      <c r="J44" s="132">
        <v>10</v>
      </c>
      <c r="K44" s="139">
        <v>8500</v>
      </c>
      <c r="L44" s="139">
        <v>3000</v>
      </c>
      <c r="M44" s="139">
        <v>0</v>
      </c>
      <c r="N44" s="133">
        <v>45455</v>
      </c>
      <c r="O44" s="132" t="str">
        <v>14100052791852</v>
      </c>
      <c r="P44" s="135" t="str">
        <v>no*****@ha</v>
      </c>
      <c r="Q44" s="149" t="str">
        <v>0502-4197-5787</v>
      </c>
      <c r="R44" s="132" t="str">
        <v>CJ대한통운</v>
      </c>
      <c r="S44" s="140">
        <v>0</v>
      </c>
      <c r="T44" s="132" t="str">
        <v>0502-4197-5787</v>
      </c>
      <c r="U44" s="132" t="str">
        <v>경기도 과천시 중앙로 287 1층 미미짬뽕 ( 관문동 )</v>
      </c>
      <c r="V44" s="132" t="str">
        <v>직접 받고 부재 시 문 앞</v>
      </c>
      <c r="W44" s="139">
        <v>9400</v>
      </c>
      <c r="X44" s="139">
        <v>0</v>
      </c>
      <c r="Y44" s="139">
        <v>3000</v>
      </c>
      <c r="Z44" s="139">
        <v>0</v>
      </c>
      <c r="AA44" s="139">
        <v>0</v>
      </c>
      <c r="AB44" s="146">
        <v>0</v>
      </c>
      <c r="AC44" s="146">
        <v>0</v>
      </c>
      <c r="AD44" s="139">
        <v>0</v>
      </c>
      <c r="AE44" s="132" t="str">
        <v>비닐스토리 쿠팡 라세림 라세림 SE.101 투명 540219665541 0502-4197-5787 14100052791852</v>
      </c>
    </row>
    <row r="45" spans="1:31">
      <c r="A45" s="132">
        <v>92</v>
      </c>
      <c r="B45" s="132" t="str">
        <v>비닐스토리</v>
      </c>
      <c r="C45" s="132" t="str">
        <v>쿠팡</v>
      </c>
      <c r="D45" s="132" t="str">
        <v>류용재</v>
      </c>
      <c r="E45" s="133">
        <v>45453</v>
      </c>
      <c r="F45" s="132" t="str">
        <v>류용재</v>
      </c>
      <c r="G45" s="132" t="str">
        <v>540216957786</v>
      </c>
      <c r="H45" s="132" t="str">
        <v>SE.206</v>
      </c>
      <c r="I45" s="132" t="str">
        <v>투명</v>
      </c>
      <c r="J45" s="132">
        <v>1</v>
      </c>
      <c r="K45" s="139">
        <v>23300</v>
      </c>
      <c r="L45" s="139">
        <v>3500</v>
      </c>
      <c r="M45" s="139">
        <v>0</v>
      </c>
      <c r="N45" s="133">
        <v>45450</v>
      </c>
      <c r="O45" s="132" t="str">
        <v>16100052244396</v>
      </c>
      <c r="P45" s="135" t="str">
        <v>ry*****@ha</v>
      </c>
      <c r="Q45" s="149" t="str">
        <v>0502-1241-0308</v>
      </c>
      <c r="R45" s="132" t="str">
        <v>CJ대한통운</v>
      </c>
      <c r="S45" s="140">
        <v>0</v>
      </c>
      <c r="T45" s="132" t="str">
        <v>0502-1241-0308</v>
      </c>
      <c r="U45" s="132" t="str">
        <v>경상북도 구미시 수출대로21길 4 107호 동구미떡집 ( 황상동, 신화오페라하우스 )</v>
      </c>
      <c r="V45" s="132" t="str">
        <v>직접 받고 부재 시 문 앞</v>
      </c>
      <c r="W45" s="139">
        <v>34020</v>
      </c>
      <c r="X45" s="139">
        <v>0</v>
      </c>
      <c r="Y45" s="139">
        <v>3000</v>
      </c>
      <c r="Z45" s="139">
        <v>0</v>
      </c>
      <c r="AA45" s="139">
        <v>0</v>
      </c>
      <c r="AB45" s="146">
        <v>0</v>
      </c>
      <c r="AC45" s="146">
        <v>0</v>
      </c>
      <c r="AD45" s="139">
        <v>0</v>
      </c>
      <c r="AE45" s="132" t="str">
        <v>비닐스토리 쿠팡 류용재 류용재 SE.206 투명 540216957786 0502-1241-0308 16100052244396</v>
      </c>
    </row>
    <row r="46" spans="1:31">
      <c r="A46" s="132">
        <v>104</v>
      </c>
      <c r="B46" s="132" t="str">
        <v>비닐팩토리</v>
      </c>
      <c r="C46" s="132" t="str">
        <v>쿠팡</v>
      </c>
      <c r="D46" s="132" t="str">
        <v>모응순</v>
      </c>
      <c r="E46" s="133">
        <v>45453</v>
      </c>
      <c r="F46" s="132" t="str">
        <v>김종욱</v>
      </c>
      <c r="G46" s="132" t="str">
        <v>530217935804</v>
      </c>
      <c r="H46" s="132" t="str">
        <v>SE.303</v>
      </c>
      <c r="I46" s="132" t="str">
        <v>투명</v>
      </c>
      <c r="J46" s="132">
        <v>10</v>
      </c>
      <c r="K46" s="139">
        <v>0</v>
      </c>
      <c r="L46" s="139">
        <v>5500</v>
      </c>
      <c r="M46" s="139">
        <v>0</v>
      </c>
      <c r="N46" s="133">
        <v>45453</v>
      </c>
      <c r="O46" s="132" t="str">
        <v>24061001</v>
      </c>
      <c r="P46" s="135" t="str">
        <v>es*****@na</v>
      </c>
      <c r="Q46" s="149" t="str">
        <v>0502-4691-3281</v>
      </c>
      <c r="R46" s="132" t="str">
        <v>CJ대한통운</v>
      </c>
      <c r="S46" s="140">
        <v>0</v>
      </c>
      <c r="T46" s="132" t="str">
        <v>0502-4691-3281</v>
      </c>
      <c r="U46" s="132" t="str">
        <v>경기도 과천시 별양로 11 203동 801호 ( 원문동, 과천 위버필드 )</v>
      </c>
      <c r="V46" s="132" t="str">
        <v>문 앞</v>
      </c>
      <c r="W46" s="139">
        <v>230200</v>
      </c>
      <c r="X46" s="139">
        <v>0</v>
      </c>
      <c r="Y46" s="139">
        <v>0</v>
      </c>
      <c r="Z46" s="139">
        <v>0</v>
      </c>
      <c r="AA46" s="139">
        <v>0</v>
      </c>
      <c r="AB46" s="146">
        <v>0</v>
      </c>
      <c r="AC46" s="146">
        <v>0</v>
      </c>
      <c r="AD46" s="139">
        <v>0</v>
      </c>
      <c r="AE46" s="132" t="str">
        <v>비닐팩토리 쿠팡 모응순 김종욱 SE.303 투명 530217935804 0502-4691-3281 24061001</v>
      </c>
    </row>
    <row r="47" spans="1:31">
      <c r="A47" s="132">
        <v>106</v>
      </c>
      <c r="B47" s="132" t="str">
        <v>비닐팩토리</v>
      </c>
      <c r="C47" s="132" t="str">
        <v>쿠팡</v>
      </c>
      <c r="D47" s="132" t="str">
        <v>모응순</v>
      </c>
      <c r="E47" s="133">
        <v>45453</v>
      </c>
      <c r="F47" s="132" t="str">
        <v>김종욱</v>
      </c>
      <c r="G47" s="132" t="str">
        <v>530217935734</v>
      </c>
      <c r="H47" s="132" t="str">
        <v>SE.303</v>
      </c>
      <c r="I47" s="132" t="str">
        <v>투명</v>
      </c>
      <c r="J47" s="132">
        <v>10</v>
      </c>
      <c r="K47" s="139">
        <v>0</v>
      </c>
      <c r="L47" s="139">
        <v>0</v>
      </c>
      <c r="M47" s="139">
        <v>0</v>
      </c>
      <c r="N47" s="133">
        <v>45452</v>
      </c>
      <c r="O47" s="132" t="str">
        <v>6100052038770</v>
      </c>
      <c r="P47" s="135" t="str">
        <v>es*****@na</v>
      </c>
      <c r="Q47" s="149" t="str">
        <v>0502-4691-3281</v>
      </c>
      <c r="R47" s="132" t="str">
        <v>CJ대한통운</v>
      </c>
      <c r="S47" s="140">
        <v>0</v>
      </c>
      <c r="T47" s="132" t="str">
        <v>0502-4691-3281</v>
      </c>
      <c r="U47" s="132" t="str">
        <v>경기도 과천시 별양로 11 203동 801호 ( 원문동, 과천 위버필드 )</v>
      </c>
      <c r="V47" s="132" t="str">
        <v>문 앞</v>
      </c>
      <c r="W47" s="139">
        <v>230200</v>
      </c>
      <c r="X47" s="139">
        <v>0</v>
      </c>
      <c r="Y47" s="139">
        <v>0</v>
      </c>
      <c r="Z47" s="139">
        <v>0</v>
      </c>
      <c r="AA47" s="139">
        <v>0</v>
      </c>
      <c r="AB47" s="146">
        <v>0</v>
      </c>
      <c r="AC47" s="146">
        <v>0</v>
      </c>
      <c r="AD47" s="139">
        <v>0</v>
      </c>
      <c r="AE47" s="132" t="str">
        <v>비닐팩토리 쿠팡 모응순 김종욱 SE.303 투명 530217935734 0502-4691-3281 6100052038770</v>
      </c>
    </row>
    <row r="48" spans="1:31">
      <c r="A48" s="132">
        <v>62</v>
      </c>
      <c r="B48" s="132" t="str">
        <v>비닐스토리</v>
      </c>
      <c r="C48" s="132" t="str">
        <v>스마트 스토어</v>
      </c>
      <c r="D48" s="132" t="str">
        <v>박경숙</v>
      </c>
      <c r="E48" s="133">
        <v>45448</v>
      </c>
      <c r="F48" s="132" t="str">
        <v>박경숙</v>
      </c>
      <c r="G48" s="132" t="str">
        <v>530215273892</v>
      </c>
      <c r="H48" s="132" t="str">
        <v>SE.22</v>
      </c>
      <c r="I48" s="132" t="str">
        <v>검정</v>
      </c>
      <c r="J48" s="132">
        <v>4</v>
      </c>
      <c r="K48" s="139">
        <v>12460</v>
      </c>
      <c r="L48" s="139">
        <v>3000</v>
      </c>
      <c r="M48" s="139">
        <v>0</v>
      </c>
      <c r="N48" s="133">
        <v>45447</v>
      </c>
      <c r="O48" s="132" t="str">
        <v>2024060427503191</v>
      </c>
      <c r="P48" s="135" t="str">
        <v>bobd****</v>
      </c>
      <c r="Q48" s="149" t="str">
        <v>010-2684-8642</v>
      </c>
      <c r="R48" s="132" t="str">
        <v>CJ대한통운</v>
      </c>
      <c r="S48" s="140">
        <v>0</v>
      </c>
      <c r="T48" s="132" t="str">
        <v>010-2684-8642</v>
      </c>
      <c r="U48" s="132" t="str">
        <v>경기도 파주시 책향기로 439 (동패동, 책향기마을동문굿모닝힐) 10단지 1016동1106</v>
      </c>
      <c r="V48" s="132">
        <v>0</v>
      </c>
      <c r="W48" s="139">
        <v>15480</v>
      </c>
      <c r="X48" s="139">
        <v>0</v>
      </c>
      <c r="Y48" s="139">
        <v>3000</v>
      </c>
      <c r="Z48" s="139">
        <v>0</v>
      </c>
      <c r="AA48" s="139">
        <v>0</v>
      </c>
      <c r="AB48" s="146">
        <v>0</v>
      </c>
      <c r="AC48" s="146">
        <v>0</v>
      </c>
      <c r="AD48" s="139">
        <v>0</v>
      </c>
      <c r="AE48" s="132" t="str">
        <v>비닐스토리 스마트 스토어 박경숙 박경숙 SE.22 검정 530215273892 010-2684-8642 2024060427503191</v>
      </c>
    </row>
    <row r="49" spans="1:31">
      <c r="A49" s="132">
        <v>153</v>
      </c>
      <c r="B49" s="132" t="str">
        <v>비닐스토리</v>
      </c>
      <c r="C49" s="132" t="str">
        <v>쿠팡</v>
      </c>
      <c r="D49" s="132" t="str">
        <v>박광용</v>
      </c>
      <c r="E49" s="133">
        <v>45456</v>
      </c>
      <c r="F49" s="132" t="str">
        <v>박광용</v>
      </c>
      <c r="G49" s="132" t="str">
        <v>540219665526</v>
      </c>
      <c r="H49" s="132" t="str">
        <v>SE.116</v>
      </c>
      <c r="I49" s="132" t="str">
        <v>투명</v>
      </c>
      <c r="J49" s="132">
        <v>2</v>
      </c>
      <c r="K49" s="139">
        <v>11250</v>
      </c>
      <c r="L49" s="139">
        <v>3000</v>
      </c>
      <c r="M49" s="139">
        <v>0</v>
      </c>
      <c r="N49" s="133">
        <v>45455</v>
      </c>
      <c r="O49" s="132" t="str">
        <v>9100052625136</v>
      </c>
      <c r="P49" s="135" t="str">
        <v>p3*****@gm</v>
      </c>
      <c r="Q49" s="149" t="str">
        <v>0502-4648-4892</v>
      </c>
      <c r="R49" s="132" t="str">
        <v>CJ대한통운</v>
      </c>
      <c r="S49" s="140">
        <v>0</v>
      </c>
      <c r="T49" s="132" t="str">
        <v>0502-4648-4892</v>
      </c>
      <c r="U49" s="132" t="str">
        <v>경상북도 구미시 문장로 54-11 경북구미시도량1동792~243 2층 ( 도량동 )</v>
      </c>
      <c r="V49" s="132" t="str">
        <v>직접 받고 부재 시 문 앞</v>
      </c>
      <c r="W49" s="139">
        <v>14440</v>
      </c>
      <c r="X49" s="139">
        <v>0</v>
      </c>
      <c r="Y49" s="139">
        <v>3000</v>
      </c>
      <c r="Z49" s="139">
        <v>0</v>
      </c>
      <c r="AA49" s="139">
        <v>0</v>
      </c>
      <c r="AB49" s="146">
        <v>0</v>
      </c>
      <c r="AC49" s="146">
        <v>0</v>
      </c>
      <c r="AD49" s="139">
        <v>0</v>
      </c>
      <c r="AE49" s="132" t="str">
        <v>비닐스토리 쿠팡 박광용 박광용 SE.116 투명 540219665526 0502-4648-4892 9100052625136</v>
      </c>
    </row>
    <row r="50" spans="1:31">
      <c r="A50" s="132">
        <v>35</v>
      </c>
      <c r="B50" s="132" t="str">
        <v>비닐스토리</v>
      </c>
      <c r="C50" s="132" t="str">
        <v>쿠팡</v>
      </c>
      <c r="D50" s="132" t="str">
        <v>박노홍</v>
      </c>
      <c r="E50" s="133">
        <v>45446</v>
      </c>
      <c r="F50" s="132" t="str">
        <v>박노홍</v>
      </c>
      <c r="G50" s="132" t="str">
        <v>530213305050</v>
      </c>
      <c r="H50" s="132" t="str">
        <v>SE.102</v>
      </c>
      <c r="I50" s="132" t="str">
        <v>투명</v>
      </c>
      <c r="J50" s="132">
        <v>40</v>
      </c>
      <c r="K50" s="139">
        <v>29900</v>
      </c>
      <c r="L50" s="139">
        <v>3500</v>
      </c>
      <c r="M50" s="139">
        <v>0</v>
      </c>
      <c r="N50" s="133">
        <v>45444</v>
      </c>
      <c r="O50" s="132" t="str">
        <v>27100050574722</v>
      </c>
      <c r="P50" s="135" t="str">
        <v>Kl*****@na</v>
      </c>
      <c r="Q50" s="149" t="str">
        <v>0502-4696-9661</v>
      </c>
      <c r="R50" s="132" t="str">
        <v>CJ대한통운</v>
      </c>
      <c r="S50" s="140">
        <v>0</v>
      </c>
      <c r="T50" s="132" t="str">
        <v>0502-4696-9661</v>
      </c>
      <c r="U50" s="132" t="str">
        <v>충청북도 음성군 음성읍 시장로 123 치킨이호프를 만났을때</v>
      </c>
      <c r="V50" s="132" t="str">
        <v>직접 받고 부재 시 문 앞</v>
      </c>
      <c r="W50" s="139">
        <v>46000</v>
      </c>
      <c r="X50" s="139">
        <v>0</v>
      </c>
      <c r="Y50" s="139">
        <v>0</v>
      </c>
      <c r="Z50" s="139">
        <v>0</v>
      </c>
      <c r="AA50" s="139">
        <v>0</v>
      </c>
      <c r="AB50" s="146">
        <v>0</v>
      </c>
      <c r="AC50" s="146">
        <v>0</v>
      </c>
      <c r="AD50" s="139">
        <v>0</v>
      </c>
      <c r="AE50" s="132" t="str">
        <v>비닐스토리 쿠팡 박노홍 박노홍 SE.102 투명 530213305050 0502-4696-9661 27100050574722</v>
      </c>
    </row>
    <row r="51" spans="1:31">
      <c r="A51" s="132">
        <v>90</v>
      </c>
      <c r="B51" s="132" t="str">
        <v>비닐스토리</v>
      </c>
      <c r="C51" s="132" t="str">
        <v>쿠팡</v>
      </c>
      <c r="D51" s="132" t="str">
        <v>박명미란</v>
      </c>
      <c r="E51" s="133">
        <v>45453</v>
      </c>
      <c r="F51" s="132" t="str">
        <v>박명미란</v>
      </c>
      <c r="G51" s="132" t="str">
        <v>540216967170</v>
      </c>
      <c r="H51" s="132" t="str">
        <v>SE.204</v>
      </c>
      <c r="I51" s="132" t="str">
        <v>투명</v>
      </c>
      <c r="J51" s="132">
        <v>1</v>
      </c>
      <c r="K51" s="139">
        <v>18700</v>
      </c>
      <c r="L51" s="139">
        <v>4400</v>
      </c>
      <c r="M51" s="139">
        <v>0</v>
      </c>
      <c r="N51" s="133">
        <v>45450</v>
      </c>
      <c r="O51" s="132" t="str">
        <v>16100052233808</v>
      </c>
      <c r="P51" s="135" t="str">
        <v>to*****@ha</v>
      </c>
      <c r="Q51" s="149" t="str">
        <v>0502-1675-6673</v>
      </c>
      <c r="R51" s="132" t="str">
        <v>CJ대한통운</v>
      </c>
      <c r="S51" s="140">
        <v>0</v>
      </c>
      <c r="T51" s="132" t="str">
        <v>0502-1675-6673</v>
      </c>
      <c r="U51" s="132" t="str">
        <v>전라남도 나주시 다시면 문동리 770 지엘</v>
      </c>
      <c r="V51" s="132" t="str">
        <v>지엘 창고 안에 넣어주세요.</v>
      </c>
      <c r="W51" s="139">
        <v>24570</v>
      </c>
      <c r="X51" s="139">
        <v>0</v>
      </c>
      <c r="Y51" s="139">
        <v>0</v>
      </c>
      <c r="Z51" s="139">
        <v>0</v>
      </c>
      <c r="AA51" s="139">
        <v>0</v>
      </c>
      <c r="AB51" s="146">
        <v>0</v>
      </c>
      <c r="AC51" s="146">
        <v>0</v>
      </c>
      <c r="AD51" s="139">
        <v>0</v>
      </c>
      <c r="AE51" s="132" t="str">
        <v>비닐스토리 쿠팡 박명미란 박명미란 SE.204 투명 540216967170 0502-1675-6673 16100052233808</v>
      </c>
    </row>
    <row r="52" spans="1:31">
      <c r="A52" s="132">
        <v>91</v>
      </c>
      <c r="B52" s="132" t="str">
        <v>비닐스토리</v>
      </c>
      <c r="C52" s="132" t="str">
        <v>쿠팡</v>
      </c>
      <c r="D52" s="132" t="str">
        <v>박명미란</v>
      </c>
      <c r="E52" s="133">
        <v>45453</v>
      </c>
      <c r="F52" s="132" t="str">
        <v>박명미란</v>
      </c>
      <c r="G52" s="132" t="str">
        <v>540216967170</v>
      </c>
      <c r="H52" s="132" t="str">
        <v>SE.205</v>
      </c>
      <c r="I52" s="132" t="str">
        <v>투명</v>
      </c>
      <c r="J52" s="132">
        <v>1</v>
      </c>
      <c r="K52" s="139">
        <v>16500</v>
      </c>
      <c r="L52" s="139">
        <v>0</v>
      </c>
      <c r="M52" s="139">
        <v>0</v>
      </c>
      <c r="N52" s="133">
        <v>45450</v>
      </c>
      <c r="O52" s="132" t="str">
        <v>16100052233808</v>
      </c>
      <c r="P52" s="135" t="str">
        <v>to*****@ha</v>
      </c>
      <c r="Q52" s="149" t="str">
        <v>0502-1675-6673</v>
      </c>
      <c r="R52" s="132" t="str">
        <v>CJ대한통운</v>
      </c>
      <c r="S52" s="140">
        <v>0</v>
      </c>
      <c r="T52" s="132" t="str">
        <v>0502-1675-6673</v>
      </c>
      <c r="U52" s="132" t="str">
        <v>전라남도 나주시 다시면 문동리 770 지엘</v>
      </c>
      <c r="V52" s="132" t="str">
        <v>지엘 창고 안에 넣어주세요.</v>
      </c>
      <c r="W52" s="139">
        <v>28350</v>
      </c>
      <c r="X52" s="139">
        <v>0</v>
      </c>
      <c r="Y52" s="139">
        <v>0</v>
      </c>
      <c r="Z52" s="139">
        <v>0</v>
      </c>
      <c r="AA52" s="139">
        <v>0</v>
      </c>
      <c r="AB52" s="146">
        <v>0</v>
      </c>
      <c r="AC52" s="146">
        <v>0</v>
      </c>
      <c r="AD52" s="139">
        <v>0</v>
      </c>
      <c r="AE52" s="132" t="str">
        <v>비닐스토리 쿠팡 박명미란 박명미란 SE.205 투명 540216967170 0502-1675-6673 16100052233808</v>
      </c>
    </row>
    <row r="53" spans="1:31">
      <c r="A53" s="132">
        <v>162</v>
      </c>
      <c r="B53" s="132" t="str">
        <v>비닐스토리</v>
      </c>
      <c r="C53" s="132" t="str">
        <v>스마트 스토어</v>
      </c>
      <c r="D53" s="132" t="str">
        <v>박순애</v>
      </c>
      <c r="E53" s="133">
        <v>45456</v>
      </c>
      <c r="F53" s="132" t="str">
        <v>담양한과</v>
      </c>
      <c r="G53" s="132" t="str">
        <v>540219665596</v>
      </c>
      <c r="H53" s="132" t="str">
        <v>SE.304</v>
      </c>
      <c r="I53" s="132" t="str">
        <v>투명</v>
      </c>
      <c r="J53" s="132">
        <v>3</v>
      </c>
      <c r="K53" s="139">
        <v>31550</v>
      </c>
      <c r="L53" s="139">
        <v>3500</v>
      </c>
      <c r="M53" s="139">
        <v>0</v>
      </c>
      <c r="N53" s="133">
        <v>45455</v>
      </c>
      <c r="O53" s="132" t="str">
        <v>2024061224945501</v>
      </c>
      <c r="P53" s="135" t="str">
        <v>hank****</v>
      </c>
      <c r="Q53" s="149" t="str">
        <v>010-2657-1049</v>
      </c>
      <c r="R53" s="132" t="str">
        <v>CJ대한통운</v>
      </c>
      <c r="S53" s="140">
        <v>0</v>
      </c>
      <c r="T53" s="132" t="str">
        <v>061-383-8283</v>
      </c>
      <c r="U53" s="132" t="str">
        <v>전라남도 담양군 창평면 창평현로 714-36 (창평면) .</v>
      </c>
      <c r="V53" s="132">
        <v>0</v>
      </c>
      <c r="W53" s="139">
        <v>41310</v>
      </c>
      <c r="X53" s="139">
        <v>4590</v>
      </c>
      <c r="Y53" s="139">
        <v>0</v>
      </c>
      <c r="Z53" s="139">
        <v>0</v>
      </c>
      <c r="AA53" s="139">
        <v>0</v>
      </c>
      <c r="AB53" s="146">
        <v>0</v>
      </c>
      <c r="AC53" s="146">
        <v>0</v>
      </c>
      <c r="AD53" s="139">
        <v>0</v>
      </c>
      <c r="AE53" s="132" t="str">
        <v>비닐스토리 스마트 스토어 박순애 담양한과 SE.304 투명 540219665596 061-383-8283 2024061224945501</v>
      </c>
    </row>
    <row r="54" spans="1:31">
      <c r="A54" s="132">
        <v>134</v>
      </c>
      <c r="B54" s="132" t="str">
        <v>비닐스토리</v>
      </c>
      <c r="C54" s="132" t="str">
        <v>쿠팡</v>
      </c>
      <c r="D54" s="132" t="str">
        <v>박용곤</v>
      </c>
      <c r="E54" s="133">
        <v>45454</v>
      </c>
      <c r="F54" s="132" t="str">
        <v>박용곤</v>
      </c>
      <c r="G54" s="132" t="str">
        <v>530219199901</v>
      </c>
      <c r="H54" s="132" t="str">
        <v>SE.102</v>
      </c>
      <c r="I54" s="132" t="str">
        <v>투명</v>
      </c>
      <c r="J54" s="132">
        <v>1</v>
      </c>
      <c r="K54" s="139">
        <v>3660</v>
      </c>
      <c r="L54" s="139">
        <v>3000</v>
      </c>
      <c r="M54" s="139">
        <v>0</v>
      </c>
      <c r="N54" s="133">
        <v>45453</v>
      </c>
      <c r="O54" s="132" t="str">
        <v>9100052293792</v>
      </c>
      <c r="P54" s="135" t="str">
        <v>dy*****@na</v>
      </c>
      <c r="Q54" s="149" t="str">
        <v>0502-4178-9340</v>
      </c>
      <c r="R54" s="132" t="str">
        <v>CJ대한통운</v>
      </c>
      <c r="S54" s="140">
        <v>0</v>
      </c>
      <c r="T54" s="132" t="str">
        <v>0502-4178-9340</v>
      </c>
      <c r="U54" s="132" t="str">
        <v>경기도 하남시 망월동 1096-2 우성르보아리버 1층 104호</v>
      </c>
      <c r="V54" s="132" t="str">
        <v>문 앞</v>
      </c>
      <c r="W54" s="139">
        <v>1150</v>
      </c>
      <c r="X54" s="139">
        <v>0</v>
      </c>
      <c r="Y54" s="139">
        <v>3000</v>
      </c>
      <c r="Z54" s="139">
        <v>0</v>
      </c>
      <c r="AA54" s="139">
        <v>0</v>
      </c>
      <c r="AB54" s="146">
        <v>0</v>
      </c>
      <c r="AC54" s="146">
        <v>0</v>
      </c>
      <c r="AD54" s="139">
        <v>0</v>
      </c>
      <c r="AE54" s="132" t="str">
        <v>비닐스토리 쿠팡 박용곤 박용곤 SE.102 투명 530219199901 0502-4178-9340 9100052293792</v>
      </c>
    </row>
    <row r="55" spans="1:31">
      <c r="A55" s="132">
        <v>56</v>
      </c>
      <c r="B55" s="132" t="str">
        <v>비닐팩토리</v>
      </c>
      <c r="C55" s="132" t="str">
        <v>쿠팡</v>
      </c>
      <c r="D55" s="132" t="str">
        <v>박인섭</v>
      </c>
      <c r="E55" s="133">
        <v>45447</v>
      </c>
      <c r="F55" s="132" t="str">
        <v>김지언</v>
      </c>
      <c r="G55" s="132" t="str">
        <v>540213351456</v>
      </c>
      <c r="H55" s="132" t="str">
        <v>SE.201</v>
      </c>
      <c r="I55" s="132" t="str">
        <v>투명</v>
      </c>
      <c r="J55" s="132">
        <v>1</v>
      </c>
      <c r="K55" s="139">
        <v>0</v>
      </c>
      <c r="L55" s="139">
        <v>3000</v>
      </c>
      <c r="M55" s="139">
        <v>0</v>
      </c>
      <c r="N55" s="133">
        <v>45446</v>
      </c>
      <c r="O55" s="132" t="str">
        <v>26100051000988</v>
      </c>
      <c r="P55" s="135" t="str">
        <v>kj*****@na</v>
      </c>
      <c r="Q55" s="149" t="str">
        <v>0502-4802-6019</v>
      </c>
      <c r="R55" s="132" t="str">
        <v>CJ대한통운</v>
      </c>
      <c r="S55" s="140">
        <v>0</v>
      </c>
      <c r="T55" s="132" t="str">
        <v>0502-4802-6019</v>
      </c>
      <c r="U55" s="132" t="str">
        <v>경기도 성남시 분당구 백현동 535 크래프톤타워 3층 서울강정형외과</v>
      </c>
      <c r="V55" s="132" t="str">
        <v>직접 받고 부재 시 문 앞</v>
      </c>
      <c r="W55" s="139">
        <v>15120</v>
      </c>
      <c r="X55" s="139">
        <v>0</v>
      </c>
      <c r="Y55" s="139">
        <v>3000</v>
      </c>
      <c r="Z55" s="139">
        <v>0</v>
      </c>
      <c r="AA55" s="139">
        <v>0</v>
      </c>
      <c r="AB55" s="146">
        <v>0</v>
      </c>
      <c r="AC55" s="146">
        <v>0</v>
      </c>
      <c r="AD55" s="139">
        <v>0</v>
      </c>
      <c r="AE55" s="132" t="str">
        <v>비닐팩토리 쿠팡 박인섭 김지언 SE.201 투명 540213351456 0502-4802-6019 26100051000988</v>
      </c>
    </row>
    <row r="56" spans="1:31">
      <c r="A56" s="132">
        <v>111</v>
      </c>
      <c r="B56" s="132" t="str">
        <v>비닐스토리</v>
      </c>
      <c r="C56" s="132" t="str">
        <v>스마트 스토어</v>
      </c>
      <c r="D56" s="132" t="str">
        <v>박일섭</v>
      </c>
      <c r="E56" s="133">
        <v>45453</v>
      </c>
      <c r="F56" s="132" t="str">
        <v>소풍가다</v>
      </c>
      <c r="G56" s="132" t="str">
        <v>530217935701</v>
      </c>
      <c r="H56" s="132" t="str">
        <v>SE.206</v>
      </c>
      <c r="I56" s="132" t="str">
        <v>투명</v>
      </c>
      <c r="J56" s="132">
        <v>1</v>
      </c>
      <c r="K56" s="139">
        <v>23300</v>
      </c>
      <c r="L56" s="139">
        <v>3500</v>
      </c>
      <c r="M56" s="139">
        <v>0</v>
      </c>
      <c r="N56" s="133">
        <v>45451</v>
      </c>
      <c r="O56" s="132" t="str">
        <v>2024060843149951</v>
      </c>
      <c r="P56" s="135" t="str">
        <v>hggd****</v>
      </c>
      <c r="Q56" s="149" t="str">
        <v>010-4812-3989</v>
      </c>
      <c r="R56" s="132" t="str">
        <v>CJ대한통운</v>
      </c>
      <c r="S56" s="140">
        <v>0</v>
      </c>
      <c r="T56" s="132" t="str">
        <v>010-4812-3989</v>
      </c>
      <c r="U56" s="132" t="str">
        <v>경상북도 경주시 양남면 다래길 15 (양남면) 소풍가다</v>
      </c>
      <c r="V56" s="132">
        <v>0</v>
      </c>
      <c r="W56" s="139">
        <v>28620</v>
      </c>
      <c r="X56" s="139">
        <v>3180</v>
      </c>
      <c r="Y56" s="139">
        <v>3000</v>
      </c>
      <c r="Z56" s="139">
        <v>0</v>
      </c>
      <c r="AA56" s="139">
        <v>0</v>
      </c>
      <c r="AB56" s="146">
        <v>0</v>
      </c>
      <c r="AC56" s="146">
        <v>0</v>
      </c>
      <c r="AD56" s="139">
        <v>0</v>
      </c>
      <c r="AE56" s="132" t="str">
        <v>비닐스토리 스마트 스토어 박일섭 소풍가다 SE.206 투명 530217935701 010-4812-3989 2024060843149951</v>
      </c>
    </row>
    <row r="57" spans="1:31">
      <c r="A57" s="132">
        <v>175</v>
      </c>
      <c r="B57" s="132" t="str">
        <v>비닐스토리</v>
      </c>
      <c r="C57" s="132" t="str">
        <v>스마트 스토어</v>
      </c>
      <c r="D57" s="132" t="str">
        <v>박지숙</v>
      </c>
      <c r="E57" s="133">
        <v>45457</v>
      </c>
      <c r="F57" s="132" t="str">
        <v>박지숙</v>
      </c>
      <c r="G57" s="132" t="str">
        <v>540220887284</v>
      </c>
      <c r="H57" s="132" t="str">
        <v>SE.206</v>
      </c>
      <c r="I57" s="132" t="str">
        <v>투명</v>
      </c>
      <c r="J57" s="132">
        <v>1</v>
      </c>
      <c r="K57" s="139">
        <v>23300</v>
      </c>
      <c r="L57" s="139">
        <v>3500</v>
      </c>
      <c r="M57" s="139">
        <v>0</v>
      </c>
      <c r="N57" s="133">
        <v>45457</v>
      </c>
      <c r="O57" s="132" t="str">
        <v>2024061481330401</v>
      </c>
      <c r="P57" s="135" t="str">
        <v>choc****</v>
      </c>
      <c r="Q57" s="149" t="str">
        <v>010-7933-1436</v>
      </c>
      <c r="R57" s="132" t="str">
        <v>CJ대한통운</v>
      </c>
      <c r="S57" s="140">
        <v>0</v>
      </c>
      <c r="T57" s="132" t="str">
        <v>010-7933-1436</v>
      </c>
      <c r="U57" s="132" t="str">
        <v>인천광역시 부평구 안남로 260 (산곡동, 현대아파트) 506동 1516호</v>
      </c>
      <c r="V57" s="132">
        <v>0</v>
      </c>
      <c r="W57" s="139">
        <v>28620</v>
      </c>
      <c r="X57" s="139">
        <v>3180</v>
      </c>
      <c r="Y57" s="139">
        <v>0</v>
      </c>
      <c r="Z57" s="139">
        <v>0</v>
      </c>
      <c r="AA57" s="139">
        <v>0</v>
      </c>
      <c r="AB57" s="146">
        <v>0</v>
      </c>
      <c r="AC57" s="146">
        <v>0</v>
      </c>
      <c r="AD57" s="139">
        <v>0</v>
      </c>
      <c r="AE57" s="132" t="str">
        <v>비닐스토리 스마트 스토어 박지숙 박지숙 SE.206 투명 540220887284 010-7933-1436 2024061481330401</v>
      </c>
    </row>
    <row r="58" spans="1:31">
      <c r="A58" s="132">
        <v>176</v>
      </c>
      <c r="B58" s="132" t="str">
        <v>비닐스토리</v>
      </c>
      <c r="C58" s="132" t="str">
        <v>스마트 스토어</v>
      </c>
      <c r="D58" s="132" t="str">
        <v>박지숙</v>
      </c>
      <c r="E58" s="133">
        <v>45457</v>
      </c>
      <c r="F58" s="132" t="str">
        <v>박지숙</v>
      </c>
      <c r="G58" s="132" t="str">
        <v>540220887284</v>
      </c>
      <c r="H58" s="132" t="str">
        <v>SE.304</v>
      </c>
      <c r="I58" s="132" t="str">
        <v>투명</v>
      </c>
      <c r="J58" s="132">
        <v>1</v>
      </c>
      <c r="K58" s="139">
        <v>9350</v>
      </c>
      <c r="L58" s="139">
        <v>0</v>
      </c>
      <c r="M58" s="139">
        <v>0</v>
      </c>
      <c r="N58" s="133">
        <v>45457</v>
      </c>
      <c r="O58" s="132" t="str">
        <v>2024061481330391</v>
      </c>
      <c r="P58" s="135" t="str">
        <v>choc****</v>
      </c>
      <c r="Q58" s="149" t="str">
        <v>010-7933-1436</v>
      </c>
      <c r="R58" s="132" t="str">
        <v>CJ대한통운</v>
      </c>
      <c r="S58" s="140">
        <v>0</v>
      </c>
      <c r="T58" s="132" t="str">
        <v>010-7933-1436</v>
      </c>
      <c r="U58" s="132" t="str">
        <v>인천광역시 부평구 안남로 260 (산곡동, 현대아파트) 506동 1516호</v>
      </c>
      <c r="V58" s="132">
        <v>0</v>
      </c>
      <c r="W58" s="139">
        <v>13770</v>
      </c>
      <c r="X58" s="139">
        <v>1530</v>
      </c>
      <c r="Y58" s="139">
        <v>0</v>
      </c>
      <c r="Z58" s="139">
        <v>0</v>
      </c>
      <c r="AA58" s="139">
        <v>0</v>
      </c>
      <c r="AB58" s="146">
        <v>0</v>
      </c>
      <c r="AC58" s="146">
        <v>0</v>
      </c>
      <c r="AD58" s="139">
        <v>0</v>
      </c>
      <c r="AE58" s="132" t="str">
        <v>비닐스토리 스마트 스토어 박지숙 박지숙 SE.304 투명 540220887284 010-7933-1436 2024061481330391</v>
      </c>
    </row>
    <row r="59" spans="1:31">
      <c r="A59" s="132">
        <v>100</v>
      </c>
      <c r="B59" s="132" t="str">
        <v>비닐스토리</v>
      </c>
      <c r="C59" s="132" t="str">
        <v>쿠팡</v>
      </c>
      <c r="D59" s="132" t="str">
        <v>박창보</v>
      </c>
      <c r="E59" s="133">
        <v>45453</v>
      </c>
      <c r="F59" s="132" t="str">
        <v>박창보</v>
      </c>
      <c r="G59" s="132" t="str">
        <v>540216957543</v>
      </c>
      <c r="H59" s="132" t="str">
        <v>SE.201</v>
      </c>
      <c r="I59" s="132" t="str">
        <v>투명</v>
      </c>
      <c r="J59" s="132">
        <v>1</v>
      </c>
      <c r="K59" s="139">
        <v>12900</v>
      </c>
      <c r="L59" s="139">
        <v>3000</v>
      </c>
      <c r="M59" s="139">
        <v>0</v>
      </c>
      <c r="N59" s="133">
        <v>45452</v>
      </c>
      <c r="O59" s="132" t="str">
        <v>22100051795908</v>
      </c>
      <c r="P59" s="135" t="str">
        <v>c8*****@na</v>
      </c>
      <c r="Q59" s="149" t="str">
        <v>0504-4963-2948</v>
      </c>
      <c r="R59" s="132" t="str">
        <v>CJ대한통운</v>
      </c>
      <c r="S59" s="140">
        <v>0</v>
      </c>
      <c r="T59" s="132" t="str">
        <v>0504-4963-2948</v>
      </c>
      <c r="U59" s="132" t="str">
        <v>경기도 안양시 동안구 호계동 555-2 지하1층 b122, 123, 124호 하루,한끼</v>
      </c>
      <c r="V59" s="132" t="str">
        <v>문 앞</v>
      </c>
      <c r="W59" s="139">
        <v>17010</v>
      </c>
      <c r="X59" s="139">
        <v>0</v>
      </c>
      <c r="Y59" s="139">
        <v>3000</v>
      </c>
      <c r="Z59" s="139">
        <v>0</v>
      </c>
      <c r="AA59" s="139">
        <v>0</v>
      </c>
      <c r="AB59" s="146">
        <v>0</v>
      </c>
      <c r="AC59" s="146">
        <v>0</v>
      </c>
      <c r="AD59" s="139">
        <v>0</v>
      </c>
      <c r="AE59" s="132" t="str">
        <v>비닐스토리 쿠팡 박창보 박창보 SE.201 투명 540216957543 0504-4963-2948 22100051795908</v>
      </c>
    </row>
    <row r="60" spans="1:31">
      <c r="A60" s="132">
        <v>2</v>
      </c>
      <c r="B60" s="132" t="str">
        <v>비닐팩토리</v>
      </c>
      <c r="C60" s="132" t="str">
        <v>쿠팡</v>
      </c>
      <c r="D60" s="132" t="str">
        <v>박혜영</v>
      </c>
      <c r="E60" s="133">
        <v>45294</v>
      </c>
      <c r="F60" s="132" t="str">
        <v>Na</v>
      </c>
      <c r="G60" s="132" t="str">
        <v>653499871174</v>
      </c>
      <c r="H60" s="132" t="str">
        <v>SE.20</v>
      </c>
      <c r="I60" s="132" t="str">
        <v>검정</v>
      </c>
      <c r="J60" s="132">
        <v>1</v>
      </c>
      <c r="K60" s="139">
        <v>0</v>
      </c>
      <c r="L60" s="139">
        <v>2900</v>
      </c>
      <c r="M60" s="139">
        <v>0</v>
      </c>
      <c r="N60" s="133">
        <v>45292</v>
      </c>
      <c r="O60" s="132" t="str">
        <v>25000163577498</v>
      </c>
      <c r="P60" s="135">
        <v>0</v>
      </c>
      <c r="Q60" s="149" t="str">
        <v>010-****-3618</v>
      </c>
      <c r="R60" s="132" t="str">
        <v>CJ대한통운</v>
      </c>
      <c r="S60" s="140">
        <v>44930</v>
      </c>
      <c r="T60" s="132" t="str">
        <v>010-****-3618</v>
      </c>
      <c r="U60" s="132" t="str">
        <v>서울특별시 강서구 강서로8길 206 204</v>
      </c>
      <c r="V60" s="132" t="str">
        <v>문 앞</v>
      </c>
      <c r="W60" s="139">
        <v>2500</v>
      </c>
      <c r="X60" s="139">
        <v>0</v>
      </c>
      <c r="Y60" s="139">
        <v>3000</v>
      </c>
      <c r="Z60" s="139">
        <v>0</v>
      </c>
      <c r="AA60" s="139">
        <v>0</v>
      </c>
      <c r="AB60" s="146">
        <v>0</v>
      </c>
      <c r="AC60" s="146">
        <v>0</v>
      </c>
      <c r="AD60" s="139">
        <v>0</v>
      </c>
      <c r="AE60" s="132" t="str">
        <v>비닐팩토리 쿠팡 박혜영 Na SE.20 검정 653499871174 010-****-3618 25000163577498</v>
      </c>
    </row>
    <row r="61" spans="1:31">
      <c r="A61" s="132">
        <v>161</v>
      </c>
      <c r="B61" s="132" t="str">
        <v>비닐스토리</v>
      </c>
      <c r="C61" s="132" t="str">
        <v>스마트 스토어</v>
      </c>
      <c r="D61" s="132" t="str">
        <v>박희용</v>
      </c>
      <c r="E61" s="133">
        <v>45456</v>
      </c>
      <c r="F61" s="132" t="str">
        <v>박희용</v>
      </c>
      <c r="G61" s="132" t="str">
        <v>540219665563</v>
      </c>
      <c r="H61" s="132" t="str">
        <v>SE.105</v>
      </c>
      <c r="I61" s="132" t="str">
        <v>투명</v>
      </c>
      <c r="J61" s="132">
        <v>3</v>
      </c>
      <c r="K61" s="139">
        <v>7950</v>
      </c>
      <c r="L61" s="139">
        <v>3000</v>
      </c>
      <c r="M61" s="139">
        <v>0</v>
      </c>
      <c r="N61" s="133">
        <v>45455</v>
      </c>
      <c r="O61" s="132" t="str">
        <v>2024061227356571</v>
      </c>
      <c r="P61" s="135" t="str">
        <v>augu****</v>
      </c>
      <c r="Q61" s="149" t="str">
        <v>010-4024-8302</v>
      </c>
      <c r="R61" s="132" t="str">
        <v>CJ대한통운</v>
      </c>
      <c r="S61" s="140">
        <v>0</v>
      </c>
      <c r="T61" s="132" t="str">
        <v>010-4024-8302</v>
      </c>
      <c r="U61" s="132" t="str">
        <v>경기도 수원시 장안구 수성로339번길 9 (정자동 1층 강원칡냉면</v>
      </c>
      <c r="V61" s="132">
        <v>0</v>
      </c>
      <c r="W61" s="139">
        <v>8340</v>
      </c>
      <c r="X61" s="139">
        <v>0</v>
      </c>
      <c r="Y61" s="139">
        <v>3000</v>
      </c>
      <c r="Z61" s="139">
        <v>0</v>
      </c>
      <c r="AA61" s="139">
        <v>0</v>
      </c>
      <c r="AB61" s="146">
        <v>0</v>
      </c>
      <c r="AC61" s="146">
        <v>0</v>
      </c>
      <c r="AD61" s="139">
        <v>0</v>
      </c>
      <c r="AE61" s="132" t="str">
        <v>비닐스토리 스마트 스토어 박희용 박희용 SE.105 투명 540219665563 010-4024-8302 2024061227356571</v>
      </c>
    </row>
    <row r="62" spans="1:31">
      <c r="A62" s="132">
        <v>139</v>
      </c>
      <c r="B62" s="132" t="str">
        <v>비닐스토리</v>
      </c>
      <c r="C62" s="132" t="str">
        <v>쿠팡</v>
      </c>
      <c r="D62" s="132" t="str">
        <v>박희종</v>
      </c>
      <c r="E62" s="133">
        <v>45455</v>
      </c>
      <c r="F62" s="132" t="str">
        <v>박희종</v>
      </c>
      <c r="G62" s="132" t="str">
        <v>540219104841</v>
      </c>
      <c r="H62" s="132" t="str">
        <v>SE.204</v>
      </c>
      <c r="I62" s="132" t="str">
        <v>투명</v>
      </c>
      <c r="J62" s="132">
        <v>1</v>
      </c>
      <c r="K62" s="139">
        <v>17300</v>
      </c>
      <c r="L62" s="139">
        <v>3000</v>
      </c>
      <c r="M62" s="139">
        <v>0</v>
      </c>
      <c r="N62" s="133">
        <v>45455</v>
      </c>
      <c r="O62" s="132" t="str">
        <v>15100052626789</v>
      </c>
      <c r="P62" s="135" t="str">
        <v>qg*****@na</v>
      </c>
      <c r="Q62" s="149" t="str">
        <v>0504-4978-6969</v>
      </c>
      <c r="R62" s="132" t="str">
        <v>CJ대한통운</v>
      </c>
      <c r="S62" s="140">
        <v>0</v>
      </c>
      <c r="T62" s="132" t="str">
        <v>0504-4978-6969</v>
      </c>
      <c r="U62" s="132" t="str">
        <v>서울특별시 용산구 이태원동 127-1 1층 피자레볼루션</v>
      </c>
      <c r="V62" s="132" t="str">
        <v>직접 받고 부재 시 문 앞</v>
      </c>
      <c r="W62" s="139">
        <v>24570</v>
      </c>
      <c r="X62" s="139">
        <v>0</v>
      </c>
      <c r="Y62" s="139">
        <v>3000</v>
      </c>
      <c r="Z62" s="139">
        <v>0</v>
      </c>
      <c r="AA62" s="139">
        <v>0</v>
      </c>
      <c r="AB62" s="146">
        <v>0</v>
      </c>
      <c r="AC62" s="146">
        <v>0</v>
      </c>
      <c r="AD62" s="139">
        <v>0</v>
      </c>
      <c r="AE62" s="132" t="str">
        <v>비닐스토리 쿠팡 박희종 박희종 SE.204 투명 540219104841 0504-4978-6969 15100052626789</v>
      </c>
    </row>
    <row r="63" spans="1:31">
      <c r="A63" s="132">
        <v>44</v>
      </c>
      <c r="B63" s="132" t="str">
        <v>비닐스토리</v>
      </c>
      <c r="C63" s="132" t="str">
        <v>쿠팡</v>
      </c>
      <c r="D63" s="132" t="str">
        <v>방국희</v>
      </c>
      <c r="E63" s="133">
        <v>45447</v>
      </c>
      <c r="F63" s="132" t="str">
        <v>방국희(부산집)</v>
      </c>
      <c r="G63" s="132" t="str">
        <v>540213347853</v>
      </c>
      <c r="H63" s="132" t="str">
        <v>SE.307</v>
      </c>
      <c r="I63" s="132" t="str">
        <v>투명</v>
      </c>
      <c r="J63" s="132">
        <v>1</v>
      </c>
      <c r="K63" s="139">
        <v>10260</v>
      </c>
      <c r="L63" s="139">
        <v>3000</v>
      </c>
      <c r="M63" s="139">
        <v>0</v>
      </c>
      <c r="N63" s="133">
        <v>45446</v>
      </c>
      <c r="O63" s="132" t="str">
        <v>7100051227112</v>
      </c>
      <c r="P63" s="135" t="str">
        <v>sp*****@ho</v>
      </c>
      <c r="Q63" s="149" t="str">
        <v>0502-1431-1508</v>
      </c>
      <c r="R63" s="132" t="str">
        <v>CJ대한통운</v>
      </c>
      <c r="S63" s="140">
        <v>0</v>
      </c>
      <c r="T63" s="132" t="str">
        <v>0502-1431-1508</v>
      </c>
      <c r="U63" s="132" t="str">
        <v>부산광역시 사하구 괴정동 427-68번지 14/2</v>
      </c>
      <c r="V63" s="132" t="str">
        <v xml:space="preserve"> 연락이 안될시 대영슈퍼에 맡겨주세요</v>
      </c>
      <c r="W63" s="139">
        <v>12470</v>
      </c>
      <c r="X63" s="139">
        <v>0</v>
      </c>
      <c r="Y63" s="139">
        <v>3000</v>
      </c>
      <c r="Z63" s="139">
        <v>0</v>
      </c>
      <c r="AA63" s="139">
        <v>0</v>
      </c>
      <c r="AB63" s="146">
        <v>0</v>
      </c>
      <c r="AC63" s="146">
        <v>0</v>
      </c>
      <c r="AD63" s="139">
        <v>0</v>
      </c>
      <c r="AE63" s="132" t="str">
        <v>비닐스토리 쿠팡 방국희 방국희(부산집) SE.307 투명 540213347853 0502-1431-1508 7100051227112</v>
      </c>
    </row>
    <row r="64" spans="1:31">
      <c r="A64" s="132">
        <v>64</v>
      </c>
      <c r="B64" s="132" t="str">
        <v>비닐팩토리</v>
      </c>
      <c r="C64" s="132" t="str">
        <v>스마트 스토어</v>
      </c>
      <c r="D64" s="132" t="str">
        <v>방현진</v>
      </c>
      <c r="E64" s="133">
        <v>45448</v>
      </c>
      <c r="F64" s="132" t="str">
        <v>방현진</v>
      </c>
      <c r="G64" s="132" t="str">
        <v>540214302620</v>
      </c>
      <c r="H64" s="132" t="str">
        <v>SE.206</v>
      </c>
      <c r="I64" s="132" t="str">
        <v>투명</v>
      </c>
      <c r="J64" s="132">
        <v>3</v>
      </c>
      <c r="K64" s="139">
        <v>0</v>
      </c>
      <c r="L64" s="139">
        <v>0</v>
      </c>
      <c r="M64" s="139">
        <v>0</v>
      </c>
      <c r="N64" s="133">
        <v>45448</v>
      </c>
      <c r="O64" s="132" t="str">
        <v>2024060552559121</v>
      </c>
      <c r="P64" s="135" t="str">
        <v>litt****</v>
      </c>
      <c r="Q64" s="149" t="str">
        <v>010-8671-1750</v>
      </c>
      <c r="R64" s="132" t="str">
        <v>CJ대한통운</v>
      </c>
      <c r="S64" s="140">
        <v>0</v>
      </c>
      <c r="T64" s="132" t="str">
        <v>010-8671-1750</v>
      </c>
      <c r="U64" s="132" t="str">
        <v>충청남도 홍성군 홍북면 내용길275번길 9 내덕리 564-2</v>
      </c>
      <c r="V64" s="132">
        <v>0</v>
      </c>
      <c r="W64" s="139">
        <v>85200</v>
      </c>
      <c r="X64" s="139">
        <v>0</v>
      </c>
      <c r="Y64" s="139">
        <v>0</v>
      </c>
      <c r="Z64" s="139">
        <v>0</v>
      </c>
      <c r="AA64" s="139">
        <v>0</v>
      </c>
      <c r="AB64" s="146">
        <v>0</v>
      </c>
      <c r="AC64" s="146">
        <v>0</v>
      </c>
      <c r="AD64" s="139">
        <v>0</v>
      </c>
      <c r="AE64" s="132" t="str">
        <v>비닐팩토리 스마트 스토어 방현진 방현진 SE.206 투명 540214302620 010-8671-1750 2024060552559121</v>
      </c>
    </row>
    <row r="65" spans="1:31">
      <c r="A65" s="132">
        <v>16</v>
      </c>
      <c r="B65" s="132" t="str">
        <v>비닐스토리</v>
      </c>
      <c r="C65" s="132" t="str">
        <v>쿠팡</v>
      </c>
      <c r="D65" s="132" t="str">
        <v>백유리</v>
      </c>
      <c r="E65" s="133">
        <v>45443</v>
      </c>
      <c r="F65" s="132" t="str">
        <v>백유리</v>
      </c>
      <c r="G65" s="132" t="str">
        <v>540210572272</v>
      </c>
      <c r="H65" s="132" t="str">
        <v>SE.206</v>
      </c>
      <c r="I65" s="132" t="str">
        <v>투명</v>
      </c>
      <c r="J65" s="132">
        <v>1</v>
      </c>
      <c r="K65" s="139">
        <v>23300</v>
      </c>
      <c r="L65" s="139">
        <v>3500</v>
      </c>
      <c r="M65" s="139">
        <v>0</v>
      </c>
      <c r="N65" s="133">
        <v>45443</v>
      </c>
      <c r="O65" s="132" t="str">
        <v>12100050430625</v>
      </c>
      <c r="P65" s="135" t="str">
        <v>ba*****@na</v>
      </c>
      <c r="Q65" s="149" t="str">
        <v>0502-4703-9103</v>
      </c>
      <c r="R65" s="132" t="str">
        <v>CJ대한통운</v>
      </c>
      <c r="S65" s="140">
        <v>0</v>
      </c>
      <c r="T65" s="132" t="str">
        <v>0502-4703-9103</v>
      </c>
      <c r="U65" s="132" t="str">
        <v>전라북도 전주시 완산구 교동 68-1 1층 달당</v>
      </c>
      <c r="V65" s="132" t="str">
        <v>문 앞</v>
      </c>
      <c r="W65" s="139">
        <v>34020</v>
      </c>
      <c r="X65" s="139">
        <v>0</v>
      </c>
      <c r="Y65" s="139">
        <v>3000</v>
      </c>
      <c r="Z65" s="139">
        <v>0</v>
      </c>
      <c r="AA65" s="139">
        <v>0</v>
      </c>
      <c r="AB65" s="146">
        <v>0</v>
      </c>
      <c r="AC65" s="146">
        <v>0</v>
      </c>
      <c r="AD65" s="139">
        <v>0</v>
      </c>
      <c r="AE65" s="132" t="str">
        <v>비닐스토리 쿠팡 백유리 백유리 SE.206 투명 540210572272 0502-4703-9103 12100050430625</v>
      </c>
    </row>
    <row r="66" spans="1:31">
      <c r="A66" s="132">
        <v>164</v>
      </c>
      <c r="B66" s="132" t="str">
        <v>비닐팩토리</v>
      </c>
      <c r="C66" s="132" t="str">
        <v>스마트 스토어</v>
      </c>
      <c r="D66" s="132" t="str">
        <v>서치식</v>
      </c>
      <c r="E66" s="133">
        <v>45457</v>
      </c>
      <c r="F66" s="132" t="str">
        <v>서유승</v>
      </c>
      <c r="G66" s="132" t="str">
        <v>540220887192</v>
      </c>
      <c r="H66" s="132" t="str">
        <v>SE.305</v>
      </c>
      <c r="I66" s="132" t="str">
        <v>투명</v>
      </c>
      <c r="J66" s="132">
        <v>2</v>
      </c>
      <c r="K66" s="139">
        <v>0</v>
      </c>
      <c r="L66" s="139">
        <v>4400</v>
      </c>
      <c r="M66" s="139">
        <v>0</v>
      </c>
      <c r="N66" s="133">
        <v>45457</v>
      </c>
      <c r="O66" s="132" t="str">
        <v>2024061488329411</v>
      </c>
      <c r="P66" s="135" t="str">
        <v>tjcl****</v>
      </c>
      <c r="Q66" s="149" t="str">
        <v>010-5367-6762</v>
      </c>
      <c r="R66" s="132" t="str">
        <v>CJ대한통운</v>
      </c>
      <c r="S66" s="140">
        <v>0</v>
      </c>
      <c r="T66" s="132" t="str">
        <v>010-5367-6762</v>
      </c>
      <c r="U66" s="132" t="str">
        <v>경상남도 창원시 성산구 상남동 16 상남재래시장 3층 C361호 3대할매충무김밥</v>
      </c>
      <c r="V66" s="132">
        <v>0</v>
      </c>
      <c r="W66" s="139">
        <v>36800</v>
      </c>
      <c r="X66" s="139">
        <v>0</v>
      </c>
      <c r="Y66" s="139">
        <v>0</v>
      </c>
      <c r="Z66" s="139">
        <v>0</v>
      </c>
      <c r="AA66" s="139">
        <v>0</v>
      </c>
      <c r="AB66" s="146">
        <v>0</v>
      </c>
      <c r="AC66" s="146">
        <v>0</v>
      </c>
      <c r="AD66" s="139">
        <v>0</v>
      </c>
      <c r="AE66" s="132" t="str">
        <v>비닐팩토리 스마트 스토어 서치식 서유승 SE.305 투명 540220887192 010-5367-6762 2024061488329411</v>
      </c>
    </row>
    <row r="67" spans="1:31">
      <c r="A67" s="132">
        <v>165</v>
      </c>
      <c r="B67" s="132" t="str">
        <v>비닐팩토리</v>
      </c>
      <c r="C67" s="132" t="str">
        <v>스마트 스토어</v>
      </c>
      <c r="D67" s="132" t="str">
        <v>서치식</v>
      </c>
      <c r="E67" s="133">
        <v>45457</v>
      </c>
      <c r="F67" s="132" t="str">
        <v>서유승</v>
      </c>
      <c r="G67" s="132" t="str">
        <v>540220887192</v>
      </c>
      <c r="H67" s="132" t="str">
        <v>SE.301</v>
      </c>
      <c r="I67" s="132" t="str">
        <v>투명</v>
      </c>
      <c r="J67" s="132">
        <v>1</v>
      </c>
      <c r="K67" s="139">
        <v>0</v>
      </c>
      <c r="L67" s="139">
        <v>0</v>
      </c>
      <c r="M67" s="139">
        <v>0</v>
      </c>
      <c r="N67" s="133">
        <v>45457</v>
      </c>
      <c r="O67" s="132" t="str">
        <v>2024061488329401</v>
      </c>
      <c r="P67" s="135" t="str">
        <v>tjcl****</v>
      </c>
      <c r="Q67" s="149" t="str">
        <v>010-5367-6762</v>
      </c>
      <c r="R67" s="132" t="str">
        <v>CJ대한통운</v>
      </c>
      <c r="S67" s="140">
        <v>0</v>
      </c>
      <c r="T67" s="132" t="str">
        <v>010-5367-6762</v>
      </c>
      <c r="U67" s="132" t="str">
        <v>경상남도 창원시 성산구 상남동 16 상남재래시장 3층 C361호 3대할매충무김밥</v>
      </c>
      <c r="V67" s="132">
        <v>0</v>
      </c>
      <c r="W67" s="139">
        <v>10560</v>
      </c>
      <c r="X67" s="139">
        <v>0</v>
      </c>
      <c r="Y67" s="139">
        <v>0</v>
      </c>
      <c r="Z67" s="139">
        <v>0</v>
      </c>
      <c r="AA67" s="139">
        <v>0</v>
      </c>
      <c r="AB67" s="146">
        <v>0</v>
      </c>
      <c r="AC67" s="146">
        <v>0</v>
      </c>
      <c r="AD67" s="139">
        <v>0</v>
      </c>
      <c r="AE67" s="132" t="str">
        <v>비닐팩토리 스마트 스토어 서치식 서유승 SE.301 투명 540220887192 010-5367-6762 2024061488329401</v>
      </c>
    </row>
    <row r="68" spans="1:31">
      <c r="A68" s="132">
        <v>166</v>
      </c>
      <c r="B68" s="132" t="str">
        <v>비닐팩토리</v>
      </c>
      <c r="C68" s="132" t="str">
        <v>스마트 스토어</v>
      </c>
      <c r="D68" s="132" t="str">
        <v>서치식</v>
      </c>
      <c r="E68" s="133">
        <v>45457</v>
      </c>
      <c r="F68" s="132" t="str">
        <v>서유승</v>
      </c>
      <c r="G68" s="132" t="str">
        <v>540220887192</v>
      </c>
      <c r="H68" s="132" t="str">
        <v>SE.303</v>
      </c>
      <c r="I68" s="132" t="str">
        <v>투명</v>
      </c>
      <c r="J68" s="132">
        <v>2</v>
      </c>
      <c r="K68" s="139">
        <v>0</v>
      </c>
      <c r="L68" s="139">
        <v>0</v>
      </c>
      <c r="M68" s="139">
        <v>0</v>
      </c>
      <c r="N68" s="133">
        <v>45457</v>
      </c>
      <c r="O68" s="132" t="str">
        <v>2024061488329391</v>
      </c>
      <c r="P68" s="135" t="str">
        <v>tjcl****</v>
      </c>
      <c r="Q68" s="149" t="str">
        <v>010-5367-6762</v>
      </c>
      <c r="R68" s="132" t="str">
        <v>CJ대한통운</v>
      </c>
      <c r="S68" s="140">
        <v>0</v>
      </c>
      <c r="T68" s="132" t="str">
        <v>010-5367-6762</v>
      </c>
      <c r="U68" s="132" t="str">
        <v>경상남도 창원시 성산구 상남동 16 상남재래시장 3층 C361호 3대할매충무김밥</v>
      </c>
      <c r="V68" s="132">
        <v>0</v>
      </c>
      <c r="W68" s="139">
        <v>43840</v>
      </c>
      <c r="X68" s="139">
        <v>0</v>
      </c>
      <c r="Y68" s="139">
        <v>0</v>
      </c>
      <c r="Z68" s="139">
        <v>0</v>
      </c>
      <c r="AA68" s="139">
        <v>0</v>
      </c>
      <c r="AB68" s="146">
        <v>0</v>
      </c>
      <c r="AC68" s="146">
        <v>0</v>
      </c>
      <c r="AD68" s="139">
        <v>0</v>
      </c>
      <c r="AE68" s="132" t="str">
        <v>비닐팩토리 스마트 스토어 서치식 서유승 SE.303 투명 540220887192 010-5367-6762 2024061488329391</v>
      </c>
    </row>
    <row r="69" spans="1:31">
      <c r="A69" s="132">
        <v>45</v>
      </c>
      <c r="B69" s="132" t="str">
        <v>비닐스토리</v>
      </c>
      <c r="C69" s="132" t="str">
        <v>쿠팡</v>
      </c>
      <c r="D69" s="132" t="str">
        <v>성준우</v>
      </c>
      <c r="E69" s="133">
        <v>45447</v>
      </c>
      <c r="F69" s="132" t="str">
        <v>성준우</v>
      </c>
      <c r="G69" s="132" t="str">
        <v>540213347094</v>
      </c>
      <c r="H69" s="132" t="str">
        <v>SE.102</v>
      </c>
      <c r="I69" s="132" t="str">
        <v>투명</v>
      </c>
      <c r="J69" s="132">
        <v>1</v>
      </c>
      <c r="K69" s="139">
        <v>3660</v>
      </c>
      <c r="L69" s="139">
        <v>3000</v>
      </c>
      <c r="M69" s="139">
        <v>0</v>
      </c>
      <c r="N69" s="133">
        <v>45447</v>
      </c>
      <c r="O69" s="132" t="str">
        <v>21100051322437</v>
      </c>
      <c r="P69" s="135" t="str">
        <v>wa*****@na</v>
      </c>
      <c r="Q69" s="149" t="str">
        <v>0502-1752-6141</v>
      </c>
      <c r="R69" s="132" t="str">
        <v>CJ대한통운</v>
      </c>
      <c r="S69" s="140">
        <v>0</v>
      </c>
      <c r="T69" s="132" t="str">
        <v>0502-1752-6141</v>
      </c>
      <c r="U69" s="132" t="str">
        <v>대전광역시 유성구 원내동 383 진잠타운아파트 207동1203호</v>
      </c>
      <c r="V69" s="132" t="str">
        <v>문 앞</v>
      </c>
      <c r="W69" s="139">
        <v>1150</v>
      </c>
      <c r="X69" s="139">
        <v>0</v>
      </c>
      <c r="Y69" s="139">
        <v>3000</v>
      </c>
      <c r="Z69" s="139">
        <v>0</v>
      </c>
      <c r="AA69" s="139">
        <v>0</v>
      </c>
      <c r="AB69" s="146">
        <v>0</v>
      </c>
      <c r="AC69" s="146">
        <v>0</v>
      </c>
      <c r="AD69" s="139">
        <v>0</v>
      </c>
      <c r="AE69" s="132" t="str">
        <v>비닐스토리 쿠팡 성준우 성준우 SE.102 투명 540213347094 0502-1752-6141 21100051322437</v>
      </c>
    </row>
    <row r="70" spans="1:31">
      <c r="A70" s="132">
        <v>99</v>
      </c>
      <c r="B70" s="132" t="str">
        <v>비닐스토리</v>
      </c>
      <c r="C70" s="132" t="str">
        <v>쿠팡</v>
      </c>
      <c r="D70" s="132" t="str">
        <v>성준우</v>
      </c>
      <c r="E70" s="133">
        <v>45453</v>
      </c>
      <c r="F70" s="132" t="str">
        <v>성준우</v>
      </c>
      <c r="G70" s="132" t="str">
        <v>540216957672</v>
      </c>
      <c r="H70" s="132" t="str">
        <v>SE.102</v>
      </c>
      <c r="I70" s="132" t="str">
        <v>투명</v>
      </c>
      <c r="J70" s="132">
        <v>20</v>
      </c>
      <c r="K70" s="139">
        <v>16700</v>
      </c>
      <c r="L70" s="139">
        <v>3500</v>
      </c>
      <c r="M70" s="139">
        <v>0</v>
      </c>
      <c r="N70" s="133">
        <v>45451</v>
      </c>
      <c r="O70" s="132" t="str">
        <v>21100052102927</v>
      </c>
      <c r="P70" s="135" t="str">
        <v>wa*****@na</v>
      </c>
      <c r="Q70" s="149" t="str">
        <v>0502-5189-7894</v>
      </c>
      <c r="R70" s="132" t="str">
        <v>CJ대한통운</v>
      </c>
      <c r="S70" s="140">
        <v>0</v>
      </c>
      <c r="T70" s="132" t="str">
        <v>0502-5189-7894</v>
      </c>
      <c r="U70" s="132" t="str">
        <v>대전광역시 유성구 원내동 383 진잠타운아파트 207동1203호</v>
      </c>
      <c r="V70" s="132" t="str">
        <v>문 앞</v>
      </c>
      <c r="W70" s="139">
        <v>23000</v>
      </c>
      <c r="X70" s="139">
        <v>0</v>
      </c>
      <c r="Y70" s="139">
        <v>3000</v>
      </c>
      <c r="Z70" s="139">
        <v>0</v>
      </c>
      <c r="AA70" s="139">
        <v>0</v>
      </c>
      <c r="AB70" s="146">
        <v>0</v>
      </c>
      <c r="AC70" s="146">
        <v>0</v>
      </c>
      <c r="AD70" s="139">
        <v>0</v>
      </c>
      <c r="AE70" s="132" t="str">
        <v>비닐스토리 쿠팡 성준우 성준우 SE.102 투명 540216957672 0502-5189-7894 21100052102927</v>
      </c>
    </row>
    <row r="71" spans="1:31">
      <c r="A71" s="132">
        <v>8</v>
      </c>
      <c r="B71" s="132" t="str">
        <v>비닐스토리</v>
      </c>
      <c r="C71" s="132" t="str">
        <v>스마트 스토어</v>
      </c>
      <c r="D71" s="132" t="str">
        <v>성호영</v>
      </c>
      <c r="E71" s="133">
        <v>45443</v>
      </c>
      <c r="F71" s="132" t="str">
        <v>성호영</v>
      </c>
      <c r="G71" s="132" t="str">
        <v>540210571793</v>
      </c>
      <c r="H71" s="132" t="str">
        <v>SE.305</v>
      </c>
      <c r="I71" s="132" t="str">
        <v>투명</v>
      </c>
      <c r="J71" s="132">
        <v>1</v>
      </c>
      <c r="K71" s="139">
        <v>16150</v>
      </c>
      <c r="L71" s="139">
        <v>3500</v>
      </c>
      <c r="M71" s="139">
        <v>0</v>
      </c>
      <c r="N71" s="133">
        <v>45442</v>
      </c>
      <c r="O71" s="132" t="str">
        <v>2024053028699001</v>
      </c>
      <c r="P71" s="135" t="str">
        <v>hoya****</v>
      </c>
      <c r="Q71" s="149" t="str">
        <v>010-3333-7515</v>
      </c>
      <c r="R71" s="132" t="str">
        <v>CJ대한통운</v>
      </c>
      <c r="S71" s="140">
        <v>0</v>
      </c>
      <c r="T71" s="132" t="str">
        <v>010-3333-7515</v>
      </c>
      <c r="U71" s="132" t="str">
        <v>대구광역시 달서구 진천로18길 10 (진천동, 진천역대우이안아파트) 상가동 2층 201호 만개</v>
      </c>
      <c r="V71" s="132" t="str">
        <v>오늘 발송 좀 부탁드립니다ㅠ</v>
      </c>
      <c r="W71" s="139">
        <v>18630</v>
      </c>
      <c r="X71" s="139">
        <v>2070</v>
      </c>
      <c r="Y71" s="139">
        <v>0</v>
      </c>
      <c r="Z71" s="139">
        <v>0</v>
      </c>
      <c r="AA71" s="139">
        <v>0</v>
      </c>
      <c r="AB71" s="146">
        <v>0</v>
      </c>
      <c r="AC71" s="146">
        <v>0</v>
      </c>
      <c r="AD71" s="139">
        <v>0</v>
      </c>
      <c r="AE71" s="132" t="str">
        <v>비닐스토리 스마트 스토어 성호영 성호영 SE.305 투명 540210571793 010-3333-7515 2024053028699001</v>
      </c>
    </row>
    <row r="72" spans="1:31">
      <c r="A72" s="132">
        <v>9</v>
      </c>
      <c r="B72" s="132" t="str">
        <v>비닐스토리</v>
      </c>
      <c r="C72" s="132" t="str">
        <v>스마트 스토어</v>
      </c>
      <c r="D72" s="132" t="str">
        <v>성호영</v>
      </c>
      <c r="E72" s="133">
        <v>45443</v>
      </c>
      <c r="F72" s="132" t="str">
        <v>성호영</v>
      </c>
      <c r="G72" s="132" t="str">
        <v>540210571793</v>
      </c>
      <c r="H72" s="132" t="str">
        <v>SE.304</v>
      </c>
      <c r="I72" s="132" t="str">
        <v>투명</v>
      </c>
      <c r="J72" s="132">
        <v>1</v>
      </c>
      <c r="K72" s="139">
        <v>9350</v>
      </c>
      <c r="L72" s="139">
        <v>0</v>
      </c>
      <c r="M72" s="139">
        <v>0</v>
      </c>
      <c r="N72" s="133">
        <v>45442</v>
      </c>
      <c r="O72" s="132" t="str">
        <v>2024053028698991</v>
      </c>
      <c r="P72" s="135" t="str">
        <v>hoya****</v>
      </c>
      <c r="Q72" s="149" t="str">
        <v>010-3333-7515</v>
      </c>
      <c r="R72" s="132" t="str">
        <v>CJ대한통운</v>
      </c>
      <c r="S72" s="140">
        <v>0</v>
      </c>
      <c r="T72" s="132" t="str">
        <v>010-3333-7515</v>
      </c>
      <c r="U72" s="132" t="str">
        <v>대구광역시 달서구 진천로18길 10 (진천동, 진천역대우이안아파트) 상가동 2층 201호 만개</v>
      </c>
      <c r="V72" s="132" t="str">
        <v>오늘 발송 좀 부탁드립니다ㅠ</v>
      </c>
      <c r="W72" s="139">
        <v>13770</v>
      </c>
      <c r="X72" s="139">
        <v>1530</v>
      </c>
      <c r="Y72" s="139">
        <v>0</v>
      </c>
      <c r="Z72" s="139">
        <v>0</v>
      </c>
      <c r="AA72" s="139">
        <v>0</v>
      </c>
      <c r="AB72" s="146">
        <v>0</v>
      </c>
      <c r="AC72" s="146">
        <v>0</v>
      </c>
      <c r="AD72" s="139">
        <v>0</v>
      </c>
      <c r="AE72" s="132" t="str">
        <v>비닐스토리 스마트 스토어 성호영 성호영 SE.304 투명 540210571793 010-3333-7515 2024053028698991</v>
      </c>
    </row>
    <row r="73" spans="1:31">
      <c r="A73" s="132">
        <v>33</v>
      </c>
      <c r="B73" s="132" t="str">
        <v>비닐스토리</v>
      </c>
      <c r="C73" s="132" t="str">
        <v>쿠팡</v>
      </c>
      <c r="D73" s="132" t="str">
        <v>손연주</v>
      </c>
      <c r="E73" s="133">
        <v>45446</v>
      </c>
      <c r="F73" s="132" t="str">
        <v>손효정</v>
      </c>
      <c r="G73" s="132" t="str">
        <v>530213305120</v>
      </c>
      <c r="H73" s="132" t="str">
        <v>SE.307</v>
      </c>
      <c r="I73" s="132" t="str">
        <v>투명</v>
      </c>
      <c r="J73" s="132">
        <v>1</v>
      </c>
      <c r="K73" s="139">
        <v>10260</v>
      </c>
      <c r="L73" s="139">
        <v>3000</v>
      </c>
      <c r="M73" s="139">
        <v>0</v>
      </c>
      <c r="N73" s="133">
        <v>45444</v>
      </c>
      <c r="O73" s="132" t="str">
        <v>28100050592430</v>
      </c>
      <c r="P73" s="135" t="str">
        <v>ka*****@na</v>
      </c>
      <c r="Q73" s="149" t="str">
        <v>0502-4352-0407</v>
      </c>
      <c r="R73" s="132" t="str">
        <v>CJ대한통운</v>
      </c>
      <c r="S73" s="140">
        <v>0</v>
      </c>
      <c r="T73" s="132" t="str">
        <v>0502-4352-0407</v>
      </c>
      <c r="U73" s="132" t="str">
        <v>대구광역시 수성구 청호로 370 101동 307호 ( 범어동, 장원아파트 )</v>
      </c>
      <c r="V73" s="132" t="str">
        <v>문 앞</v>
      </c>
      <c r="W73" s="139">
        <v>12470</v>
      </c>
      <c r="X73" s="139">
        <v>0</v>
      </c>
      <c r="Y73" s="139">
        <v>3000</v>
      </c>
      <c r="Z73" s="139">
        <v>0</v>
      </c>
      <c r="AA73" s="139">
        <v>0</v>
      </c>
      <c r="AB73" s="146">
        <v>0</v>
      </c>
      <c r="AC73" s="146">
        <v>0</v>
      </c>
      <c r="AD73" s="139">
        <v>0</v>
      </c>
      <c r="AE73" s="132" t="str">
        <v>비닐스토리 쿠팡 손연주 손효정 SE.307 투명 530213305120 0502-4352-0407 28100050592430</v>
      </c>
    </row>
    <row r="74" spans="1:31">
      <c r="A74" s="132">
        <v>135</v>
      </c>
      <c r="B74" s="132" t="str">
        <v>비닐팩토리</v>
      </c>
      <c r="C74" s="132" t="str">
        <v>스마트 스토어</v>
      </c>
      <c r="D74" s="132" t="str">
        <v>손현주</v>
      </c>
      <c r="E74" s="133">
        <v>45454</v>
      </c>
      <c r="F74" s="132" t="str">
        <v>손현주</v>
      </c>
      <c r="G74" s="132" t="str">
        <v>540218123824</v>
      </c>
      <c r="H74" s="132" t="str">
        <v>SE.303</v>
      </c>
      <c r="I74" s="132" t="str">
        <v>투명</v>
      </c>
      <c r="J74" s="132">
        <v>2</v>
      </c>
      <c r="K74" s="139">
        <v>0</v>
      </c>
      <c r="L74" s="139">
        <v>4400</v>
      </c>
      <c r="M74" s="139">
        <v>0</v>
      </c>
      <c r="N74" s="133">
        <v>45453</v>
      </c>
      <c r="O74" s="132" t="str">
        <v>2024061023906341</v>
      </c>
      <c r="P74" s="135" t="str">
        <v>boy8****</v>
      </c>
      <c r="Q74" s="149" t="str">
        <v>010-9558-1417</v>
      </c>
      <c r="R74" s="132" t="str">
        <v>CJ대한통운</v>
      </c>
      <c r="S74" s="140">
        <v>0</v>
      </c>
      <c r="T74" s="132" t="str">
        <v>010-9558-1417</v>
      </c>
      <c r="U74" s="132" t="str">
        <v>경상북도 청도군 풍각면 송서로 63 (풍각면) 손가네식품</v>
      </c>
      <c r="V74" s="132">
        <v>0</v>
      </c>
      <c r="W74" s="139">
        <v>43840</v>
      </c>
      <c r="X74" s="139">
        <v>0</v>
      </c>
      <c r="Y74" s="139">
        <v>0</v>
      </c>
      <c r="Z74" s="139">
        <v>0</v>
      </c>
      <c r="AA74" s="139">
        <v>0</v>
      </c>
      <c r="AB74" s="146">
        <v>0</v>
      </c>
      <c r="AC74" s="146">
        <v>0</v>
      </c>
      <c r="AD74" s="139">
        <v>0</v>
      </c>
      <c r="AE74" s="132" t="str">
        <v>비닐팩토리 스마트 스토어 손현주 손현주 SE.303 투명 540218123824 010-9558-1417 2024061023906341</v>
      </c>
    </row>
    <row r="75" spans="1:31">
      <c r="A75" s="132">
        <v>61</v>
      </c>
      <c r="B75" s="132" t="str">
        <v>비닐스토리</v>
      </c>
      <c r="C75" s="132" t="str">
        <v>스마트 스토어</v>
      </c>
      <c r="D75" s="132" t="str">
        <v>송순희</v>
      </c>
      <c r="E75" s="133">
        <v>45448</v>
      </c>
      <c r="F75" s="132" t="str">
        <v>이레떡방</v>
      </c>
      <c r="G75" s="132" t="str">
        <v>530215273800</v>
      </c>
      <c r="H75" s="132" t="str">
        <v>SE.204</v>
      </c>
      <c r="I75" s="132" t="str">
        <v>투명</v>
      </c>
      <c r="J75" s="132">
        <v>2</v>
      </c>
      <c r="K75" s="139">
        <v>33000</v>
      </c>
      <c r="L75" s="139">
        <v>4400</v>
      </c>
      <c r="M75" s="139">
        <v>0</v>
      </c>
      <c r="N75" s="133">
        <v>45448</v>
      </c>
      <c r="O75" s="132" t="str">
        <v>2024060541249481</v>
      </c>
      <c r="P75" s="135" t="str">
        <v>sshh****</v>
      </c>
      <c r="Q75" s="149" t="str">
        <v>010-4118-9402</v>
      </c>
      <c r="R75" s="132" t="str">
        <v>CJ대한통운</v>
      </c>
      <c r="S75" s="140">
        <v>0</v>
      </c>
      <c r="T75" s="132" t="str">
        <v>010-4118-9402</v>
      </c>
      <c r="U75" s="132" t="str">
        <v>서울특별시 강서구 허준로 121 (가양동, 대림경동아파트) 대림경동상가 114호</v>
      </c>
      <c r="V75" s="132" t="str">
        <v>문 앞에 놓아주세요</v>
      </c>
      <c r="W75" s="139">
        <v>42120</v>
      </c>
      <c r="X75" s="139">
        <v>4680</v>
      </c>
      <c r="Y75" s="139">
        <v>0</v>
      </c>
      <c r="Z75" s="139">
        <v>0</v>
      </c>
      <c r="AA75" s="139">
        <v>0</v>
      </c>
      <c r="AB75" s="146">
        <v>0</v>
      </c>
      <c r="AC75" s="146">
        <v>0</v>
      </c>
      <c r="AD75" s="139">
        <v>0</v>
      </c>
      <c r="AE75" s="132" t="str">
        <v>비닐스토리 스마트 스토어 송순희 이레떡방 SE.204 투명 530215273800 010-4118-9402 2024060541249481</v>
      </c>
    </row>
    <row r="76" spans="1:31">
      <c r="A76" s="132">
        <v>65</v>
      </c>
      <c r="B76" s="132" t="str">
        <v>비닐팩토리</v>
      </c>
      <c r="C76" s="132" t="str">
        <v>스마트 스토어</v>
      </c>
      <c r="D76" s="132" t="str">
        <v>신성자</v>
      </c>
      <c r="E76" s="133">
        <v>45448</v>
      </c>
      <c r="F76" s="132" t="str">
        <v>신성자</v>
      </c>
      <c r="G76" s="132" t="str">
        <v>530215273844</v>
      </c>
      <c r="H76" s="132" t="str">
        <v>SE.204</v>
      </c>
      <c r="I76" s="132" t="str">
        <v>투명</v>
      </c>
      <c r="J76" s="132">
        <v>1</v>
      </c>
      <c r="K76" s="139">
        <v>0</v>
      </c>
      <c r="L76" s="139">
        <v>3000</v>
      </c>
      <c r="M76" s="139">
        <v>0</v>
      </c>
      <c r="N76" s="133">
        <v>45448</v>
      </c>
      <c r="O76" s="132" t="str">
        <v>2024060550366461</v>
      </c>
      <c r="P76" s="135" t="str">
        <v>mipe****</v>
      </c>
      <c r="Q76" s="149" t="str">
        <v>010-4806-1561</v>
      </c>
      <c r="R76" s="132" t="str">
        <v>CJ대한통운</v>
      </c>
      <c r="S76" s="140">
        <v>0</v>
      </c>
      <c r="T76" s="132" t="str">
        <v>010-4806-1561</v>
      </c>
      <c r="U76" s="132" t="str">
        <v>서울특별시 양천구 목동동로8길 33 (신정동) 1층</v>
      </c>
      <c r="V76" s="132" t="str">
        <v>1층가게 문앞에 두고가세여</v>
      </c>
      <c r="W76" s="139">
        <v>20800</v>
      </c>
      <c r="X76" s="139">
        <v>0</v>
      </c>
      <c r="Y76" s="139">
        <v>3000</v>
      </c>
      <c r="Z76" s="139">
        <v>0</v>
      </c>
      <c r="AA76" s="139">
        <v>0</v>
      </c>
      <c r="AB76" s="146">
        <v>0</v>
      </c>
      <c r="AC76" s="146">
        <v>0</v>
      </c>
      <c r="AD76" s="139">
        <v>0</v>
      </c>
      <c r="AE76" s="132" t="str">
        <v>비닐팩토리 스마트 스토어 신성자 신성자 SE.204 투명 530215273844 010-4806-1561 2024060550366461</v>
      </c>
    </row>
    <row r="77" spans="1:31">
      <c r="A77" s="132">
        <v>112</v>
      </c>
      <c r="B77" s="132" t="str">
        <v>비닐팩토리</v>
      </c>
      <c r="C77" s="132" t="str">
        <v>스마트 스토어</v>
      </c>
      <c r="D77" s="132" t="str">
        <v>심정훈</v>
      </c>
      <c r="E77" s="133">
        <v>45453</v>
      </c>
      <c r="F77" s="132" t="str">
        <v>심정훈</v>
      </c>
      <c r="G77" s="132" t="str">
        <v>540216957580</v>
      </c>
      <c r="H77" s="132" t="str">
        <v>SE.307</v>
      </c>
      <c r="I77" s="132" t="str">
        <v>투명</v>
      </c>
      <c r="J77" s="132">
        <v>1</v>
      </c>
      <c r="K77" s="139">
        <v>0</v>
      </c>
      <c r="L77" s="139">
        <v>3000</v>
      </c>
      <c r="M77" s="139">
        <v>0</v>
      </c>
      <c r="N77" s="133">
        <v>45452</v>
      </c>
      <c r="O77" s="132" t="str">
        <v>2024060974196421</v>
      </c>
      <c r="P77" s="135" t="str">
        <v>sien****</v>
      </c>
      <c r="Q77" s="149" t="str">
        <v>010-9011-7913</v>
      </c>
      <c r="R77" s="132" t="str">
        <v>CJ대한통운</v>
      </c>
      <c r="S77" s="140">
        <v>0</v>
      </c>
      <c r="T77" s="132" t="str">
        <v>010-9011-7913</v>
      </c>
      <c r="U77" s="132" t="str">
        <v>서울특별시 강동구 천호대로 991 (천호동) 1층 시에나블루</v>
      </c>
      <c r="V77" s="132">
        <v>0</v>
      </c>
      <c r="W77" s="139">
        <v>10560</v>
      </c>
      <c r="X77" s="139">
        <v>0</v>
      </c>
      <c r="Y77" s="139">
        <v>3000</v>
      </c>
      <c r="Z77" s="139">
        <v>0</v>
      </c>
      <c r="AA77" s="139">
        <v>0</v>
      </c>
      <c r="AB77" s="146">
        <v>0</v>
      </c>
      <c r="AC77" s="146">
        <v>0</v>
      </c>
      <c r="AD77" s="139">
        <v>0</v>
      </c>
      <c r="AE77" s="132" t="str">
        <v>비닐팩토리 스마트 스토어 심정훈 심정훈 SE.307 투명 540216957580 010-9011-7913 2024060974196421</v>
      </c>
    </row>
    <row r="78" spans="1:31">
      <c r="A78" s="132">
        <v>177</v>
      </c>
      <c r="B78" s="132" t="str">
        <v>비닐스토리</v>
      </c>
      <c r="C78" s="132" t="str">
        <v>스마트 스토어</v>
      </c>
      <c r="D78" s="132" t="str">
        <v>안민호</v>
      </c>
      <c r="E78" s="133">
        <v>45457</v>
      </c>
      <c r="F78" s="132" t="str">
        <v>안민호</v>
      </c>
      <c r="G78" s="132" t="str">
        <v>540220887015</v>
      </c>
      <c r="H78" s="132" t="str">
        <v>SE.201</v>
      </c>
      <c r="I78" s="132" t="str">
        <v>투명</v>
      </c>
      <c r="J78" s="132">
        <v>2</v>
      </c>
      <c r="K78" s="139">
        <v>24200</v>
      </c>
      <c r="L78" s="139">
        <v>4400</v>
      </c>
      <c r="M78" s="139">
        <v>0</v>
      </c>
      <c r="N78" s="133">
        <v>45456</v>
      </c>
      <c r="O78" s="132" t="str">
        <v>2024061363875971</v>
      </c>
      <c r="P78" s="135" t="str">
        <v>dark****</v>
      </c>
      <c r="Q78" s="149" t="str">
        <v>010-4184-2843</v>
      </c>
      <c r="R78" s="132" t="str">
        <v>CJ대한통운</v>
      </c>
      <c r="S78" s="140">
        <v>0</v>
      </c>
      <c r="T78" s="132" t="str">
        <v>010-4184-2843</v>
      </c>
      <c r="U78" s="132" t="str">
        <v>경상북도 김천시 용전1로 9 (율곡동, 힐스테이트 율곡) 112동 501호</v>
      </c>
      <c r="V78" s="132">
        <v>0</v>
      </c>
      <c r="W78" s="139">
        <v>29160</v>
      </c>
      <c r="X78" s="139">
        <v>3240</v>
      </c>
      <c r="Y78" s="139">
        <v>0</v>
      </c>
      <c r="Z78" s="139">
        <v>0</v>
      </c>
      <c r="AA78" s="139">
        <v>0</v>
      </c>
      <c r="AB78" s="146">
        <v>0</v>
      </c>
      <c r="AC78" s="146">
        <v>0</v>
      </c>
      <c r="AD78" s="139">
        <v>0</v>
      </c>
      <c r="AE78" s="132" t="str">
        <v>비닐스토리 스마트 스토어 안민호 안민호 SE.201 투명 540220887015 010-4184-2843 2024061363875971</v>
      </c>
    </row>
    <row r="79" spans="1:31">
      <c r="A79" s="132">
        <v>178</v>
      </c>
      <c r="B79" s="132" t="str">
        <v>비닐스토리</v>
      </c>
      <c r="C79" s="132" t="str">
        <v>스마트 스토어</v>
      </c>
      <c r="D79" s="132" t="str">
        <v>안민호</v>
      </c>
      <c r="E79" s="133">
        <v>45457</v>
      </c>
      <c r="F79" s="132" t="str">
        <v>안민호</v>
      </c>
      <c r="G79" s="132" t="str">
        <v>540220887015</v>
      </c>
      <c r="H79" s="132" t="str">
        <v>SE.206</v>
      </c>
      <c r="I79" s="132" t="str">
        <v>투명</v>
      </c>
      <c r="J79" s="132">
        <v>1</v>
      </c>
      <c r="K79" s="139">
        <v>19800</v>
      </c>
      <c r="L79" s="139">
        <v>0</v>
      </c>
      <c r="M79" s="139">
        <v>0</v>
      </c>
      <c r="N79" s="133">
        <v>45456</v>
      </c>
      <c r="O79" s="132" t="str">
        <v>2024061363875961</v>
      </c>
      <c r="P79" s="135" t="str">
        <v>dark****</v>
      </c>
      <c r="Q79" s="149" t="str">
        <v>010-4184-2843</v>
      </c>
      <c r="R79" s="132" t="str">
        <v>CJ대한통운</v>
      </c>
      <c r="S79" s="140">
        <v>0</v>
      </c>
      <c r="T79" s="132" t="str">
        <v>010-4184-2843</v>
      </c>
      <c r="U79" s="132" t="str">
        <v>경상북도 김천시 용전1로 9 (율곡동, 힐스테이트 율곡) 112동 501호</v>
      </c>
      <c r="V79" s="132">
        <v>0</v>
      </c>
      <c r="W79" s="139">
        <v>28620</v>
      </c>
      <c r="X79" s="139">
        <v>3180</v>
      </c>
      <c r="Y79" s="139">
        <v>0</v>
      </c>
      <c r="Z79" s="139">
        <v>0</v>
      </c>
      <c r="AA79" s="139">
        <v>0</v>
      </c>
      <c r="AB79" s="146">
        <v>0</v>
      </c>
      <c r="AC79" s="146">
        <v>0</v>
      </c>
      <c r="AD79" s="139">
        <v>0</v>
      </c>
      <c r="AE79" s="132" t="str">
        <v>비닐스토리 스마트 스토어 안민호 안민호 SE.206 투명 540220887015 010-4184-2843 2024061363875961</v>
      </c>
    </row>
    <row r="80" spans="1:31">
      <c r="A80" s="132">
        <v>32</v>
      </c>
      <c r="B80" s="132" t="str">
        <v>비닐팩토리</v>
      </c>
      <c r="C80" s="132" t="str">
        <v>스마트 스토어</v>
      </c>
      <c r="D80" s="132" t="str">
        <v>안태진</v>
      </c>
      <c r="E80" s="133">
        <v>45446</v>
      </c>
      <c r="F80" s="132" t="str">
        <v>안태진</v>
      </c>
      <c r="G80" s="132" t="str">
        <v>530213305013</v>
      </c>
      <c r="H80" s="132" t="str">
        <v>SE.204</v>
      </c>
      <c r="I80" s="132" t="str">
        <v>투명</v>
      </c>
      <c r="J80" s="132">
        <v>1</v>
      </c>
      <c r="K80" s="139">
        <v>0</v>
      </c>
      <c r="L80" s="139">
        <v>3000</v>
      </c>
      <c r="M80" s="139">
        <v>0</v>
      </c>
      <c r="N80" s="133">
        <v>45443</v>
      </c>
      <c r="O80" s="132" t="str">
        <v>2024053168578671</v>
      </c>
      <c r="P80" s="135" t="str">
        <v>sdho****</v>
      </c>
      <c r="Q80" s="149" t="str">
        <v>010-3096-4296</v>
      </c>
      <c r="R80" s="132" t="str">
        <v>CJ대한통운</v>
      </c>
      <c r="S80" s="140">
        <v>0</v>
      </c>
      <c r="T80" s="132" t="str">
        <v>010-3096-4296</v>
      </c>
      <c r="U80" s="132" t="str">
        <v>충청북도 단양군 단양읍 도전5길 30 (단양읍) 주전부리</v>
      </c>
      <c r="V80" s="132">
        <v>0</v>
      </c>
      <c r="W80" s="139">
        <v>20800</v>
      </c>
      <c r="X80" s="139">
        <v>0</v>
      </c>
      <c r="Y80" s="139">
        <v>3000</v>
      </c>
      <c r="Z80" s="139">
        <v>0</v>
      </c>
      <c r="AA80" s="139">
        <v>0</v>
      </c>
      <c r="AB80" s="146">
        <v>0</v>
      </c>
      <c r="AC80" s="146">
        <v>0</v>
      </c>
      <c r="AD80" s="139">
        <v>0</v>
      </c>
      <c r="AE80" s="132" t="str">
        <v>비닐팩토리 스마트 스토어 안태진 안태진 SE.204 투명 530213305013 010-3096-4296 2024053168578671</v>
      </c>
    </row>
    <row r="81" spans="1:31">
      <c r="A81" s="132">
        <v>15</v>
      </c>
      <c r="B81" s="132" t="str">
        <v>비닐스토리</v>
      </c>
      <c r="C81" s="132" t="str">
        <v>쿠팡</v>
      </c>
      <c r="D81" s="132" t="str">
        <v>엄기성</v>
      </c>
      <c r="E81" s="133">
        <v>45443</v>
      </c>
      <c r="F81" s="132" t="str">
        <v>굿푸드통상</v>
      </c>
      <c r="G81" s="132" t="str">
        <v>540210571756</v>
      </c>
      <c r="H81" s="132" t="str">
        <v>SE.206</v>
      </c>
      <c r="I81" s="132" t="str">
        <v>투명</v>
      </c>
      <c r="J81" s="132">
        <v>1</v>
      </c>
      <c r="K81" s="139">
        <v>23300</v>
      </c>
      <c r="L81" s="139">
        <v>3500</v>
      </c>
      <c r="M81" s="139">
        <v>0</v>
      </c>
      <c r="N81" s="133">
        <v>45443</v>
      </c>
      <c r="O81" s="132" t="str">
        <v>2100050381770</v>
      </c>
      <c r="P81" s="135" t="str">
        <v>wi*****@na</v>
      </c>
      <c r="Q81" s="149" t="str">
        <v>0504-4985-1324</v>
      </c>
      <c r="R81" s="132" t="str">
        <v>CJ대한통운</v>
      </c>
      <c r="S81" s="140">
        <v>0</v>
      </c>
      <c r="T81" s="132" t="str">
        <v>0504-4985-1324</v>
      </c>
      <c r="U81" s="132" t="str">
        <v>경기도 하남시 초이동 266-2 왼쪽직진끝 정면창고</v>
      </c>
      <c r="V81" s="132" t="str">
        <v>정문안쪽에 넣어주세요</v>
      </c>
      <c r="W81" s="139">
        <v>34020</v>
      </c>
      <c r="X81" s="139">
        <v>0</v>
      </c>
      <c r="Y81" s="139">
        <v>3000</v>
      </c>
      <c r="Z81" s="139">
        <v>0</v>
      </c>
      <c r="AA81" s="139">
        <v>0</v>
      </c>
      <c r="AB81" s="146">
        <v>0</v>
      </c>
      <c r="AC81" s="146">
        <v>0</v>
      </c>
      <c r="AD81" s="139">
        <v>0</v>
      </c>
      <c r="AE81" s="132" t="str">
        <v>비닐스토리 쿠팡 엄기성 굿푸드통상 SE.206 투명 540210571756 0504-4985-1324 2100050381770</v>
      </c>
    </row>
    <row r="82" spans="1:31">
      <c r="A82" s="132">
        <v>13</v>
      </c>
      <c r="B82" s="132" t="str">
        <v>비닐팩토리</v>
      </c>
      <c r="C82" s="132" t="str">
        <v>쿠팡</v>
      </c>
      <c r="D82" s="132" t="str">
        <v>오윤이</v>
      </c>
      <c r="E82" s="133">
        <v>45443</v>
      </c>
      <c r="F82" s="132" t="str">
        <v>오윤이</v>
      </c>
      <c r="G82" s="132" t="str">
        <v>540210665641</v>
      </c>
      <c r="H82" s="132" t="str">
        <v>SE.101</v>
      </c>
      <c r="I82" s="132" t="str">
        <v>투명</v>
      </c>
      <c r="J82" s="132">
        <v>1</v>
      </c>
      <c r="K82" s="139">
        <v>0</v>
      </c>
      <c r="L82" s="139">
        <v>3000</v>
      </c>
      <c r="M82" s="139">
        <v>0</v>
      </c>
      <c r="N82" s="133">
        <v>45443</v>
      </c>
      <c r="O82" s="132" t="str">
        <v>10100050526476</v>
      </c>
      <c r="P82" s="135" t="str">
        <v>se*****@na</v>
      </c>
      <c r="Q82" s="149" t="str">
        <v>0502-1316-5124</v>
      </c>
      <c r="R82" s="132" t="str">
        <v>CJ대한통운</v>
      </c>
      <c r="S82" s="140">
        <v>0</v>
      </c>
      <c r="T82" s="132" t="str">
        <v>0502-1316-5124</v>
      </c>
      <c r="U82" s="132" t="str">
        <v>충청북도 충주시 연수동 547-1 연수종합시장 연수시장떡방앗간</v>
      </c>
      <c r="V82" s="132" t="str">
        <v>문 앞</v>
      </c>
      <c r="W82" s="139">
        <v>17300</v>
      </c>
      <c r="X82" s="139">
        <v>0</v>
      </c>
      <c r="Y82" s="139">
        <v>3000</v>
      </c>
      <c r="Z82" s="139">
        <v>0</v>
      </c>
      <c r="AA82" s="139">
        <v>0</v>
      </c>
      <c r="AB82" s="146">
        <v>0</v>
      </c>
      <c r="AC82" s="146">
        <v>0</v>
      </c>
      <c r="AD82" s="139">
        <v>10</v>
      </c>
      <c r="AE82" s="132" t="str">
        <v>비닐팩토리 쿠팡 오윤이 오윤이 SE.101 투명 540210665641 0502-1316-5124 10100050526476</v>
      </c>
    </row>
    <row r="83" spans="1:31">
      <c r="A83" s="132">
        <v>42</v>
      </c>
      <c r="B83" s="132" t="str">
        <v>비닐스토리</v>
      </c>
      <c r="C83" s="132" t="str">
        <v>스마트 스토어</v>
      </c>
      <c r="D83" s="132" t="str">
        <v>오충석</v>
      </c>
      <c r="E83" s="133">
        <v>45447</v>
      </c>
      <c r="F83" s="132" t="str">
        <v>오충석</v>
      </c>
      <c r="G83" s="132" t="str">
        <v>530214334433</v>
      </c>
      <c r="H83" s="132" t="str">
        <v>SE.105</v>
      </c>
      <c r="I83" s="132" t="str">
        <v>투명</v>
      </c>
      <c r="J83" s="132">
        <v>10</v>
      </c>
      <c r="K83" s="139">
        <v>20000</v>
      </c>
      <c r="L83" s="139">
        <v>3500</v>
      </c>
      <c r="M83" s="139">
        <v>0</v>
      </c>
      <c r="N83" s="133">
        <v>45447</v>
      </c>
      <c r="O83" s="132" t="str">
        <v>2024060497952311</v>
      </c>
      <c r="P83" s="135" t="str">
        <v>ocs3****</v>
      </c>
      <c r="Q83" s="149" t="str">
        <v>010-9873-1982</v>
      </c>
      <c r="R83" s="132" t="str">
        <v>CJ대한통운</v>
      </c>
      <c r="S83" s="140">
        <v>0</v>
      </c>
      <c r="T83" s="132" t="str">
        <v>010-9873-1982</v>
      </c>
      <c r="U83" s="132" t="str">
        <v>경기도 광명시 오리로964번길 5 (광명동) 세명수산</v>
      </c>
      <c r="V83" s="132">
        <v>0</v>
      </c>
      <c r="W83" s="139">
        <v>27800</v>
      </c>
      <c r="X83" s="139">
        <v>0</v>
      </c>
      <c r="Y83" s="139">
        <v>3000</v>
      </c>
      <c r="Z83" s="139">
        <v>0</v>
      </c>
      <c r="AA83" s="139">
        <v>0</v>
      </c>
      <c r="AB83" s="146">
        <v>0</v>
      </c>
      <c r="AC83" s="146">
        <v>0</v>
      </c>
      <c r="AD83" s="139">
        <v>0</v>
      </c>
      <c r="AE83" s="132" t="str">
        <v>비닐스토리 스마트 스토어 오충석 오충석 SE.105 투명 530214334433 010-9873-1982 2024060497952311</v>
      </c>
    </row>
    <row r="84" spans="1:31">
      <c r="A84" s="132">
        <v>36</v>
      </c>
      <c r="B84" s="132" t="str">
        <v>비닐스토리</v>
      </c>
      <c r="C84" s="132" t="str">
        <v>쿠팡</v>
      </c>
      <c r="D84" s="132" t="str">
        <v>원미경</v>
      </c>
      <c r="E84" s="133">
        <v>45446</v>
      </c>
      <c r="F84" s="132" t="str">
        <v>원미경</v>
      </c>
      <c r="G84" s="132" t="str">
        <v>530213304932</v>
      </c>
      <c r="H84" s="132" t="str">
        <v>SE.101</v>
      </c>
      <c r="I84" s="132" t="str">
        <v>투명</v>
      </c>
      <c r="J84" s="132">
        <v>30</v>
      </c>
      <c r="K84" s="139">
        <v>20000</v>
      </c>
      <c r="L84" s="139">
        <v>3500</v>
      </c>
      <c r="M84" s="139">
        <v>0</v>
      </c>
      <c r="N84" s="133">
        <v>45444</v>
      </c>
      <c r="O84" s="132" t="str">
        <v>15100050838170</v>
      </c>
      <c r="P84" s="135" t="str">
        <v>om*****@na</v>
      </c>
      <c r="Q84" s="149" t="str">
        <v>0504-4989-8106</v>
      </c>
      <c r="R84" s="132" t="str">
        <v>CJ대한통운</v>
      </c>
      <c r="S84" s="140">
        <v>0</v>
      </c>
      <c r="T84" s="132" t="str">
        <v>0504-4989-8106</v>
      </c>
      <c r="U84" s="132" t="str">
        <v>세종특별자치시 새롬동 373 새뜸마을4단지 417동1204호</v>
      </c>
      <c r="V84" s="132" t="str">
        <v>문 앞</v>
      </c>
      <c r="W84" s="139">
        <v>28200</v>
      </c>
      <c r="X84" s="139">
        <v>0</v>
      </c>
      <c r="Y84" s="139">
        <v>3000</v>
      </c>
      <c r="Z84" s="139">
        <v>0</v>
      </c>
      <c r="AA84" s="139">
        <v>0</v>
      </c>
      <c r="AB84" s="146">
        <v>0</v>
      </c>
      <c r="AC84" s="146">
        <v>0</v>
      </c>
      <c r="AD84" s="139">
        <v>0</v>
      </c>
      <c r="AE84" s="132" t="str">
        <v>비닐스토리 쿠팡 원미경 원미경 SE.101 투명 530213304932 0504-4989-8106 15100050838170</v>
      </c>
    </row>
    <row r="85" spans="1:31">
      <c r="A85" s="132">
        <v>107</v>
      </c>
      <c r="B85" s="132" t="str">
        <v>비닐스토리</v>
      </c>
      <c r="C85" s="132" t="str">
        <v>스마트 스토어</v>
      </c>
      <c r="D85" s="132" t="str">
        <v>유금숙</v>
      </c>
      <c r="E85" s="133">
        <v>45453</v>
      </c>
      <c r="F85" s="132" t="str">
        <v>유금숙</v>
      </c>
      <c r="G85" s="132" t="str">
        <v>540216957716</v>
      </c>
      <c r="H85" s="132" t="str">
        <v>SE.304</v>
      </c>
      <c r="I85" s="132" t="str">
        <v>투명</v>
      </c>
      <c r="J85" s="132">
        <v>2</v>
      </c>
      <c r="K85" s="139">
        <v>22200</v>
      </c>
      <c r="L85" s="139">
        <v>3500</v>
      </c>
      <c r="M85" s="139">
        <v>0</v>
      </c>
      <c r="N85" s="133">
        <v>45452</v>
      </c>
      <c r="O85" s="132" t="str">
        <v>2024060990524471</v>
      </c>
      <c r="P85" s="135" t="str">
        <v>koak****</v>
      </c>
      <c r="Q85" s="149" t="str">
        <v>010-8636-4037</v>
      </c>
      <c r="R85" s="132" t="str">
        <v>CJ대한통운</v>
      </c>
      <c r="S85" s="140">
        <v>0</v>
      </c>
      <c r="T85" s="132" t="str">
        <v>010-8636-4037</v>
      </c>
      <c r="U85" s="132" t="str">
        <v>경상북도 경주시 금성로395번길 15 (성건동) 고산숯불</v>
      </c>
      <c r="V85" s="132">
        <v>0</v>
      </c>
      <c r="W85" s="139">
        <v>27540</v>
      </c>
      <c r="X85" s="139">
        <v>3060</v>
      </c>
      <c r="Y85" s="139">
        <v>0</v>
      </c>
      <c r="Z85" s="139">
        <v>0</v>
      </c>
      <c r="AA85" s="139">
        <v>0</v>
      </c>
      <c r="AB85" s="146">
        <v>0</v>
      </c>
      <c r="AC85" s="146">
        <v>0</v>
      </c>
      <c r="AD85" s="139">
        <v>0</v>
      </c>
      <c r="AE85" s="132" t="str">
        <v>비닐스토리 스마트 스토어 유금숙 유금숙 SE.304 투명 540216957716 010-8636-4037 2024060990524471</v>
      </c>
    </row>
    <row r="86" spans="1:31">
      <c r="A86" s="132">
        <v>108</v>
      </c>
      <c r="B86" s="132" t="str">
        <v>비닐스토리</v>
      </c>
      <c r="C86" s="132" t="str">
        <v>스마트 스토어</v>
      </c>
      <c r="D86" s="132" t="str">
        <v>유금숙</v>
      </c>
      <c r="E86" s="133">
        <v>45453</v>
      </c>
      <c r="F86" s="132" t="str">
        <v>유금숙</v>
      </c>
      <c r="G86" s="132" t="str">
        <v>540216957716</v>
      </c>
      <c r="H86" s="132" t="str">
        <v>SE.307</v>
      </c>
      <c r="I86" s="132" t="str">
        <v>투명</v>
      </c>
      <c r="J86" s="132">
        <v>1</v>
      </c>
      <c r="K86" s="139">
        <v>7260</v>
      </c>
      <c r="L86" s="139">
        <v>0</v>
      </c>
      <c r="M86" s="139">
        <v>0</v>
      </c>
      <c r="N86" s="133">
        <v>45452</v>
      </c>
      <c r="O86" s="132" t="str">
        <v>2024060990524461</v>
      </c>
      <c r="P86" s="135" t="str">
        <v>koak****</v>
      </c>
      <c r="Q86" s="149" t="str">
        <v>010-8636-4037</v>
      </c>
      <c r="R86" s="132" t="str">
        <v>CJ대한통운</v>
      </c>
      <c r="S86" s="140">
        <v>0</v>
      </c>
      <c r="T86" s="132" t="str">
        <v>010-8636-4037</v>
      </c>
      <c r="U86" s="132" t="str">
        <v>경상북도 경주시 금성로395번길 15 (성건동) 고산숯불</v>
      </c>
      <c r="V86" s="132">
        <v>0</v>
      </c>
      <c r="W86" s="139">
        <v>10690</v>
      </c>
      <c r="X86" s="139">
        <v>1190</v>
      </c>
      <c r="Y86" s="139">
        <v>0</v>
      </c>
      <c r="Z86" s="139">
        <v>0</v>
      </c>
      <c r="AA86" s="139">
        <v>0</v>
      </c>
      <c r="AB86" s="146">
        <v>0</v>
      </c>
      <c r="AC86" s="146">
        <v>0</v>
      </c>
      <c r="AD86" s="139">
        <v>0</v>
      </c>
      <c r="AE86" s="132" t="str">
        <v>비닐스토리 스마트 스토어 유금숙 유금숙 SE.307 투명 540216957716 010-8636-4037 2024060990524461</v>
      </c>
    </row>
    <row r="87" spans="1:31">
      <c r="A87" s="132">
        <v>23</v>
      </c>
      <c r="B87" s="132" t="str">
        <v>비닐스토리</v>
      </c>
      <c r="C87" s="132" t="str">
        <v>스마트 스토어</v>
      </c>
      <c r="D87" s="132" t="str">
        <v>유승범</v>
      </c>
      <c r="E87" s="133">
        <v>45446</v>
      </c>
      <c r="F87" s="132" t="str">
        <v>유승범</v>
      </c>
      <c r="G87" s="132" t="str">
        <v>530213305035</v>
      </c>
      <c r="H87" s="132" t="str">
        <v>SE.201</v>
      </c>
      <c r="I87" s="132" t="str">
        <v>투명</v>
      </c>
      <c r="J87" s="132">
        <v>1</v>
      </c>
      <c r="K87" s="139">
        <v>12900</v>
      </c>
      <c r="L87" s="139">
        <v>3000</v>
      </c>
      <c r="M87" s="139">
        <v>0</v>
      </c>
      <c r="N87" s="133">
        <v>45446</v>
      </c>
      <c r="O87" s="132" t="str">
        <v>2024060356409111</v>
      </c>
      <c r="P87" s="135" t="str">
        <v>ysb0****</v>
      </c>
      <c r="Q87" s="149" t="str">
        <v>010-5268-9041</v>
      </c>
      <c r="R87" s="132" t="str">
        <v>CJ대한통운</v>
      </c>
      <c r="S87" s="140">
        <v>0</v>
      </c>
      <c r="T87" s="132" t="str">
        <v>010-5268-9041</v>
      </c>
      <c r="U87" s="132" t="str">
        <v>서울특별시 송파구 양재대로 932 (가락동, 가락동 농수산물도매시장) 가락몰 축산부류 1층 51호 대명축산</v>
      </c>
      <c r="V87" s="132">
        <v>0</v>
      </c>
      <c r="W87" s="139">
        <v>14580</v>
      </c>
      <c r="X87" s="139">
        <v>1620</v>
      </c>
      <c r="Y87" s="139">
        <v>3000</v>
      </c>
      <c r="Z87" s="139">
        <v>0</v>
      </c>
      <c r="AA87" s="139">
        <v>0</v>
      </c>
      <c r="AB87" s="146">
        <v>0</v>
      </c>
      <c r="AC87" s="146">
        <v>0</v>
      </c>
      <c r="AD87" s="139">
        <v>0</v>
      </c>
      <c r="AE87" s="132" t="str">
        <v>비닐스토리 스마트 스토어 유승범 유승범 SE.201 투명 530213305035 010-5268-9041 2024060356409111</v>
      </c>
    </row>
    <row r="88" spans="1:31">
      <c r="A88" s="132">
        <v>67</v>
      </c>
      <c r="B88" s="132" t="str">
        <v>비닐스토리</v>
      </c>
      <c r="C88" s="132" t="str">
        <v>쿠팡</v>
      </c>
      <c r="D88" s="132" t="str">
        <v>유윤정</v>
      </c>
      <c r="E88" s="133">
        <v>45448</v>
      </c>
      <c r="F88" s="132" t="str">
        <v>유윤정</v>
      </c>
      <c r="G88" s="132" t="str">
        <v>540214280640</v>
      </c>
      <c r="H88" s="132" t="str">
        <v>SE.102</v>
      </c>
      <c r="I88" s="132" t="str">
        <v>투명</v>
      </c>
      <c r="J88" s="132">
        <v>10</v>
      </c>
      <c r="K88" s="139">
        <v>9600</v>
      </c>
      <c r="L88" s="139">
        <v>3000</v>
      </c>
      <c r="M88" s="139">
        <v>0</v>
      </c>
      <c r="N88" s="133">
        <v>45447</v>
      </c>
      <c r="O88" s="132" t="str">
        <v>17100051349040</v>
      </c>
      <c r="P88" s="135" t="str">
        <v>bu*****@ka</v>
      </c>
      <c r="Q88" s="149" t="str">
        <v>0504-4333-5093</v>
      </c>
      <c r="R88" s="132" t="str">
        <v>CJ대한통운</v>
      </c>
      <c r="S88" s="140">
        <v>0</v>
      </c>
      <c r="T88" s="132" t="str">
        <v>0504-4333-5093</v>
      </c>
      <c r="U88" s="132" t="str">
        <v>경기도 안양시 만안구 안양동 190-6 광신프로그레스리버뷰203동702호</v>
      </c>
      <c r="V88" s="132" t="str">
        <v>문 앞</v>
      </c>
      <c r="W88" s="139">
        <v>11500</v>
      </c>
      <c r="X88" s="139">
        <v>0</v>
      </c>
      <c r="Y88" s="139">
        <v>3000</v>
      </c>
      <c r="Z88" s="139">
        <v>0</v>
      </c>
      <c r="AA88" s="139">
        <v>0</v>
      </c>
      <c r="AB88" s="146">
        <v>0</v>
      </c>
      <c r="AC88" s="146">
        <v>0</v>
      </c>
      <c r="AD88" s="139">
        <v>0</v>
      </c>
      <c r="AE88" s="132" t="str">
        <v>비닐스토리 쿠팡 유윤정 유윤정 SE.102 투명 540214280640 0504-4333-5093 17100051349040</v>
      </c>
    </row>
    <row r="89" spans="1:31">
      <c r="A89" s="132">
        <v>5</v>
      </c>
      <c r="B89" s="132" t="str">
        <v>비닐스토리</v>
      </c>
      <c r="C89" s="132" t="str">
        <v>스마트 스토어</v>
      </c>
      <c r="D89" s="132" t="str">
        <v>윤은희</v>
      </c>
      <c r="E89" s="133">
        <v>45443</v>
      </c>
      <c r="F89" s="132" t="str">
        <v>윤은희</v>
      </c>
      <c r="G89" s="132" t="str">
        <v>530211538423</v>
      </c>
      <c r="H89" s="132" t="str">
        <v>SE.206</v>
      </c>
      <c r="I89" s="132" t="str">
        <v>투명</v>
      </c>
      <c r="J89" s="132">
        <v>1</v>
      </c>
      <c r="K89" s="139">
        <v>23300</v>
      </c>
      <c r="L89" s="139">
        <v>3500</v>
      </c>
      <c r="M89" s="139">
        <v>0</v>
      </c>
      <c r="N89" s="133">
        <v>45443</v>
      </c>
      <c r="O89" s="132" t="str">
        <v>2024053156950031</v>
      </c>
      <c r="P89" s="135" t="str">
        <v>qkah****</v>
      </c>
      <c r="Q89" s="149" t="str">
        <v>010-8865-8843</v>
      </c>
      <c r="R89" s="132" t="str">
        <v>CJ대한통운</v>
      </c>
      <c r="S89" s="140">
        <v>0</v>
      </c>
      <c r="T89" s="132" t="str">
        <v>010-8865-8843</v>
      </c>
      <c r="U89" s="132" t="str">
        <v>충청북도 청주시 청원구 상당로 230 (우암동) 1층상가</v>
      </c>
      <c r="V89" s="132">
        <v>0</v>
      </c>
      <c r="W89" s="139">
        <v>28620</v>
      </c>
      <c r="X89" s="139">
        <v>3180</v>
      </c>
      <c r="Y89" s="139">
        <v>3000</v>
      </c>
      <c r="Z89" s="139">
        <v>0</v>
      </c>
      <c r="AA89" s="139">
        <v>0</v>
      </c>
      <c r="AB89" s="146">
        <v>0</v>
      </c>
      <c r="AC89" s="146">
        <v>0</v>
      </c>
      <c r="AD89" s="139">
        <v>0</v>
      </c>
      <c r="AE89" s="132" t="str">
        <v>비닐스토리 스마트 스토어 윤은희 윤은희 SE.206 투명 530211538423 010-8865-8843 2024053156950031</v>
      </c>
    </row>
    <row r="90" spans="1:31">
      <c r="A90" s="132">
        <v>25</v>
      </c>
      <c r="B90" s="132" t="str">
        <v>비닐스토리</v>
      </c>
      <c r="C90" s="132" t="str">
        <v>스마트 스토어</v>
      </c>
      <c r="D90" s="132" t="str">
        <v>윤춘자</v>
      </c>
      <c r="E90" s="133">
        <v>45446</v>
      </c>
      <c r="F90" s="132" t="str">
        <v>윤춘자</v>
      </c>
      <c r="G90" s="132" t="str">
        <v>530213304965</v>
      </c>
      <c r="H90" s="132" t="str">
        <v>SE.206</v>
      </c>
      <c r="I90" s="132" t="str">
        <v>투명</v>
      </c>
      <c r="J90" s="132">
        <v>2</v>
      </c>
      <c r="K90" s="139">
        <v>44000</v>
      </c>
      <c r="L90" s="139">
        <v>4400</v>
      </c>
      <c r="M90" s="139">
        <v>0</v>
      </c>
      <c r="N90" s="133">
        <v>45444</v>
      </c>
      <c r="O90" s="132" t="str">
        <v>2024060182579771</v>
      </c>
      <c r="P90" s="135" t="str">
        <v>cnsw****</v>
      </c>
      <c r="Q90" s="149" t="str">
        <v>010-5893-7530</v>
      </c>
      <c r="R90" s="132" t="str">
        <v>CJ대한통운</v>
      </c>
      <c r="S90" s="140">
        <v>0</v>
      </c>
      <c r="T90" s="132" t="str">
        <v>0502-3570-4749</v>
      </c>
      <c r="U90" s="132" t="str">
        <v>인천광역시 미추홀구 인하로183번길 34 (주안동) 인천광역시미추홀구인하로183번길34</v>
      </c>
      <c r="V90" s="132">
        <v>0</v>
      </c>
      <c r="W90" s="139">
        <v>57240</v>
      </c>
      <c r="X90" s="139">
        <v>6360</v>
      </c>
      <c r="Y90" s="139">
        <v>0</v>
      </c>
      <c r="Z90" s="139">
        <v>0</v>
      </c>
      <c r="AA90" s="139">
        <v>0</v>
      </c>
      <c r="AB90" s="146">
        <v>0</v>
      </c>
      <c r="AC90" s="146">
        <v>0</v>
      </c>
      <c r="AD90" s="139">
        <v>0</v>
      </c>
      <c r="AE90" s="132" t="str">
        <v>비닐스토리 스마트 스토어 윤춘자 윤춘자 SE.206 투명 530213304965 0502-3570-4749 2024060182579771</v>
      </c>
    </row>
    <row r="91" spans="1:31">
      <c r="A91" s="132">
        <v>143</v>
      </c>
      <c r="B91" s="132" t="str">
        <v>비닐팩토리</v>
      </c>
      <c r="C91" s="132" t="str">
        <v>스마트 스토어</v>
      </c>
      <c r="D91" s="132" t="str">
        <v>윤현진</v>
      </c>
      <c r="E91" s="133">
        <v>45456</v>
      </c>
      <c r="F91" s="132" t="str">
        <v>윤현진</v>
      </c>
      <c r="G91" s="132" t="str">
        <v>530221335166</v>
      </c>
      <c r="H91" s="132" t="str">
        <v>SE.307</v>
      </c>
      <c r="I91" s="132" t="str">
        <v>투명</v>
      </c>
      <c r="J91" s="132">
        <v>1</v>
      </c>
      <c r="K91" s="139">
        <v>0</v>
      </c>
      <c r="L91" s="139">
        <v>3500</v>
      </c>
      <c r="M91" s="139">
        <v>0</v>
      </c>
      <c r="N91" s="133">
        <v>45456</v>
      </c>
      <c r="O91" s="132" t="str">
        <v>2024061356909371</v>
      </c>
      <c r="P91" s="135" t="str">
        <v>hyun****</v>
      </c>
      <c r="Q91" s="149" t="str">
        <v>010-8982-7060</v>
      </c>
      <c r="R91" s="132" t="str">
        <v>CJ대한통운</v>
      </c>
      <c r="S91" s="140">
        <v>0</v>
      </c>
      <c r="T91" s="132" t="str">
        <v>010-8982-7060</v>
      </c>
      <c r="U91" s="132" t="str">
        <v>충청남도 보령시 지장골길 160 (죽정동, 부경파크빌아파트) 104동 703호</v>
      </c>
      <c r="V91" s="132">
        <v>0</v>
      </c>
      <c r="W91" s="139">
        <v>10560</v>
      </c>
      <c r="X91" s="139">
        <v>0</v>
      </c>
      <c r="Y91" s="139">
        <v>3000</v>
      </c>
      <c r="Z91" s="139">
        <v>0</v>
      </c>
      <c r="AA91" s="139">
        <v>0</v>
      </c>
      <c r="AB91" s="146">
        <v>0</v>
      </c>
      <c r="AC91" s="146">
        <v>0</v>
      </c>
      <c r="AD91" s="139">
        <v>0</v>
      </c>
      <c r="AE91" s="132" t="str">
        <v>비닐팩토리 스마트 스토어 윤현진 윤현진 SE.307 투명 530221335166 010-8982-7060 2024061356909371</v>
      </c>
    </row>
    <row r="92" spans="1:31">
      <c r="A92" s="132">
        <v>144</v>
      </c>
      <c r="B92" s="132" t="str">
        <v>비닐팩토리</v>
      </c>
      <c r="C92" s="132" t="str">
        <v>스마트 스토어</v>
      </c>
      <c r="D92" s="132" t="str">
        <v>윤현진</v>
      </c>
      <c r="E92" s="133">
        <v>45456</v>
      </c>
      <c r="F92" s="132" t="str">
        <v>윤현진</v>
      </c>
      <c r="G92" s="132" t="str">
        <v>530221335166</v>
      </c>
      <c r="H92" s="132" t="str">
        <v>SE.118</v>
      </c>
      <c r="I92" s="132" t="str">
        <v>투명</v>
      </c>
      <c r="J92" s="132">
        <v>1</v>
      </c>
      <c r="K92" s="139">
        <v>0</v>
      </c>
      <c r="L92" s="139">
        <v>0</v>
      </c>
      <c r="M92" s="139">
        <v>0</v>
      </c>
      <c r="N92" s="133">
        <v>45456</v>
      </c>
      <c r="O92" s="132" t="str">
        <v>2024061356909361</v>
      </c>
      <c r="P92" s="135" t="str">
        <v>hyun****</v>
      </c>
      <c r="Q92" s="149" t="str">
        <v>010-8982-7060</v>
      </c>
      <c r="R92" s="132" t="str">
        <v>CJ대한통운</v>
      </c>
      <c r="S92" s="140">
        <v>0</v>
      </c>
      <c r="T92" s="132" t="str">
        <v>010-8982-7060</v>
      </c>
      <c r="U92" s="132" t="str">
        <v>충청남도 보령시 지장골길 160 (죽정동, 부경파크빌아파트) 104동 703호</v>
      </c>
      <c r="V92" s="132">
        <v>0</v>
      </c>
      <c r="W92" s="139">
        <v>3450</v>
      </c>
      <c r="X92" s="139">
        <v>0</v>
      </c>
      <c r="Y92" s="139">
        <v>0</v>
      </c>
      <c r="Z92" s="139">
        <v>0</v>
      </c>
      <c r="AA92" s="139">
        <v>0</v>
      </c>
      <c r="AB92" s="146">
        <v>0</v>
      </c>
      <c r="AC92" s="146">
        <v>0</v>
      </c>
      <c r="AD92" s="139">
        <v>0</v>
      </c>
      <c r="AE92" s="132" t="str">
        <v>비닐팩토리 스마트 스토어 윤현진 윤현진 SE.118 투명 530221335166 010-8982-7060 2024061356909361</v>
      </c>
    </row>
    <row r="93" spans="1:31">
      <c r="A93" s="132">
        <v>109</v>
      </c>
      <c r="B93" s="132" t="str">
        <v>비닐스토리</v>
      </c>
      <c r="C93" s="132" t="str">
        <v>스마트 스토어</v>
      </c>
      <c r="D93" s="132" t="str">
        <v>윤혜영</v>
      </c>
      <c r="E93" s="133">
        <v>45453</v>
      </c>
      <c r="F93" s="132" t="str">
        <v>윤혜영</v>
      </c>
      <c r="G93" s="132" t="str">
        <v>540216957801</v>
      </c>
      <c r="H93" s="132" t="str">
        <v>SE.206</v>
      </c>
      <c r="I93" s="132" t="str">
        <v>투명</v>
      </c>
      <c r="J93" s="132">
        <v>1</v>
      </c>
      <c r="K93" s="139">
        <v>23300</v>
      </c>
      <c r="L93" s="139">
        <v>3500</v>
      </c>
      <c r="M93" s="139">
        <v>0</v>
      </c>
      <c r="N93" s="133">
        <v>45452</v>
      </c>
      <c r="O93" s="132" t="str">
        <v>2024060970463081</v>
      </c>
      <c r="P93" s="135" t="str">
        <v>chac****</v>
      </c>
      <c r="Q93" s="149" t="str">
        <v>010-4599-0208</v>
      </c>
      <c r="R93" s="132" t="str">
        <v>CJ대한통운</v>
      </c>
      <c r="S93" s="140">
        <v>0</v>
      </c>
      <c r="T93" s="132" t="str">
        <v>010-4599-0208</v>
      </c>
      <c r="U93" s="132" t="str">
        <v>경기도 구리시 아치울길 34-9 (아천동) 호성아트빌 301호</v>
      </c>
      <c r="V93" s="132" t="str">
        <v>배송 전 미리 연락해 주세요</v>
      </c>
      <c r="W93" s="139">
        <v>28620</v>
      </c>
      <c r="X93" s="139">
        <v>3180</v>
      </c>
      <c r="Y93" s="139">
        <v>3000</v>
      </c>
      <c r="Z93" s="139">
        <v>0</v>
      </c>
      <c r="AA93" s="139">
        <v>0</v>
      </c>
      <c r="AB93" s="146">
        <v>0</v>
      </c>
      <c r="AC93" s="146">
        <v>0</v>
      </c>
      <c r="AD93" s="139">
        <v>0</v>
      </c>
      <c r="AE93" s="132" t="str">
        <v>비닐스토리 스마트 스토어 윤혜영 윤혜영 SE.206 투명 540216957801 010-4599-0208 2024060970463081</v>
      </c>
    </row>
    <row r="94" spans="1:31">
      <c r="A94" s="132">
        <v>169</v>
      </c>
      <c r="B94" s="132" t="str">
        <v>비닐스토리</v>
      </c>
      <c r="C94" s="132" t="str">
        <v>쿠팡</v>
      </c>
      <c r="D94" s="132" t="str">
        <v>이경근</v>
      </c>
      <c r="E94" s="133">
        <v>45457</v>
      </c>
      <c r="F94" s="132" t="str">
        <v>이경근</v>
      </c>
      <c r="G94" s="132" t="str">
        <v>530221956405</v>
      </c>
      <c r="H94" s="132" t="str">
        <v>SE.137</v>
      </c>
      <c r="I94" s="132" t="str">
        <v>투명</v>
      </c>
      <c r="J94" s="132">
        <v>8</v>
      </c>
      <c r="K94" s="139">
        <v>10540</v>
      </c>
      <c r="L94" s="139">
        <v>3500</v>
      </c>
      <c r="M94" s="139">
        <v>0</v>
      </c>
      <c r="N94" s="133">
        <v>45456</v>
      </c>
      <c r="O94" s="132" t="str">
        <v>3100053050540</v>
      </c>
      <c r="P94" s="135" t="str">
        <v>ru*****@na</v>
      </c>
      <c r="Q94" s="149" t="str">
        <v>0502-4691-6905</v>
      </c>
      <c r="R94" s="132" t="str">
        <v>CJ대한통운</v>
      </c>
      <c r="S94" s="140">
        <v>0</v>
      </c>
      <c r="T94" s="132" t="str">
        <v>0502-4691-6905</v>
      </c>
      <c r="U94" s="132" t="str">
        <v>인천광역시 남동구 문화서로4번길 25-4 보노통닭 ( 구월동 )</v>
      </c>
      <c r="V94" s="132" t="str">
        <v>문 앞</v>
      </c>
      <c r="W94" s="139">
        <v>13440</v>
      </c>
      <c r="X94" s="139">
        <v>0</v>
      </c>
      <c r="Y94" s="139">
        <v>0</v>
      </c>
      <c r="Z94" s="139">
        <v>0</v>
      </c>
      <c r="AA94" s="139">
        <v>0</v>
      </c>
      <c r="AB94" s="146">
        <v>0</v>
      </c>
      <c r="AC94" s="146">
        <v>0</v>
      </c>
      <c r="AD94" s="139">
        <v>0</v>
      </c>
      <c r="AE94" s="132" t="str">
        <v>비닐스토리 쿠팡 이경근 이경근 SE.137 투명 530221956405 0502-4691-6905 3100053050540</v>
      </c>
    </row>
    <row r="95" spans="1:31">
      <c r="A95" s="132">
        <v>170</v>
      </c>
      <c r="B95" s="132" t="str">
        <v>비닐스토리</v>
      </c>
      <c r="C95" s="132" t="str">
        <v>쿠팡</v>
      </c>
      <c r="D95" s="132" t="str">
        <v>이경근</v>
      </c>
      <c r="E95" s="133">
        <v>45457</v>
      </c>
      <c r="F95" s="132" t="str">
        <v>이경근</v>
      </c>
      <c r="G95" s="132" t="str">
        <v>530221956405</v>
      </c>
      <c r="H95" s="132" t="str">
        <v>SE.5</v>
      </c>
      <c r="I95" s="132" t="str">
        <v>투명</v>
      </c>
      <c r="J95" s="132">
        <v>6</v>
      </c>
      <c r="K95" s="139">
        <v>7260</v>
      </c>
      <c r="L95" s="139">
        <v>0</v>
      </c>
      <c r="M95" s="139">
        <v>0</v>
      </c>
      <c r="N95" s="133">
        <v>45456</v>
      </c>
      <c r="O95" s="132" t="str">
        <v>3100053050540</v>
      </c>
      <c r="P95" s="135" t="str">
        <v>ru*****@na</v>
      </c>
      <c r="Q95" s="149" t="str">
        <v>0502-4691-6905</v>
      </c>
      <c r="R95" s="132" t="str">
        <v>CJ대한통운</v>
      </c>
      <c r="S95" s="140">
        <v>0</v>
      </c>
      <c r="T95" s="132" t="str">
        <v>0502-4691-6905</v>
      </c>
      <c r="U95" s="132" t="str">
        <v>인천광역시 남동구 문화서로4번길 25-4 보노통닭 ( 구월동 )</v>
      </c>
      <c r="V95" s="132" t="str">
        <v>문 앞</v>
      </c>
      <c r="W95" s="139">
        <v>11280</v>
      </c>
      <c r="X95" s="139">
        <v>1260</v>
      </c>
      <c r="Y95" s="139">
        <v>0</v>
      </c>
      <c r="Z95" s="139">
        <v>0</v>
      </c>
      <c r="AA95" s="139">
        <v>0</v>
      </c>
      <c r="AB95" s="146">
        <v>0</v>
      </c>
      <c r="AC95" s="146">
        <v>0</v>
      </c>
      <c r="AD95" s="139">
        <v>0</v>
      </c>
      <c r="AE95" s="132" t="str">
        <v>비닐스토리 쿠팡 이경근 이경근 SE.5 투명 530221956405 0502-4691-6905 3100053050540</v>
      </c>
    </row>
    <row r="96" spans="1:31">
      <c r="A96" s="132">
        <v>171</v>
      </c>
      <c r="B96" s="132" t="str">
        <v>비닐스토리</v>
      </c>
      <c r="C96" s="132" t="str">
        <v>쿠팡</v>
      </c>
      <c r="D96" s="132" t="str">
        <v>이경근</v>
      </c>
      <c r="E96" s="133">
        <v>45457</v>
      </c>
      <c r="F96" s="132" t="str">
        <v>이경근</v>
      </c>
      <c r="G96" s="132" t="str">
        <v>530221956405</v>
      </c>
      <c r="H96" s="132" t="str">
        <v>SE.102</v>
      </c>
      <c r="I96" s="132" t="str">
        <v>투명</v>
      </c>
      <c r="J96" s="132">
        <v>9</v>
      </c>
      <c r="K96" s="139">
        <v>5940</v>
      </c>
      <c r="L96" s="139">
        <v>0</v>
      </c>
      <c r="M96" s="139">
        <v>0</v>
      </c>
      <c r="N96" s="133">
        <v>45456</v>
      </c>
      <c r="O96" s="132" t="str">
        <v>3100053050540</v>
      </c>
      <c r="P96" s="135" t="str">
        <v>ru*****@na</v>
      </c>
      <c r="Q96" s="149" t="str">
        <v>0502-4691-6905</v>
      </c>
      <c r="R96" s="132" t="str">
        <v>CJ대한통운</v>
      </c>
      <c r="S96" s="140">
        <v>0</v>
      </c>
      <c r="T96" s="132" t="str">
        <v>0502-4691-6905</v>
      </c>
      <c r="U96" s="132" t="str">
        <v>인천광역시 남동구 문화서로4번길 25-4 보노통닭 ( 구월동 )</v>
      </c>
      <c r="V96" s="132" t="str">
        <v>문 앞</v>
      </c>
      <c r="W96" s="139">
        <v>10350</v>
      </c>
      <c r="X96" s="139">
        <v>0</v>
      </c>
      <c r="Y96" s="139">
        <v>0</v>
      </c>
      <c r="Z96" s="139">
        <v>0</v>
      </c>
      <c r="AA96" s="139">
        <v>0</v>
      </c>
      <c r="AB96" s="146">
        <v>0</v>
      </c>
      <c r="AC96" s="146">
        <v>0</v>
      </c>
      <c r="AD96" s="139">
        <v>0</v>
      </c>
      <c r="AE96" s="132" t="str">
        <v>비닐스토리 쿠팡 이경근 이경근 SE.102 투명 530221956405 0502-4691-6905 3100053050540</v>
      </c>
    </row>
    <row r="97" spans="1:31">
      <c r="A97" s="132">
        <v>155</v>
      </c>
      <c r="B97" s="132" t="str">
        <v>비닐스토리</v>
      </c>
      <c r="C97" s="132" t="str">
        <v>쿠팡</v>
      </c>
      <c r="D97" s="132" t="str">
        <v>이민석</v>
      </c>
      <c r="E97" s="133">
        <v>45456</v>
      </c>
      <c r="F97" s="132" t="str">
        <v>이민석</v>
      </c>
      <c r="G97" s="132" t="str">
        <v>540219665530</v>
      </c>
      <c r="H97" s="132" t="str">
        <v>SE.101</v>
      </c>
      <c r="I97" s="132" t="str">
        <v>투명</v>
      </c>
      <c r="J97" s="132">
        <v>1</v>
      </c>
      <c r="K97" s="139">
        <v>3550</v>
      </c>
      <c r="L97" s="139">
        <v>3000</v>
      </c>
      <c r="M97" s="139">
        <v>0</v>
      </c>
      <c r="N97" s="133">
        <v>45455</v>
      </c>
      <c r="O97" s="132" t="str">
        <v>20100052706525</v>
      </c>
      <c r="P97" s="135" t="str">
        <v>lm*****@na</v>
      </c>
      <c r="Q97" s="149" t="str">
        <v>0504-4373-2099</v>
      </c>
      <c r="R97" s="132" t="str">
        <v>CJ대한통운</v>
      </c>
      <c r="S97" s="140">
        <v>0</v>
      </c>
      <c r="T97" s="132" t="str">
        <v>0504-4373-2099</v>
      </c>
      <c r="U97" s="132" t="str">
        <v>부산광역시 금정구 청룡예전로 74 102동104호 ( 청룡동,경동아파트 )</v>
      </c>
      <c r="V97" s="132" t="str">
        <v>문 앞</v>
      </c>
      <c r="W97" s="139">
        <v>940</v>
      </c>
      <c r="X97" s="139">
        <v>0</v>
      </c>
      <c r="Y97" s="139">
        <v>3000</v>
      </c>
      <c r="Z97" s="139">
        <v>0</v>
      </c>
      <c r="AA97" s="139">
        <v>0</v>
      </c>
      <c r="AB97" s="146">
        <v>0</v>
      </c>
      <c r="AC97" s="146">
        <v>0</v>
      </c>
      <c r="AD97" s="139">
        <v>0</v>
      </c>
      <c r="AE97" s="132" t="str">
        <v>비닐스토리 쿠팡 이민석 이민석 SE.101 투명 540219665530 0504-4373-2099 20100052706525</v>
      </c>
    </row>
    <row r="98" spans="1:31">
      <c r="A98" s="132">
        <v>156</v>
      </c>
      <c r="B98" s="132" t="str">
        <v>비닐스토리</v>
      </c>
      <c r="C98" s="132" t="str">
        <v>쿠팡</v>
      </c>
      <c r="D98" s="132" t="str">
        <v>이민석</v>
      </c>
      <c r="E98" s="133">
        <v>45456</v>
      </c>
      <c r="F98" s="132" t="str">
        <v>이민석</v>
      </c>
      <c r="G98" s="132" t="str">
        <v>540219665530</v>
      </c>
      <c r="H98" s="132" t="str">
        <v>SE.103</v>
      </c>
      <c r="I98" s="132" t="str">
        <v>투명</v>
      </c>
      <c r="J98" s="132">
        <v>1</v>
      </c>
      <c r="K98" s="139">
        <v>1100</v>
      </c>
      <c r="L98" s="139">
        <v>0</v>
      </c>
      <c r="M98" s="139">
        <v>0</v>
      </c>
      <c r="N98" s="133">
        <v>45455</v>
      </c>
      <c r="O98" s="132" t="str">
        <v>20100052706525</v>
      </c>
      <c r="P98" s="135" t="str">
        <v>lm*****@na</v>
      </c>
      <c r="Q98" s="149" t="str">
        <v>0504-4373-2099</v>
      </c>
      <c r="R98" s="132" t="str">
        <v>CJ대한통운</v>
      </c>
      <c r="S98" s="140">
        <v>0</v>
      </c>
      <c r="T98" s="132" t="str">
        <v>0504-4373-2099</v>
      </c>
      <c r="U98" s="132" t="str">
        <v>부산광역시 금정구 청룡예전로 74 102동104호 ( 청룡동,경동아파트 )</v>
      </c>
      <c r="V98" s="132" t="str">
        <v>문 앞</v>
      </c>
      <c r="W98" s="139">
        <v>1690</v>
      </c>
      <c r="X98" s="139">
        <v>190</v>
      </c>
      <c r="Y98" s="139">
        <v>0</v>
      </c>
      <c r="Z98" s="139">
        <v>0</v>
      </c>
      <c r="AA98" s="139">
        <v>0</v>
      </c>
      <c r="AB98" s="146">
        <v>0</v>
      </c>
      <c r="AC98" s="146">
        <v>0</v>
      </c>
      <c r="AD98" s="139">
        <v>0</v>
      </c>
      <c r="AE98" s="132" t="str">
        <v>비닐스토리 쿠팡 이민석 이민석 SE.103 투명 540219665530 0504-4373-2099 20100052706525</v>
      </c>
    </row>
    <row r="99" spans="1:31">
      <c r="A99" s="132">
        <v>157</v>
      </c>
      <c r="B99" s="132" t="str">
        <v>비닐스토리</v>
      </c>
      <c r="C99" s="132" t="str">
        <v>쿠팡</v>
      </c>
      <c r="D99" s="132" t="str">
        <v>이민석</v>
      </c>
      <c r="E99" s="133">
        <v>45456</v>
      </c>
      <c r="F99" s="132" t="str">
        <v>이민석</v>
      </c>
      <c r="G99" s="132" t="str">
        <v>540219665530</v>
      </c>
      <c r="H99" s="132" t="str">
        <v>SE.105</v>
      </c>
      <c r="I99" s="132" t="str">
        <v>투명</v>
      </c>
      <c r="J99" s="132">
        <v>1</v>
      </c>
      <c r="K99" s="139">
        <v>1650</v>
      </c>
      <c r="L99" s="139">
        <v>0</v>
      </c>
      <c r="M99" s="139">
        <v>0</v>
      </c>
      <c r="N99" s="133">
        <v>45455</v>
      </c>
      <c r="O99" s="132" t="str">
        <v>20100052706525</v>
      </c>
      <c r="P99" s="135" t="str">
        <v>lm*****@na</v>
      </c>
      <c r="Q99" s="149" t="str">
        <v>0504-4373-2099</v>
      </c>
      <c r="R99" s="132" t="str">
        <v>CJ대한통운</v>
      </c>
      <c r="S99" s="140">
        <v>0</v>
      </c>
      <c r="T99" s="132" t="str">
        <v>0504-4373-2099</v>
      </c>
      <c r="U99" s="132" t="str">
        <v>부산광역시 금정구 청룡예전로 74 102동104호 ( 청룡동,경동아파트 )</v>
      </c>
      <c r="V99" s="132" t="str">
        <v>문 앞</v>
      </c>
      <c r="W99" s="139">
        <v>2440</v>
      </c>
      <c r="X99" s="139">
        <v>440</v>
      </c>
      <c r="Y99" s="139">
        <v>0</v>
      </c>
      <c r="Z99" s="139">
        <v>0</v>
      </c>
      <c r="AA99" s="139">
        <v>0</v>
      </c>
      <c r="AB99" s="146">
        <v>0</v>
      </c>
      <c r="AC99" s="146">
        <v>0</v>
      </c>
      <c r="AD99" s="139">
        <v>0</v>
      </c>
      <c r="AE99" s="132" t="str">
        <v>비닐스토리 쿠팡 이민석 이민석 SE.105 투명 540219665530 0504-4373-2099 20100052706525</v>
      </c>
    </row>
    <row r="100" spans="1:31">
      <c r="A100" s="132">
        <v>158</v>
      </c>
      <c r="B100" s="132" t="str">
        <v>비닐스토리</v>
      </c>
      <c r="C100" s="132" t="str">
        <v>쿠팡</v>
      </c>
      <c r="D100" s="132" t="str">
        <v>이민석</v>
      </c>
      <c r="E100" s="133">
        <v>45456</v>
      </c>
      <c r="F100" s="132" t="str">
        <v>이민석</v>
      </c>
      <c r="G100" s="132" t="str">
        <v>540219665530</v>
      </c>
      <c r="H100" s="132" t="str">
        <v>SE.102</v>
      </c>
      <c r="I100" s="132" t="str">
        <v>투명</v>
      </c>
      <c r="J100" s="132">
        <v>1</v>
      </c>
      <c r="K100" s="139">
        <v>660</v>
      </c>
      <c r="L100" s="139">
        <v>0</v>
      </c>
      <c r="M100" s="139">
        <v>0</v>
      </c>
      <c r="N100" s="133">
        <v>45455</v>
      </c>
      <c r="O100" s="132" t="str">
        <v>20100052706525</v>
      </c>
      <c r="P100" s="135" t="str">
        <v>lm*****@na</v>
      </c>
      <c r="Q100" s="149" t="str">
        <v>0504-4373-2099</v>
      </c>
      <c r="R100" s="132" t="str">
        <v>CJ대한통운</v>
      </c>
      <c r="S100" s="140">
        <v>0</v>
      </c>
      <c r="T100" s="132" t="str">
        <v>0504-4373-2099</v>
      </c>
      <c r="U100" s="132" t="str">
        <v>부산광역시 금정구 청룡예전로 74 102동104호 ( 청룡동,경동아파트 )</v>
      </c>
      <c r="V100" s="132" t="str">
        <v>문 앞</v>
      </c>
      <c r="W100" s="139">
        <v>1150</v>
      </c>
      <c r="X100" s="139">
        <v>0</v>
      </c>
      <c r="Y100" s="139">
        <v>0</v>
      </c>
      <c r="Z100" s="139">
        <v>0</v>
      </c>
      <c r="AA100" s="139">
        <v>0</v>
      </c>
      <c r="AB100" s="146">
        <v>0</v>
      </c>
      <c r="AC100" s="146">
        <v>0</v>
      </c>
      <c r="AD100" s="139">
        <v>0</v>
      </c>
      <c r="AE100" s="132" t="str">
        <v>비닐스토리 쿠팡 이민석 이민석 SE.102 투명 540219665530 0504-4373-2099 20100052706525</v>
      </c>
    </row>
    <row r="101" spans="1:31">
      <c r="A101" s="132">
        <v>159</v>
      </c>
      <c r="B101" s="132" t="str">
        <v>비닐스토리</v>
      </c>
      <c r="C101" s="132" t="str">
        <v>쿠팡</v>
      </c>
      <c r="D101" s="132" t="str">
        <v>이민석</v>
      </c>
      <c r="E101" s="133">
        <v>45456</v>
      </c>
      <c r="F101" s="132" t="str">
        <v>이민석</v>
      </c>
      <c r="G101" s="132" t="str">
        <v>540219665530</v>
      </c>
      <c r="H101" s="132" t="str">
        <v>SE.104</v>
      </c>
      <c r="I101" s="132" t="str">
        <v>투명</v>
      </c>
      <c r="J101" s="132">
        <v>1</v>
      </c>
      <c r="K101" s="139">
        <v>1430</v>
      </c>
      <c r="L101" s="139">
        <v>0</v>
      </c>
      <c r="M101" s="139">
        <v>0</v>
      </c>
      <c r="N101" s="133">
        <v>45455</v>
      </c>
      <c r="O101" s="132" t="str">
        <v>20100052706525</v>
      </c>
      <c r="P101" s="135" t="str">
        <v>lm*****@na</v>
      </c>
      <c r="Q101" s="149" t="str">
        <v>0504-4373-2099</v>
      </c>
      <c r="R101" s="132" t="str">
        <v>CJ대한통운</v>
      </c>
      <c r="S101" s="140">
        <v>0</v>
      </c>
      <c r="T101" s="132" t="str">
        <v>0504-4373-2099</v>
      </c>
      <c r="U101" s="132" t="str">
        <v>부산광역시 금정구 청룡예전로 74 102동104호 ( 청룡동,경동아파트 )</v>
      </c>
      <c r="V101" s="132" t="str">
        <v>문 앞</v>
      </c>
      <c r="W101" s="139">
        <v>2570</v>
      </c>
      <c r="X101" s="139">
        <v>140</v>
      </c>
      <c r="Y101" s="139">
        <v>0</v>
      </c>
      <c r="Z101" s="139">
        <v>0</v>
      </c>
      <c r="AA101" s="139">
        <v>0</v>
      </c>
      <c r="AB101" s="146">
        <v>0</v>
      </c>
      <c r="AC101" s="146">
        <v>0</v>
      </c>
      <c r="AD101" s="139">
        <v>0</v>
      </c>
      <c r="AE101" s="132" t="str">
        <v>비닐스토리 쿠팡 이민석 이민석 SE.104 투명 540219665530 0504-4373-2099 20100052706525</v>
      </c>
    </row>
    <row r="102" spans="1:31">
      <c r="A102" s="132">
        <v>60</v>
      </c>
      <c r="B102" s="132" t="str">
        <v>비닐스토리</v>
      </c>
      <c r="C102" s="132" t="str">
        <v>스마트 스토어</v>
      </c>
      <c r="D102" s="132" t="str">
        <v>이상숙</v>
      </c>
      <c r="E102" s="133">
        <v>45448</v>
      </c>
      <c r="F102" s="132" t="str">
        <v>카페모들</v>
      </c>
      <c r="G102" s="132" t="str">
        <v>530215355501</v>
      </c>
      <c r="H102" s="132" t="str">
        <v>SE.201</v>
      </c>
      <c r="I102" s="132" t="str">
        <v>투명</v>
      </c>
      <c r="J102" s="132">
        <v>1</v>
      </c>
      <c r="K102" s="139">
        <v>12900</v>
      </c>
      <c r="L102" s="139">
        <v>3000</v>
      </c>
      <c r="M102" s="139">
        <v>0</v>
      </c>
      <c r="N102" s="133">
        <v>45448</v>
      </c>
      <c r="O102" s="132" t="str">
        <v>2024060553504051</v>
      </c>
      <c r="P102" s="135" t="str">
        <v>sang****</v>
      </c>
      <c r="Q102" s="149" t="str">
        <v>010-7458-6672</v>
      </c>
      <c r="R102" s="132" t="str">
        <v>CJ대한통운</v>
      </c>
      <c r="S102" s="140">
        <v>0</v>
      </c>
      <c r="T102" s="132" t="str">
        <v>010-7458-6672</v>
      </c>
      <c r="U102" s="132" t="str">
        <v>경기도 화성시 동탄기흥로 393-20 (오산동, 동탄역 파라곤) 1층190호 내측상가(선명희피자맞은편</v>
      </c>
      <c r="V102" s="132">
        <v>0</v>
      </c>
      <c r="W102" s="139">
        <v>14580</v>
      </c>
      <c r="X102" s="139">
        <v>1620</v>
      </c>
      <c r="Y102" s="139">
        <v>3000</v>
      </c>
      <c r="Z102" s="139">
        <v>0</v>
      </c>
      <c r="AA102" s="139">
        <v>0</v>
      </c>
      <c r="AB102" s="146">
        <v>0</v>
      </c>
      <c r="AC102" s="146">
        <v>0</v>
      </c>
      <c r="AD102" s="139">
        <v>0</v>
      </c>
      <c r="AE102" s="132" t="str">
        <v>비닐스토리 스마트 스토어 이상숙 카페모들 SE.201 투명 530215355501 010-7458-6672 2024060553504051</v>
      </c>
    </row>
    <row r="103" spans="1:31">
      <c r="A103" s="132">
        <v>150</v>
      </c>
      <c r="B103" s="132" t="str">
        <v>비닐스토리</v>
      </c>
      <c r="C103" s="132" t="str">
        <v>쿠팡</v>
      </c>
      <c r="D103" s="132" t="str">
        <v>이성화</v>
      </c>
      <c r="E103" s="133">
        <v>45456</v>
      </c>
      <c r="F103" s="132" t="str">
        <v>이성화</v>
      </c>
      <c r="G103" s="132" t="str">
        <v>530220762706</v>
      </c>
      <c r="H103" s="132" t="str">
        <v>SE.102</v>
      </c>
      <c r="I103" s="132" t="str">
        <v>투명</v>
      </c>
      <c r="J103" s="132">
        <v>20</v>
      </c>
      <c r="K103" s="139">
        <v>16700</v>
      </c>
      <c r="L103" s="139">
        <v>3500</v>
      </c>
      <c r="M103" s="139">
        <v>0</v>
      </c>
      <c r="N103" s="133">
        <v>45455</v>
      </c>
      <c r="O103" s="132" t="str">
        <v>8100052791560</v>
      </c>
      <c r="P103" s="135" t="str">
        <v>a5*****@na</v>
      </c>
      <c r="Q103" s="149" t="str">
        <v>0502-1357-0033</v>
      </c>
      <c r="R103" s="132" t="str">
        <v>CJ대한통운</v>
      </c>
      <c r="S103" s="140">
        <v>0</v>
      </c>
      <c r="T103" s="132" t="str">
        <v>0502-1357-0033</v>
      </c>
      <c r="U103" s="132" t="str">
        <v>부산광역시 동래구 석사북로 92-1 굴림당 ( 온천동 )</v>
      </c>
      <c r="V103" s="132" t="str">
        <v>직접 받고 부재 시 문 앞</v>
      </c>
      <c r="W103" s="139">
        <v>23000</v>
      </c>
      <c r="X103" s="139">
        <v>0</v>
      </c>
      <c r="Y103" s="139">
        <v>3000</v>
      </c>
      <c r="Z103" s="139">
        <v>0</v>
      </c>
      <c r="AA103" s="139">
        <v>0</v>
      </c>
      <c r="AB103" s="146">
        <v>0</v>
      </c>
      <c r="AC103" s="146">
        <v>0</v>
      </c>
      <c r="AD103" s="139">
        <v>0</v>
      </c>
      <c r="AE103" s="132" t="str">
        <v>비닐스토리 쿠팡 이성화 이성화 SE.102 투명 530220762706 0502-1357-0033 8100052791560</v>
      </c>
    </row>
    <row r="104" spans="1:31">
      <c r="A104" s="132">
        <v>11</v>
      </c>
      <c r="B104" s="132" t="str">
        <v>비닐팩토리</v>
      </c>
      <c r="C104" s="132" t="str">
        <v>쿠팡</v>
      </c>
      <c r="D104" s="132" t="str">
        <v>이성희</v>
      </c>
      <c r="E104" s="133">
        <v>45443</v>
      </c>
      <c r="F104" s="132" t="str">
        <v>최선용</v>
      </c>
      <c r="G104" s="132" t="str">
        <v>530211538526</v>
      </c>
      <c r="H104" s="132" t="str">
        <v>SE.206</v>
      </c>
      <c r="I104" s="132" t="str">
        <v>투명</v>
      </c>
      <c r="J104" s="132">
        <v>2</v>
      </c>
      <c r="K104" s="139">
        <v>0</v>
      </c>
      <c r="L104" s="139">
        <v>4400</v>
      </c>
      <c r="M104" s="139">
        <v>0</v>
      </c>
      <c r="N104" s="133">
        <v>45442</v>
      </c>
      <c r="O104" s="132" t="str">
        <v>27100050255907</v>
      </c>
      <c r="P104" s="135" t="str">
        <v>an*****@ha</v>
      </c>
      <c r="Q104" s="149" t="str">
        <v>0502-4619-0245</v>
      </c>
      <c r="R104" s="132" t="str">
        <v>CJ대한통운</v>
      </c>
      <c r="S104" s="140">
        <v>0</v>
      </c>
      <c r="T104" s="132" t="str">
        <v>0502-4619-0245</v>
      </c>
      <c r="U104" s="132" t="str">
        <v>대구광역시 달성군 현풍읍 테크노북로 33-4 1층 서울떡집</v>
      </c>
      <c r="V104" s="132" t="str">
        <v>직접 받고 부재 시 문 앞</v>
      </c>
      <c r="W104" s="139">
        <v>60480</v>
      </c>
      <c r="X104" s="139">
        <v>0</v>
      </c>
      <c r="Y104" s="139">
        <v>0</v>
      </c>
      <c r="Z104" s="139">
        <v>0</v>
      </c>
      <c r="AA104" s="139">
        <v>0</v>
      </c>
      <c r="AB104" s="146">
        <v>0</v>
      </c>
      <c r="AC104" s="146">
        <v>0</v>
      </c>
      <c r="AD104" s="139">
        <v>0</v>
      </c>
      <c r="AE104" s="132" t="str">
        <v>비닐팩토리 쿠팡 이성희 최선용 SE.206 투명 530211538526 0502-4619-0245 27100050255907</v>
      </c>
    </row>
    <row r="105" spans="1:31">
      <c r="A105" s="132">
        <v>123</v>
      </c>
      <c r="B105" s="132" t="str">
        <v>비닐스토리</v>
      </c>
      <c r="C105" s="132" t="str">
        <v>스마트 스토어</v>
      </c>
      <c r="D105" s="132" t="str">
        <v>이승미</v>
      </c>
      <c r="E105" s="133">
        <v>45454</v>
      </c>
      <c r="F105" s="132" t="str">
        <v>이승미(누피케이크)</v>
      </c>
      <c r="G105" s="132" t="str">
        <v>530219199794</v>
      </c>
      <c r="H105" s="132" t="str">
        <v>SE.206</v>
      </c>
      <c r="I105" s="132" t="str">
        <v>투명</v>
      </c>
      <c r="J105" s="132">
        <v>1</v>
      </c>
      <c r="K105" s="139">
        <v>23300</v>
      </c>
      <c r="L105" s="139">
        <v>3500</v>
      </c>
      <c r="M105" s="139">
        <v>0</v>
      </c>
      <c r="N105" s="133">
        <v>45454</v>
      </c>
      <c r="O105" s="132" t="str">
        <v>2024061152406471</v>
      </c>
      <c r="P105" s="135" t="str">
        <v>a900****</v>
      </c>
      <c r="Q105" s="149" t="str">
        <v>010-8996-6731</v>
      </c>
      <c r="R105" s="132" t="str">
        <v>CJ대한통운</v>
      </c>
      <c r="S105" s="140">
        <v>0</v>
      </c>
      <c r="T105" s="132" t="str">
        <v>010-8996-6731</v>
      </c>
      <c r="U105" s="132" t="str">
        <v>경기도 부천시 부천로 25 (심곡동, 노블레스부천) 307호 NOOPCAKE</v>
      </c>
      <c r="V105" s="132">
        <v>0</v>
      </c>
      <c r="W105" s="139">
        <v>28620</v>
      </c>
      <c r="X105" s="139">
        <v>3180</v>
      </c>
      <c r="Y105" s="139">
        <v>3000</v>
      </c>
      <c r="Z105" s="139">
        <v>0</v>
      </c>
      <c r="AA105" s="139">
        <v>0</v>
      </c>
      <c r="AB105" s="146">
        <v>0</v>
      </c>
      <c r="AC105" s="146">
        <v>0</v>
      </c>
      <c r="AD105" s="139">
        <v>0</v>
      </c>
      <c r="AE105" s="132" t="str">
        <v>비닐스토리 스마트 스토어 이승미 이승미(누피케이크) SE.206 투명 530219199794 010-8996-6731 2024061152406471</v>
      </c>
    </row>
    <row r="106" spans="1:31">
      <c r="A106" s="132">
        <v>37</v>
      </c>
      <c r="B106" s="132" t="str">
        <v>비닐스토리</v>
      </c>
      <c r="C106" s="132" t="str">
        <v>쿠팡</v>
      </c>
      <c r="D106" s="132" t="str">
        <v>이연재</v>
      </c>
      <c r="E106" s="133">
        <v>45446</v>
      </c>
      <c r="F106" s="132" t="str">
        <v>이연재</v>
      </c>
      <c r="G106" s="132" t="str">
        <v>530213305083</v>
      </c>
      <c r="H106" s="132" t="str">
        <v>SE.108</v>
      </c>
      <c r="I106" s="132" t="str">
        <v>투명</v>
      </c>
      <c r="J106" s="132">
        <v>5</v>
      </c>
      <c r="K106" s="139">
        <v>6575</v>
      </c>
      <c r="L106" s="139">
        <v>3000</v>
      </c>
      <c r="M106" s="139">
        <v>0</v>
      </c>
      <c r="N106" s="133">
        <v>45445</v>
      </c>
      <c r="O106" s="132" t="str">
        <v>16100051423052</v>
      </c>
      <c r="P106" s="135" t="str">
        <v>ly*****@na</v>
      </c>
      <c r="Q106" s="149" t="str">
        <v>0502-4953-1822</v>
      </c>
      <c r="R106" s="132" t="str">
        <v>CJ대한통운</v>
      </c>
      <c r="S106" s="140">
        <v>0</v>
      </c>
      <c r="T106" s="132" t="str">
        <v>0502-4953-1822</v>
      </c>
      <c r="U106" s="132" t="str">
        <v>전라북도 군산시 옥산면 접산길 22 주택</v>
      </c>
      <c r="V106" s="132" t="str">
        <v>문 앞</v>
      </c>
      <c r="W106" s="139">
        <v>6250</v>
      </c>
      <c r="X106" s="139">
        <v>0</v>
      </c>
      <c r="Y106" s="139">
        <v>3000</v>
      </c>
      <c r="Z106" s="139">
        <v>0</v>
      </c>
      <c r="AA106" s="139">
        <v>0</v>
      </c>
      <c r="AB106" s="146">
        <v>0</v>
      </c>
      <c r="AC106" s="146">
        <v>0</v>
      </c>
      <c r="AD106" s="139">
        <v>0</v>
      </c>
      <c r="AE106" s="132" t="str">
        <v>비닐스토리 쿠팡 이연재 이연재 SE.108 투명 530213305083 0502-4953-1822 16100051423052</v>
      </c>
    </row>
    <row r="107" spans="1:31">
      <c r="A107" s="132">
        <v>105</v>
      </c>
      <c r="B107" s="132" t="str">
        <v>비닐팩토리</v>
      </c>
      <c r="C107" s="132" t="str">
        <v>쿠팡</v>
      </c>
      <c r="D107" s="132" t="str">
        <v>이유미</v>
      </c>
      <c r="E107" s="133">
        <v>45453</v>
      </c>
      <c r="F107" s="132" t="str">
        <v>권세희</v>
      </c>
      <c r="G107" s="132" t="str">
        <v>540216957661</v>
      </c>
      <c r="H107" s="132" t="str">
        <v>SE.305</v>
      </c>
      <c r="I107" s="132" t="str">
        <v>투명</v>
      </c>
      <c r="J107" s="132">
        <v>1</v>
      </c>
      <c r="K107" s="139">
        <v>0</v>
      </c>
      <c r="L107" s="139">
        <v>3000</v>
      </c>
      <c r="M107" s="139">
        <v>0</v>
      </c>
      <c r="N107" s="133">
        <v>45451</v>
      </c>
      <c r="O107" s="132" t="str">
        <v>29100051972880</v>
      </c>
      <c r="P107" s="135" t="str">
        <v>yu*****@ha</v>
      </c>
      <c r="Q107" s="149" t="str">
        <v>0502-4626-7359</v>
      </c>
      <c r="R107" s="132" t="str">
        <v>CJ대한통운</v>
      </c>
      <c r="S107" s="140">
        <v>0</v>
      </c>
      <c r="T107" s="132" t="str">
        <v>0502-4626-7359</v>
      </c>
      <c r="U107" s="132" t="str">
        <v>부산광역시 연제구 연산동 1310-73 캐슬빌리지 204호</v>
      </c>
      <c r="V107" s="132" t="str">
        <v>문 앞</v>
      </c>
      <c r="W107" s="139">
        <v>19320</v>
      </c>
      <c r="X107" s="139">
        <v>0</v>
      </c>
      <c r="Y107" s="139">
        <v>3000</v>
      </c>
      <c r="Z107" s="139">
        <v>0</v>
      </c>
      <c r="AA107" s="139">
        <v>0</v>
      </c>
      <c r="AB107" s="146">
        <v>0</v>
      </c>
      <c r="AC107" s="146">
        <v>0</v>
      </c>
      <c r="AD107" s="139">
        <v>0</v>
      </c>
      <c r="AE107" s="132" t="str">
        <v>비닐팩토리 쿠팡 이유미 권세희 SE.305 투명 540216957661 0502-4626-7359 29100051972880</v>
      </c>
    </row>
    <row r="108" spans="1:31">
      <c r="A108" s="132">
        <v>38</v>
      </c>
      <c r="B108" s="132" t="str">
        <v>비닐팩토리</v>
      </c>
      <c r="C108" s="132" t="str">
        <v>쿠팡</v>
      </c>
      <c r="D108" s="132" t="str">
        <v>이은주</v>
      </c>
      <c r="E108" s="133">
        <v>45446</v>
      </c>
      <c r="F108" s="132" t="str">
        <v>이은주</v>
      </c>
      <c r="G108" s="132" t="str">
        <v>530213304840</v>
      </c>
      <c r="H108" s="132" t="str">
        <v>SE.101</v>
      </c>
      <c r="I108" s="132" t="str">
        <v>투명</v>
      </c>
      <c r="J108" s="132">
        <v>1</v>
      </c>
      <c r="K108" s="139">
        <v>0</v>
      </c>
      <c r="L108" s="139">
        <v>3000</v>
      </c>
      <c r="M108" s="139">
        <v>0</v>
      </c>
      <c r="N108" s="133">
        <v>45444</v>
      </c>
      <c r="O108" s="132" t="str">
        <v>2100050628554</v>
      </c>
      <c r="P108" s="135" t="str">
        <v>en*****@gm</v>
      </c>
      <c r="Q108" s="149" t="str">
        <v>0504-4916-6426</v>
      </c>
      <c r="R108" s="132" t="str">
        <v>CJ대한통운</v>
      </c>
      <c r="S108" s="140">
        <v>0</v>
      </c>
      <c r="T108" s="132" t="str">
        <v>0504-4916-6426</v>
      </c>
      <c r="U108" s="132" t="str">
        <v>대구광역시 북구 태전동 997-1 칠곡에덴타운 103동305호</v>
      </c>
      <c r="V108" s="132" t="str">
        <v>문 앞</v>
      </c>
      <c r="W108" s="139">
        <v>17300</v>
      </c>
      <c r="X108" s="139">
        <v>0</v>
      </c>
      <c r="Y108" s="139">
        <v>3000</v>
      </c>
      <c r="Z108" s="139">
        <v>0</v>
      </c>
      <c r="AA108" s="139">
        <v>0</v>
      </c>
      <c r="AB108" s="146">
        <v>0</v>
      </c>
      <c r="AC108" s="146">
        <v>0</v>
      </c>
      <c r="AD108" s="139">
        <v>10</v>
      </c>
      <c r="AE108" s="132" t="str">
        <v>비닐팩토리 쿠팡 이은주 이은주 SE.101 투명 530213304840 0504-4916-6426 2100050628554</v>
      </c>
    </row>
    <row r="109" spans="1:31">
      <c r="A109" s="132">
        <v>48</v>
      </c>
      <c r="B109" s="132" t="str">
        <v>비닐팩토리</v>
      </c>
      <c r="C109" s="132" t="str">
        <v>스마트 스토어</v>
      </c>
      <c r="D109" s="132" t="str">
        <v>이은희</v>
      </c>
      <c r="E109" s="133">
        <v>45447</v>
      </c>
      <c r="F109" s="132" t="str">
        <v>이은희</v>
      </c>
      <c r="G109" s="132" t="str">
        <v>540213347444</v>
      </c>
      <c r="H109" s="132" t="str">
        <v>SE.204</v>
      </c>
      <c r="I109" s="132" t="str">
        <v>투명</v>
      </c>
      <c r="J109" s="132">
        <v>1</v>
      </c>
      <c r="K109" s="139">
        <v>0</v>
      </c>
      <c r="L109" s="139">
        <v>3000</v>
      </c>
      <c r="M109" s="139">
        <v>0</v>
      </c>
      <c r="N109" s="133">
        <v>45446</v>
      </c>
      <c r="O109" s="132" t="str">
        <v>2024060382796881</v>
      </c>
      <c r="P109" s="135" t="str">
        <v>cute****</v>
      </c>
      <c r="Q109" s="149" t="str">
        <v>010-6321-3452</v>
      </c>
      <c r="R109" s="132" t="str">
        <v>CJ대한통운</v>
      </c>
      <c r="S109" s="140">
        <v>0</v>
      </c>
      <c r="T109" s="132" t="str">
        <v>010-6321-3452</v>
      </c>
      <c r="U109" s="132" t="str">
        <v>경기도 하남시 초광산단서로16번길 30 (초이동) 이레 3층</v>
      </c>
      <c r="V109" s="132">
        <v>0</v>
      </c>
      <c r="W109" s="139">
        <v>20800</v>
      </c>
      <c r="X109" s="139">
        <v>0</v>
      </c>
      <c r="Y109" s="139">
        <v>3000</v>
      </c>
      <c r="Z109" s="139">
        <v>0</v>
      </c>
      <c r="AA109" s="139">
        <v>0</v>
      </c>
      <c r="AB109" s="146">
        <v>0</v>
      </c>
      <c r="AC109" s="146">
        <v>0</v>
      </c>
      <c r="AD109" s="139">
        <v>0</v>
      </c>
      <c r="AE109" s="132" t="str">
        <v>비닐팩토리 스마트 스토어 이은희 이은희 SE.204 투명 540213347444 010-6321-3452 2024060382796881</v>
      </c>
    </row>
    <row r="110" spans="1:31">
      <c r="A110" s="132">
        <v>77</v>
      </c>
      <c r="B110" s="132" t="str">
        <v>비닐스토리</v>
      </c>
      <c r="C110" s="132" t="str">
        <v>스마트 스토어</v>
      </c>
      <c r="D110" s="132" t="str">
        <v>이재영</v>
      </c>
      <c r="E110" s="133">
        <v>45450</v>
      </c>
      <c r="F110" s="132" t="str">
        <v>더리터 경산 사동점</v>
      </c>
      <c r="G110" s="132" t="str">
        <v>540215391525</v>
      </c>
      <c r="H110" s="132" t="str">
        <v>SE.21</v>
      </c>
      <c r="I110" s="132" t="str">
        <v>유백</v>
      </c>
      <c r="J110" s="132">
        <v>5</v>
      </c>
      <c r="K110" s="139">
        <v>14550</v>
      </c>
      <c r="L110" s="139">
        <v>3000</v>
      </c>
      <c r="M110" s="139">
        <v>0</v>
      </c>
      <c r="N110" s="133">
        <v>45450</v>
      </c>
      <c r="O110" s="132" t="str">
        <v>2024060719461551</v>
      </c>
      <c r="P110" s="135" t="str">
        <v>usal****</v>
      </c>
      <c r="Q110" s="149" t="str">
        <v>010-9358-1362</v>
      </c>
      <c r="R110" s="132" t="str">
        <v>CJ대한통운</v>
      </c>
      <c r="S110" s="140">
        <v>0</v>
      </c>
      <c r="T110" s="132" t="str">
        <v>053-814-3337</v>
      </c>
      <c r="U110" s="132" t="str">
        <v>경상북도 경산시 백자로 61 (사동) 106호(더리터 경산 사동점)</v>
      </c>
      <c r="V110" s="132">
        <v>0</v>
      </c>
      <c r="W110" s="139">
        <v>18900</v>
      </c>
      <c r="X110" s="139">
        <v>0</v>
      </c>
      <c r="Y110" s="139">
        <v>3000</v>
      </c>
      <c r="Z110" s="139">
        <v>0</v>
      </c>
      <c r="AA110" s="139">
        <v>0</v>
      </c>
      <c r="AB110" s="146">
        <v>0</v>
      </c>
      <c r="AC110" s="146">
        <v>0</v>
      </c>
      <c r="AD110" s="139">
        <v>0</v>
      </c>
      <c r="AE110" s="132" t="str">
        <v>비닐스토리 스마트 스토어 이재영 더리터 경산 사동점 SE.21 유백 540215391525 053-814-3337 2024060719461551</v>
      </c>
    </row>
    <row r="111" spans="1:31">
      <c r="A111" s="132">
        <v>79</v>
      </c>
      <c r="B111" s="132" t="str">
        <v>비닐스토리</v>
      </c>
      <c r="C111" s="132" t="str">
        <v>스마트 스토어</v>
      </c>
      <c r="D111" s="132" t="str">
        <v>이정민</v>
      </c>
      <c r="E111" s="133">
        <v>45450</v>
      </c>
      <c r="F111" s="132" t="str">
        <v>이정민</v>
      </c>
      <c r="G111" s="132" t="str">
        <v>540215391746</v>
      </c>
      <c r="H111" s="132" t="str">
        <v>SE.18</v>
      </c>
      <c r="I111" s="132" t="str">
        <v>청백</v>
      </c>
      <c r="J111" s="132">
        <v>4</v>
      </c>
      <c r="K111" s="139">
        <v>8172</v>
      </c>
      <c r="L111" s="139">
        <v>3000</v>
      </c>
      <c r="M111" s="139">
        <v>0</v>
      </c>
      <c r="N111" s="133">
        <v>45449</v>
      </c>
      <c r="O111" s="132" t="str">
        <v>2024060689730391</v>
      </c>
      <c r="P111" s="135" t="str">
        <v>leij****</v>
      </c>
      <c r="Q111" s="149" t="str">
        <v>010-3712-4033</v>
      </c>
      <c r="R111" s="132" t="str">
        <v>CJ대한통운</v>
      </c>
      <c r="S111" s="140">
        <v>0</v>
      </c>
      <c r="T111" s="132" t="str">
        <v>010-3712-4033</v>
      </c>
      <c r="U111" s="132" t="str">
        <v>전라북도 부안군 부안읍 선돌로 208-8 (부안읍) 신흥리 741번지 두레골가든</v>
      </c>
      <c r="V111" s="132">
        <v>0</v>
      </c>
      <c r="W111" s="139">
        <v>8480</v>
      </c>
      <c r="X111" s="139">
        <v>0</v>
      </c>
      <c r="Y111" s="139">
        <v>3000</v>
      </c>
      <c r="Z111" s="139">
        <v>0</v>
      </c>
      <c r="AA111" s="139">
        <v>0</v>
      </c>
      <c r="AB111" s="146">
        <v>0</v>
      </c>
      <c r="AC111" s="146">
        <v>0</v>
      </c>
      <c r="AD111" s="139">
        <v>0</v>
      </c>
      <c r="AE111" s="132" t="str">
        <v>비닐스토리 스마트 스토어 이정민 이정민 SE.18 청백 540215391746 010-3712-4033 2024060689730391</v>
      </c>
    </row>
    <row r="112" spans="1:31">
      <c r="A112" s="132">
        <v>151</v>
      </c>
      <c r="B112" s="132" t="str">
        <v>비닐스토리</v>
      </c>
      <c r="C112" s="132" t="str">
        <v>쿠팡</v>
      </c>
      <c r="D112" s="132" t="str">
        <v>이종훈</v>
      </c>
      <c r="E112" s="133">
        <v>45456</v>
      </c>
      <c r="F112" s="132" t="str">
        <v>서구재활주간보호센터</v>
      </c>
      <c r="G112" s="132" t="str">
        <v>530220762662</v>
      </c>
      <c r="H112" s="132" t="str">
        <v>SE.138</v>
      </c>
      <c r="I112" s="132" t="str">
        <v>투명</v>
      </c>
      <c r="J112" s="132">
        <v>5</v>
      </c>
      <c r="K112" s="139">
        <v>9600</v>
      </c>
      <c r="L112" s="139">
        <v>3000</v>
      </c>
      <c r="M112" s="139">
        <v>0</v>
      </c>
      <c r="N112" s="133">
        <v>45455</v>
      </c>
      <c r="O112" s="132" t="str">
        <v>10100052616179</v>
      </c>
      <c r="P112" s="135" t="str">
        <v>dc*****@na</v>
      </c>
      <c r="Q112" s="149" t="str">
        <v>0504-4364-4215</v>
      </c>
      <c r="R112" s="132" t="str">
        <v>CJ대한통운</v>
      </c>
      <c r="S112" s="140">
        <v>0</v>
      </c>
      <c r="T112" s="132" t="str">
        <v>0504-4364-4215</v>
      </c>
      <c r="U112" s="132" t="str">
        <v>인천광역시 서구 탁옥로 104 다빈치프라자 2층 ( 심곡동 )</v>
      </c>
      <c r="V112" s="132" t="str">
        <v>직접 받고 부재 시 문 앞</v>
      </c>
      <c r="W112" s="139">
        <v>13400</v>
      </c>
      <c r="X112" s="139">
        <v>0</v>
      </c>
      <c r="Y112" s="139">
        <v>0</v>
      </c>
      <c r="Z112" s="139">
        <v>0</v>
      </c>
      <c r="AA112" s="139">
        <v>0</v>
      </c>
      <c r="AB112" s="146">
        <v>0</v>
      </c>
      <c r="AC112" s="146">
        <v>0</v>
      </c>
      <c r="AD112" s="139">
        <v>0</v>
      </c>
      <c r="AE112" s="132" t="str">
        <v>비닐스토리 쿠팡 이종훈 서구재활주간보호센터 SE.138 투명 530220762662 0504-4364-4215 10100052616179</v>
      </c>
    </row>
    <row r="113" spans="1:31">
      <c r="A113" s="132">
        <v>146</v>
      </c>
      <c r="B113" s="132" t="str">
        <v>비닐팩토리</v>
      </c>
      <c r="C113" s="132" t="str">
        <v>쿠팡</v>
      </c>
      <c r="D113" s="132" t="str">
        <v>이해창</v>
      </c>
      <c r="E113" s="133">
        <v>45456</v>
      </c>
      <c r="F113" s="132" t="str">
        <v>한희원, 황재호</v>
      </c>
      <c r="G113" s="132" t="str">
        <v>540220210476</v>
      </c>
      <c r="H113" s="132" t="str">
        <v>SE.101</v>
      </c>
      <c r="I113" s="132" t="str">
        <v>투명</v>
      </c>
      <c r="J113" s="132">
        <v>1</v>
      </c>
      <c r="K113" s="139">
        <v>0</v>
      </c>
      <c r="L113" s="139">
        <v>4400</v>
      </c>
      <c r="M113" s="139">
        <v>0</v>
      </c>
      <c r="N113" s="133">
        <v>45455</v>
      </c>
      <c r="O113" s="132" t="str">
        <v>21100052791268</v>
      </c>
      <c r="P113" s="135" t="str">
        <v>ul*****@na</v>
      </c>
      <c r="Q113" s="149" t="str">
        <v>0502-5289-0466</v>
      </c>
      <c r="R113" s="132" t="str">
        <v>CJ대한통운</v>
      </c>
      <c r="S113" s="140">
        <v>0</v>
      </c>
      <c r="T113" s="132" t="str">
        <v>0502-5289-0466</v>
      </c>
      <c r="U113" s="132" t="str">
        <v>대구광역시 동구 신천동 1506 신세계동대구복합환승센터 지하1층 퀵앤프레쉬(아실)</v>
      </c>
      <c r="V113" s="132" t="str">
        <v>문 앞</v>
      </c>
      <c r="W113" s="139">
        <v>34000</v>
      </c>
      <c r="X113" s="139">
        <v>0</v>
      </c>
      <c r="Y113" s="139">
        <v>3000</v>
      </c>
      <c r="Z113" s="139">
        <v>0</v>
      </c>
      <c r="AA113" s="139">
        <v>0</v>
      </c>
      <c r="AB113" s="146">
        <v>0</v>
      </c>
      <c r="AC113" s="146">
        <v>0</v>
      </c>
      <c r="AD113" s="139">
        <v>10</v>
      </c>
      <c r="AE113" s="132" t="str">
        <v>비닐팩토리 쿠팡 이해창 한희원, 황재호 SE.101 투명 540220210476 0502-5289-0466 21100052791268</v>
      </c>
    </row>
    <row r="114" spans="1:31">
      <c r="A114" s="132">
        <v>95</v>
      </c>
      <c r="B114" s="132" t="str">
        <v>비닐스토리</v>
      </c>
      <c r="C114" s="132" t="str">
        <v>쿠팡</v>
      </c>
      <c r="D114" s="132" t="str">
        <v>이향수</v>
      </c>
      <c r="E114" s="133">
        <v>45453</v>
      </c>
      <c r="F114" s="132" t="str">
        <v>이향수</v>
      </c>
      <c r="G114" s="132" t="str">
        <v>540216957624</v>
      </c>
      <c r="H114" s="132" t="str">
        <v>SE.306</v>
      </c>
      <c r="I114" s="132" t="str">
        <v>투명</v>
      </c>
      <c r="J114" s="132">
        <v>1</v>
      </c>
      <c r="K114" s="139">
        <v>12680</v>
      </c>
      <c r="L114" s="139">
        <v>3000</v>
      </c>
      <c r="M114" s="139">
        <v>0</v>
      </c>
      <c r="N114" s="133">
        <v>45451</v>
      </c>
      <c r="O114" s="132" t="str">
        <v>29100051943650</v>
      </c>
      <c r="P114" s="135" t="str">
        <v>36*****@gm</v>
      </c>
      <c r="Q114" s="149" t="str">
        <v>0502-1355-3176</v>
      </c>
      <c r="R114" s="132" t="str">
        <v>CJ대한통운</v>
      </c>
      <c r="S114" s="140">
        <v>0</v>
      </c>
      <c r="T114" s="132" t="str">
        <v>0502-1355-3176</v>
      </c>
      <c r="U114" s="132" t="str">
        <v>전라북도 정읍시 산내면 태산로 683-18 스테이옥정</v>
      </c>
      <c r="V114" s="132" t="str">
        <v>직접 받고 부재 시 문 앞</v>
      </c>
      <c r="W114" s="139">
        <v>16630</v>
      </c>
      <c r="X114" s="139">
        <v>0</v>
      </c>
      <c r="Y114" s="139">
        <v>3000</v>
      </c>
      <c r="Z114" s="139">
        <v>0</v>
      </c>
      <c r="AA114" s="139">
        <v>0</v>
      </c>
      <c r="AB114" s="146">
        <v>0</v>
      </c>
      <c r="AC114" s="146">
        <v>0</v>
      </c>
      <c r="AD114" s="139">
        <v>0</v>
      </c>
      <c r="AE114" s="132" t="str">
        <v>비닐스토리 쿠팡 이향수 이향수 SE.306 투명 540216957624 0502-1355-3176 29100051943650</v>
      </c>
    </row>
    <row r="115" spans="1:31">
      <c r="A115" s="132">
        <v>96</v>
      </c>
      <c r="B115" s="132" t="str">
        <v>비닐스토리</v>
      </c>
      <c r="C115" s="132" t="str">
        <v>쿠팡</v>
      </c>
      <c r="D115" s="132" t="str">
        <v>이혜영</v>
      </c>
      <c r="E115" s="133">
        <v>45453</v>
      </c>
      <c r="F115" s="132" t="str">
        <v>이혜영</v>
      </c>
      <c r="G115" s="132" t="str">
        <v>540216957565</v>
      </c>
      <c r="H115" s="132" t="str">
        <v>SE.111</v>
      </c>
      <c r="I115" s="132" t="str">
        <v>투명</v>
      </c>
      <c r="J115" s="132">
        <v>2</v>
      </c>
      <c r="K115" s="139">
        <v>7900</v>
      </c>
      <c r="L115" s="139">
        <v>3500</v>
      </c>
      <c r="M115" s="139">
        <v>0</v>
      </c>
      <c r="N115" s="133">
        <v>45451</v>
      </c>
      <c r="O115" s="132" t="str">
        <v>2100051837419</v>
      </c>
      <c r="P115" s="135" t="str">
        <v>pi*****@na</v>
      </c>
      <c r="Q115" s="149" t="str">
        <v>0502-1490-2390</v>
      </c>
      <c r="R115" s="132" t="str">
        <v>CJ대한통운</v>
      </c>
      <c r="S115" s="140">
        <v>0</v>
      </c>
      <c r="T115" s="132" t="str">
        <v>0502-1490-2390</v>
      </c>
      <c r="U115" s="132" t="str">
        <v>경기도 고양시 일산서구 후곡로 10 905동 304호 ( 일산동, 후곡마을9단지아파트 )</v>
      </c>
      <c r="V115" s="132" t="str">
        <v>문 앞</v>
      </c>
      <c r="W115" s="139">
        <v>7700</v>
      </c>
      <c r="X115" s="139">
        <v>0</v>
      </c>
      <c r="Y115" s="139">
        <v>0</v>
      </c>
      <c r="Z115" s="139">
        <v>0</v>
      </c>
      <c r="AA115" s="139">
        <v>0</v>
      </c>
      <c r="AB115" s="146">
        <v>0</v>
      </c>
      <c r="AC115" s="146">
        <v>0</v>
      </c>
      <c r="AD115" s="139">
        <v>0</v>
      </c>
      <c r="AE115" s="132" t="str">
        <v>비닐스토리 쿠팡 이혜영 이혜영 SE.111 투명 540216957565 0502-1490-2390 2100051837419</v>
      </c>
    </row>
    <row r="116" spans="1:31">
      <c r="A116" s="132">
        <v>97</v>
      </c>
      <c r="B116" s="132" t="str">
        <v>비닐스토리</v>
      </c>
      <c r="C116" s="132" t="str">
        <v>쿠팡</v>
      </c>
      <c r="D116" s="132" t="str">
        <v>이혜영</v>
      </c>
      <c r="E116" s="133">
        <v>45453</v>
      </c>
      <c r="F116" s="132" t="str">
        <v>이혜영</v>
      </c>
      <c r="G116" s="132" t="str">
        <v>540216957565</v>
      </c>
      <c r="H116" s="132" t="str">
        <v>SE.114</v>
      </c>
      <c r="I116" s="132" t="str">
        <v>투명</v>
      </c>
      <c r="J116" s="132">
        <v>2</v>
      </c>
      <c r="K116" s="139">
        <v>7920</v>
      </c>
      <c r="L116" s="139">
        <v>0</v>
      </c>
      <c r="M116" s="139">
        <v>0</v>
      </c>
      <c r="N116" s="133">
        <v>45451</v>
      </c>
      <c r="O116" s="132" t="str">
        <v>2100051837419</v>
      </c>
      <c r="P116" s="135" t="str">
        <v>pi*****@na</v>
      </c>
      <c r="Q116" s="149" t="str">
        <v>0502-1490-2390</v>
      </c>
      <c r="R116" s="132" t="str">
        <v>CJ대한통운</v>
      </c>
      <c r="S116" s="140">
        <v>0</v>
      </c>
      <c r="T116" s="132" t="str">
        <v>0502-1490-2390</v>
      </c>
      <c r="U116" s="132" t="str">
        <v>경기도 고양시 일산서구 후곡로 10 905동 304호 ( 일산동, 후곡마을9단지아파트 )</v>
      </c>
      <c r="V116" s="132" t="str">
        <v>문 앞</v>
      </c>
      <c r="W116" s="139">
        <v>12240</v>
      </c>
      <c r="X116" s="139">
        <v>1360</v>
      </c>
      <c r="Y116" s="139">
        <v>0</v>
      </c>
      <c r="Z116" s="139">
        <v>0</v>
      </c>
      <c r="AA116" s="139">
        <v>0</v>
      </c>
      <c r="AB116" s="146">
        <v>0</v>
      </c>
      <c r="AC116" s="146">
        <v>0</v>
      </c>
      <c r="AD116" s="139">
        <v>0</v>
      </c>
      <c r="AE116" s="132" t="str">
        <v>비닐스토리 쿠팡 이혜영 이혜영 SE.114 투명 540216957565 0502-1490-2390 2100051837419</v>
      </c>
    </row>
    <row r="117" spans="1:31">
      <c r="A117" s="132">
        <v>98</v>
      </c>
      <c r="B117" s="132" t="str">
        <v>비닐스토리</v>
      </c>
      <c r="C117" s="132" t="str">
        <v>쿠팡</v>
      </c>
      <c r="D117" s="132" t="str">
        <v>이혜영</v>
      </c>
      <c r="E117" s="133">
        <v>45453</v>
      </c>
      <c r="F117" s="132" t="str">
        <v>이혜영</v>
      </c>
      <c r="G117" s="132" t="str">
        <v>540216957565</v>
      </c>
      <c r="H117" s="132" t="str">
        <v>SE.115</v>
      </c>
      <c r="I117" s="132" t="str">
        <v>투명</v>
      </c>
      <c r="J117" s="132">
        <v>1</v>
      </c>
      <c r="K117" s="139">
        <v>3025</v>
      </c>
      <c r="L117" s="139">
        <v>0</v>
      </c>
      <c r="M117" s="139">
        <v>0</v>
      </c>
      <c r="N117" s="133">
        <v>45451</v>
      </c>
      <c r="O117" s="132" t="str">
        <v>2100051837419</v>
      </c>
      <c r="P117" s="135" t="str">
        <v>pi*****@na</v>
      </c>
      <c r="Q117" s="149" t="str">
        <v>0502-1490-2390</v>
      </c>
      <c r="R117" s="132" t="str">
        <v>CJ대한통운</v>
      </c>
      <c r="S117" s="140">
        <v>0</v>
      </c>
      <c r="T117" s="132" t="str">
        <v>0502-1490-2390</v>
      </c>
      <c r="U117" s="132" t="str">
        <v>경기도 고양시 일산서구 후곡로 10 905동 304호 ( 일산동, 후곡마을9단지아파트 )</v>
      </c>
      <c r="V117" s="132" t="str">
        <v>문 앞</v>
      </c>
      <c r="W117" s="139">
        <v>5320</v>
      </c>
      <c r="X117" s="139">
        <v>0</v>
      </c>
      <c r="Y117" s="139">
        <v>0</v>
      </c>
      <c r="Z117" s="139">
        <v>0</v>
      </c>
      <c r="AA117" s="139">
        <v>0</v>
      </c>
      <c r="AB117" s="146">
        <v>0</v>
      </c>
      <c r="AC117" s="146">
        <v>0</v>
      </c>
      <c r="AD117" s="139">
        <v>0</v>
      </c>
      <c r="AE117" s="132" t="str">
        <v>비닐스토리 쿠팡 이혜영 이혜영 SE.115 투명 540216957565 0502-1490-2390 2100051837419</v>
      </c>
    </row>
    <row r="118" spans="1:31">
      <c r="A118" s="132">
        <v>168</v>
      </c>
      <c r="B118" s="132" t="str">
        <v>비닐스토리</v>
      </c>
      <c r="C118" s="132" t="str">
        <v>쿠팡</v>
      </c>
      <c r="D118" s="132" t="str">
        <v>이혜원</v>
      </c>
      <c r="E118" s="133">
        <v>45457</v>
      </c>
      <c r="F118" s="132" t="str">
        <v>이혜원</v>
      </c>
      <c r="G118" s="132" t="str">
        <v>530221956313</v>
      </c>
      <c r="H118" s="132" t="str">
        <v>SE.206</v>
      </c>
      <c r="I118" s="132" t="str">
        <v>투명</v>
      </c>
      <c r="J118" s="132">
        <v>1</v>
      </c>
      <c r="K118" s="139">
        <v>23300</v>
      </c>
      <c r="L118" s="139">
        <v>3500</v>
      </c>
      <c r="M118" s="139">
        <v>0</v>
      </c>
      <c r="N118" s="133">
        <v>45456</v>
      </c>
      <c r="O118" s="132" t="str">
        <v>15100052913982</v>
      </c>
      <c r="P118" s="135" t="str">
        <v>pt*****@na</v>
      </c>
      <c r="Q118" s="149" t="str">
        <v>0502-1243-1345</v>
      </c>
      <c r="R118" s="132" t="str">
        <v>CJ대한통운</v>
      </c>
      <c r="S118" s="140">
        <v>0</v>
      </c>
      <c r="T118" s="132" t="str">
        <v>0502-1243-1345</v>
      </c>
      <c r="U118" s="132" t="str">
        <v>경기도 안양시 만안구 안양로 307 금상타워 9층 더원바리스타제과제빵학원 ( 안양동 )</v>
      </c>
      <c r="V118" s="132" t="str">
        <v>문 앞</v>
      </c>
      <c r="W118" s="139">
        <v>34020</v>
      </c>
      <c r="X118" s="139">
        <v>0</v>
      </c>
      <c r="Y118" s="139">
        <v>3000</v>
      </c>
      <c r="Z118" s="139">
        <v>0</v>
      </c>
      <c r="AA118" s="139">
        <v>0</v>
      </c>
      <c r="AB118" s="146">
        <v>0</v>
      </c>
      <c r="AC118" s="146">
        <v>0</v>
      </c>
      <c r="AD118" s="139">
        <v>0</v>
      </c>
      <c r="AE118" s="132" t="str">
        <v>비닐스토리 쿠팡 이혜원 이혜원 SE.206 투명 530221956313 0502-1243-1345 15100052913982</v>
      </c>
    </row>
    <row r="119" spans="1:31">
      <c r="A119" s="132">
        <v>113</v>
      </c>
      <c r="B119" s="132" t="str">
        <v>비닐팩토리</v>
      </c>
      <c r="C119" s="132" t="str">
        <v>스마트 스토어</v>
      </c>
      <c r="D119" s="132" t="str">
        <v>이호준</v>
      </c>
      <c r="E119" s="133">
        <v>45453</v>
      </c>
      <c r="F119" s="132" t="str">
        <v>이호준</v>
      </c>
      <c r="G119" s="132" t="str">
        <v>540216957753</v>
      </c>
      <c r="H119" s="132" t="str">
        <v>SE.306</v>
      </c>
      <c r="I119" s="132" t="str">
        <v>투명</v>
      </c>
      <c r="J119" s="132">
        <v>1</v>
      </c>
      <c r="K119" s="139">
        <v>0</v>
      </c>
      <c r="L119" s="139">
        <v>3000</v>
      </c>
      <c r="M119" s="139">
        <v>0</v>
      </c>
      <c r="N119" s="133">
        <v>45450</v>
      </c>
      <c r="O119" s="132" t="str">
        <v>2024060728991501</v>
      </c>
      <c r="P119" s="135" t="str">
        <v>morn****</v>
      </c>
      <c r="Q119" s="149" t="str">
        <v>010-2665-5633</v>
      </c>
      <c r="R119" s="132" t="str">
        <v>CJ대한통운</v>
      </c>
      <c r="S119" s="140">
        <v>0</v>
      </c>
      <c r="T119" s="132" t="str">
        <v>010-2665-5633</v>
      </c>
      <c r="U119" s="132" t="str">
        <v>경기도 평택시 고덕면 방축4길 22-6 (고덕면) 1동 1층</v>
      </c>
      <c r="V119" s="132">
        <v>0</v>
      </c>
      <c r="W119" s="139">
        <v>14080</v>
      </c>
      <c r="X119" s="139">
        <v>0</v>
      </c>
      <c r="Y119" s="139">
        <v>3000</v>
      </c>
      <c r="Z119" s="139">
        <v>0</v>
      </c>
      <c r="AA119" s="139">
        <v>0</v>
      </c>
      <c r="AB119" s="146">
        <v>0</v>
      </c>
      <c r="AC119" s="146">
        <v>0</v>
      </c>
      <c r="AD119" s="139">
        <v>0</v>
      </c>
      <c r="AE119" s="132" t="str">
        <v>비닐팩토리 스마트 스토어 이호준 이호준 SE.306 투명 540216957753 010-2665-5633 2024060728991501</v>
      </c>
    </row>
    <row r="120" spans="1:31">
      <c r="A120" s="132">
        <v>87</v>
      </c>
      <c r="B120" s="132" t="str">
        <v>비닐스토리</v>
      </c>
      <c r="C120" s="132" t="str">
        <v>쿠팡</v>
      </c>
      <c r="D120" s="132" t="str">
        <v>임무열</v>
      </c>
      <c r="E120" s="133">
        <v>45450</v>
      </c>
      <c r="F120" s="132" t="str">
        <v>임무열</v>
      </c>
      <c r="G120" s="132" t="str">
        <v>540215391632</v>
      </c>
      <c r="H120" s="132" t="str">
        <v>SE.305</v>
      </c>
      <c r="I120" s="132" t="str">
        <v>투명</v>
      </c>
      <c r="J120" s="132">
        <v>2</v>
      </c>
      <c r="K120" s="139">
        <v>28800</v>
      </c>
      <c r="L120" s="139">
        <v>3500</v>
      </c>
      <c r="M120" s="139">
        <v>0</v>
      </c>
      <c r="N120" s="133">
        <v>45448</v>
      </c>
      <c r="O120" s="132" t="str">
        <v>21100051630553</v>
      </c>
      <c r="P120" s="135" t="str">
        <v>gg*****@na</v>
      </c>
      <c r="Q120" s="149" t="str">
        <v>0502-1744-6419</v>
      </c>
      <c r="R120" s="132" t="str">
        <v>CJ대한통운</v>
      </c>
      <c r="S120" s="140">
        <v>0</v>
      </c>
      <c r="T120" s="132" t="str">
        <v>0502-1744-6419</v>
      </c>
      <c r="U120" s="132" t="str">
        <v>경상북도 영천시 시장로 47-2 조은밥상 ( 완산동 )</v>
      </c>
      <c r="V120" s="132" t="str">
        <v>문 앞</v>
      </c>
      <c r="W120" s="139">
        <v>43480</v>
      </c>
      <c r="X120" s="139">
        <v>0</v>
      </c>
      <c r="Y120" s="139">
        <v>0</v>
      </c>
      <c r="Z120" s="139">
        <v>0</v>
      </c>
      <c r="AA120" s="139">
        <v>0</v>
      </c>
      <c r="AB120" s="146">
        <v>0</v>
      </c>
      <c r="AC120" s="146">
        <v>0</v>
      </c>
      <c r="AD120" s="139">
        <v>0</v>
      </c>
      <c r="AE120" s="132" t="str">
        <v>비닐스토리 쿠팡 임무열 임무열 SE.305 투명 540215391632 0502-1744-6419 21100051630553</v>
      </c>
    </row>
    <row r="121" spans="1:31">
      <c r="A121" s="132">
        <v>80</v>
      </c>
      <c r="B121" s="132" t="str">
        <v>비닐스토리</v>
      </c>
      <c r="C121" s="132" t="str">
        <v>스마트 스토어</v>
      </c>
      <c r="D121" s="132" t="str">
        <v>임선화</v>
      </c>
      <c r="E121" s="133">
        <v>45450</v>
      </c>
      <c r="F121" s="132" t="str">
        <v>임선화</v>
      </c>
      <c r="G121" s="132" t="str">
        <v>540215391643</v>
      </c>
      <c r="H121" s="132" t="str">
        <v>SE.105</v>
      </c>
      <c r="I121" s="132" t="str">
        <v>투명</v>
      </c>
      <c r="J121" s="132">
        <v>1</v>
      </c>
      <c r="K121" s="139">
        <v>4650</v>
      </c>
      <c r="L121" s="139">
        <v>3000</v>
      </c>
      <c r="M121" s="139">
        <v>0</v>
      </c>
      <c r="N121" s="133">
        <v>45448</v>
      </c>
      <c r="O121" s="132" t="str">
        <v>2024060556292961</v>
      </c>
      <c r="P121" s="135" t="str">
        <v>ssou****</v>
      </c>
      <c r="Q121" s="149" t="str">
        <v>010-8991-4862</v>
      </c>
      <c r="R121" s="132" t="str">
        <v>CJ대한통운</v>
      </c>
      <c r="S121" s="140">
        <v>0</v>
      </c>
      <c r="T121" s="132" t="str">
        <v>010-4696-2023</v>
      </c>
      <c r="U121" s="132" t="str">
        <v>경상남도 양산시 동면 금오3길 12-1 (동면) 1층 상가</v>
      </c>
      <c r="V121" s="132">
        <v>0</v>
      </c>
      <c r="W121" s="139">
        <v>2780</v>
      </c>
      <c r="X121" s="139">
        <v>0</v>
      </c>
      <c r="Y121" s="139">
        <v>3000</v>
      </c>
      <c r="Z121" s="139">
        <v>0</v>
      </c>
      <c r="AA121" s="139">
        <v>0</v>
      </c>
      <c r="AB121" s="146">
        <v>0</v>
      </c>
      <c r="AC121" s="146">
        <v>0</v>
      </c>
      <c r="AD121" s="139">
        <v>0</v>
      </c>
      <c r="AE121" s="132" t="str">
        <v>비닐스토리 스마트 스토어 임선화 임선화 SE.105 투명 540215391643 010-4696-2023 2024060556292961</v>
      </c>
    </row>
    <row r="122" spans="1:31">
      <c r="A122" s="132">
        <v>81</v>
      </c>
      <c r="B122" s="132" t="str">
        <v>비닐스토리</v>
      </c>
      <c r="C122" s="132" t="str">
        <v>스마트 스토어</v>
      </c>
      <c r="D122" s="132" t="str">
        <v>임선화</v>
      </c>
      <c r="E122" s="133">
        <v>45450</v>
      </c>
      <c r="F122" s="132" t="str">
        <v>임선화</v>
      </c>
      <c r="G122" s="132" t="str">
        <v>540215391643</v>
      </c>
      <c r="H122" s="132" t="str">
        <v>SE.107</v>
      </c>
      <c r="I122" s="132" t="str">
        <v>투명</v>
      </c>
      <c r="J122" s="132">
        <v>1</v>
      </c>
      <c r="K122" s="139">
        <v>2156</v>
      </c>
      <c r="L122" s="139">
        <v>0</v>
      </c>
      <c r="M122" s="139">
        <v>0</v>
      </c>
      <c r="N122" s="133">
        <v>45448</v>
      </c>
      <c r="O122" s="132" t="str">
        <v>2024060556292951</v>
      </c>
      <c r="P122" s="135" t="str">
        <v>ssou****</v>
      </c>
      <c r="Q122" s="149" t="str">
        <v>010-8991-4862</v>
      </c>
      <c r="R122" s="132" t="str">
        <v>CJ대한통운</v>
      </c>
      <c r="S122" s="140">
        <v>0</v>
      </c>
      <c r="T122" s="132" t="str">
        <v>010-4696-2023</v>
      </c>
      <c r="U122" s="132" t="str">
        <v>경상남도 양산시 동면 금오3길 12-1 (동면) 1층 상가</v>
      </c>
      <c r="V122" s="132">
        <v>0</v>
      </c>
      <c r="W122" s="139">
        <v>3330</v>
      </c>
      <c r="X122" s="139">
        <v>0</v>
      </c>
      <c r="Y122" s="139">
        <v>0</v>
      </c>
      <c r="Z122" s="139">
        <v>0</v>
      </c>
      <c r="AA122" s="139">
        <v>0</v>
      </c>
      <c r="AB122" s="146">
        <v>0</v>
      </c>
      <c r="AC122" s="146">
        <v>0</v>
      </c>
      <c r="AD122" s="139">
        <v>0</v>
      </c>
      <c r="AE122" s="132" t="str">
        <v>비닐스토리 스마트 스토어 임선화 임선화 SE.107 투명 540215391643 010-4696-2023 2024060556292951</v>
      </c>
    </row>
    <row r="123" spans="1:31">
      <c r="A123" s="132">
        <v>82</v>
      </c>
      <c r="B123" s="132" t="str">
        <v>비닐스토리</v>
      </c>
      <c r="C123" s="132" t="str">
        <v>스마트 스토어</v>
      </c>
      <c r="D123" s="132" t="str">
        <v>임선화</v>
      </c>
      <c r="E123" s="133">
        <v>45450</v>
      </c>
      <c r="F123" s="132" t="str">
        <v>임선화</v>
      </c>
      <c r="G123" s="132" t="str">
        <v>540215391643</v>
      </c>
      <c r="H123" s="132" t="str">
        <v>SE.108</v>
      </c>
      <c r="I123" s="132" t="str">
        <v>투명</v>
      </c>
      <c r="J123" s="132">
        <v>1</v>
      </c>
      <c r="K123" s="139">
        <v>715</v>
      </c>
      <c r="L123" s="139">
        <v>0</v>
      </c>
      <c r="M123" s="139">
        <v>0</v>
      </c>
      <c r="N123" s="133">
        <v>45448</v>
      </c>
      <c r="O123" s="132" t="str">
        <v>2024060556292941</v>
      </c>
      <c r="P123" s="135" t="str">
        <v>ssou****</v>
      </c>
      <c r="Q123" s="149" t="str">
        <v>010-8991-4862</v>
      </c>
      <c r="R123" s="132" t="str">
        <v>CJ대한통운</v>
      </c>
      <c r="S123" s="140">
        <v>0</v>
      </c>
      <c r="T123" s="132" t="str">
        <v>010-4696-2023</v>
      </c>
      <c r="U123" s="132" t="str">
        <v>경상남도 양산시 동면 금오3길 12-1 (동면) 1층 상가</v>
      </c>
      <c r="V123" s="132">
        <v>0</v>
      </c>
      <c r="W123" s="139">
        <v>1640</v>
      </c>
      <c r="X123" s="139">
        <v>0</v>
      </c>
      <c r="Y123" s="139">
        <v>0</v>
      </c>
      <c r="Z123" s="139">
        <v>0</v>
      </c>
      <c r="AA123" s="139">
        <v>0</v>
      </c>
      <c r="AB123" s="146">
        <v>0</v>
      </c>
      <c r="AC123" s="146">
        <v>0</v>
      </c>
      <c r="AD123" s="139">
        <v>0</v>
      </c>
      <c r="AE123" s="132" t="str">
        <v>비닐스토리 스마트 스토어 임선화 임선화 SE.108 투명 540215391643 010-4696-2023 2024060556292941</v>
      </c>
    </row>
    <row r="124" spans="1:31">
      <c r="A124" s="132">
        <v>83</v>
      </c>
      <c r="B124" s="132" t="str">
        <v>비닐스토리</v>
      </c>
      <c r="C124" s="132" t="str">
        <v>스마트 스토어</v>
      </c>
      <c r="D124" s="132" t="str">
        <v>임선화</v>
      </c>
      <c r="E124" s="133">
        <v>45450</v>
      </c>
      <c r="F124" s="132" t="str">
        <v>임선화</v>
      </c>
      <c r="G124" s="132" t="str">
        <v>540215391643</v>
      </c>
      <c r="H124" s="132" t="str">
        <v>SE.103</v>
      </c>
      <c r="I124" s="132" t="str">
        <v>투명</v>
      </c>
      <c r="J124" s="132">
        <v>1</v>
      </c>
      <c r="K124" s="139">
        <v>1100</v>
      </c>
      <c r="L124" s="139">
        <v>0</v>
      </c>
      <c r="M124" s="139">
        <v>0</v>
      </c>
      <c r="N124" s="133">
        <v>45448</v>
      </c>
      <c r="O124" s="132" t="str">
        <v>2024060556292931</v>
      </c>
      <c r="P124" s="135" t="str">
        <v>ssou****</v>
      </c>
      <c r="Q124" s="149" t="str">
        <v>010-8991-4862</v>
      </c>
      <c r="R124" s="132" t="str">
        <v>CJ대한통운</v>
      </c>
      <c r="S124" s="140">
        <v>0</v>
      </c>
      <c r="T124" s="132" t="str">
        <v>010-4696-2023</v>
      </c>
      <c r="U124" s="132" t="str">
        <v>경상남도 양산시 동면 금오3길 12-1 (동면) 1층 상가</v>
      </c>
      <c r="V124" s="132">
        <v>0</v>
      </c>
      <c r="W124" s="139">
        <v>1800</v>
      </c>
      <c r="X124" s="139">
        <v>0</v>
      </c>
      <c r="Y124" s="139">
        <v>0</v>
      </c>
      <c r="Z124" s="139">
        <v>0</v>
      </c>
      <c r="AA124" s="139">
        <v>0</v>
      </c>
      <c r="AB124" s="146">
        <v>0</v>
      </c>
      <c r="AC124" s="146">
        <v>0</v>
      </c>
      <c r="AD124" s="139">
        <v>0</v>
      </c>
      <c r="AE124" s="132" t="str">
        <v>비닐스토리 스마트 스토어 임선화 임선화 SE.103 투명 540215391643 010-4696-2023 2024060556292931</v>
      </c>
    </row>
    <row r="125" spans="1:31">
      <c r="A125" s="132">
        <v>145</v>
      </c>
      <c r="B125" s="132" t="str">
        <v>비닐팩토리</v>
      </c>
      <c r="C125" s="132" t="str">
        <v>쿠팡</v>
      </c>
      <c r="D125" s="132" t="str">
        <v>임수미</v>
      </c>
      <c r="E125" s="133">
        <v>45456</v>
      </c>
      <c r="F125" s="132" t="str">
        <v>김윤철</v>
      </c>
      <c r="G125" s="132" t="str">
        <v>540219665585</v>
      </c>
      <c r="H125" s="132" t="str">
        <v>SE.206</v>
      </c>
      <c r="I125" s="132" t="str">
        <v>투명</v>
      </c>
      <c r="J125" s="132">
        <v>2</v>
      </c>
      <c r="K125" s="139">
        <v>0</v>
      </c>
      <c r="L125" s="139">
        <v>4400</v>
      </c>
      <c r="M125" s="139">
        <v>0</v>
      </c>
      <c r="N125" s="133">
        <v>45455</v>
      </c>
      <c r="O125" s="132" t="str">
        <v>2100052492074</v>
      </c>
      <c r="P125" s="135" t="str">
        <v>so*****@na</v>
      </c>
      <c r="Q125" s="149" t="str">
        <v>0504-4396-3157</v>
      </c>
      <c r="R125" s="132" t="str">
        <v>CJ대한통운</v>
      </c>
      <c r="S125" s="140">
        <v>0</v>
      </c>
      <c r="T125" s="132" t="str">
        <v>0504-4396-3157</v>
      </c>
      <c r="U125" s="132" t="str">
        <v>대구광역시 중구 남산로 30 103동2204호 ( 남산동, 극동 스타클래스 남산 )</v>
      </c>
      <c r="V125" s="132" t="str">
        <v>문 앞</v>
      </c>
      <c r="W125" s="139">
        <v>60480</v>
      </c>
      <c r="X125" s="139">
        <v>0</v>
      </c>
      <c r="Y125" s="139">
        <v>0</v>
      </c>
      <c r="Z125" s="139">
        <v>0</v>
      </c>
      <c r="AA125" s="139">
        <v>0</v>
      </c>
      <c r="AB125" s="146">
        <v>0</v>
      </c>
      <c r="AC125" s="146">
        <v>0</v>
      </c>
      <c r="AD125" s="139">
        <v>0</v>
      </c>
      <c r="AE125" s="132" t="str">
        <v>비닐팩토리 쿠팡 임수미 김윤철 SE.206 투명 540219665585 0504-4396-3157 2100052492074</v>
      </c>
    </row>
    <row r="126" spans="1:31">
      <c r="A126" s="132">
        <v>63</v>
      </c>
      <c r="B126" s="132" t="str">
        <v>비닐스토리</v>
      </c>
      <c r="C126" s="132" t="str">
        <v>스마트 스토어</v>
      </c>
      <c r="D126" s="132" t="str">
        <v>장미미</v>
      </c>
      <c r="E126" s="133">
        <v>45448</v>
      </c>
      <c r="F126" s="132" t="str">
        <v>장미미</v>
      </c>
      <c r="G126" s="132" t="str">
        <v>540214280673</v>
      </c>
      <c r="H126" s="132" t="str">
        <v>SE.303</v>
      </c>
      <c r="I126" s="132" t="str">
        <v>투명</v>
      </c>
      <c r="J126" s="132">
        <v>1</v>
      </c>
      <c r="K126" s="139">
        <v>18070</v>
      </c>
      <c r="L126" s="139">
        <v>3000</v>
      </c>
      <c r="M126" s="139">
        <v>0</v>
      </c>
      <c r="N126" s="133">
        <v>45447</v>
      </c>
      <c r="O126" s="132" t="str">
        <v>2024060414211401</v>
      </c>
      <c r="P126" s="135" t="str">
        <v>alal****</v>
      </c>
      <c r="Q126" s="149" t="str">
        <v>010-9415-1378</v>
      </c>
      <c r="R126" s="132" t="str">
        <v>CJ대한통운</v>
      </c>
      <c r="S126" s="140">
        <v>0</v>
      </c>
      <c r="T126" s="132" t="str">
        <v>010-9415-1378</v>
      </c>
      <c r="U126" s="132" t="str">
        <v>경기도 양평군 양동면 양동역길 9 (양동면) 역전방앗간</v>
      </c>
      <c r="V126" s="132">
        <v>0</v>
      </c>
      <c r="W126" s="139">
        <v>22190</v>
      </c>
      <c r="X126" s="139">
        <v>2470</v>
      </c>
      <c r="Y126" s="139">
        <v>3000</v>
      </c>
      <c r="Z126" s="139">
        <v>0</v>
      </c>
      <c r="AA126" s="139">
        <v>0</v>
      </c>
      <c r="AB126" s="146">
        <v>0</v>
      </c>
      <c r="AC126" s="146">
        <v>0</v>
      </c>
      <c r="AD126" s="139">
        <v>0</v>
      </c>
      <c r="AE126" s="132" t="str">
        <v>비닐스토리 스마트 스토어 장미미 장미미 SE.303 투명 540214280673 010-9415-1378 2024060414211401</v>
      </c>
    </row>
    <row r="127" spans="1:31">
      <c r="A127" s="132">
        <v>122</v>
      </c>
      <c r="B127" s="132" t="str">
        <v>비닐스토리</v>
      </c>
      <c r="C127" s="132" t="str">
        <v>스마트 스토어</v>
      </c>
      <c r="D127" s="132" t="str">
        <v>장철호</v>
      </c>
      <c r="E127" s="133">
        <v>45454</v>
      </c>
      <c r="F127" s="132" t="str">
        <v>장철호</v>
      </c>
      <c r="G127" s="132" t="str">
        <v>530219199805</v>
      </c>
      <c r="H127" s="132" t="str">
        <v>SE.137</v>
      </c>
      <c r="I127" s="132" t="str">
        <v>투명</v>
      </c>
      <c r="J127" s="132">
        <v>100</v>
      </c>
      <c r="K127" s="139">
        <v>92400</v>
      </c>
      <c r="L127" s="139">
        <v>4400</v>
      </c>
      <c r="M127" s="139">
        <v>0</v>
      </c>
      <c r="N127" s="133">
        <v>45454</v>
      </c>
      <c r="O127" s="132" t="str">
        <v>2024061159500781</v>
      </c>
      <c r="P127" s="135" t="str">
        <v>futu****</v>
      </c>
      <c r="Q127" s="149" t="str">
        <v>010-5241-9516</v>
      </c>
      <c r="R127" s="132" t="str">
        <v>CJ대한통운</v>
      </c>
      <c r="S127" s="140">
        <v>0</v>
      </c>
      <c r="T127" s="132" t="str">
        <v>010-5580-5662</v>
      </c>
      <c r="U127" s="132" t="str">
        <v>인천광역시 서구 검단천로356번길 30 (오류동, 승일금속(주)) 주식회사비에스씨</v>
      </c>
      <c r="V127" s="132">
        <v>0</v>
      </c>
      <c r="W127" s="139">
        <v>131000</v>
      </c>
      <c r="X127" s="139">
        <v>35000</v>
      </c>
      <c r="Y127" s="139">
        <v>0</v>
      </c>
      <c r="Z127" s="139">
        <v>0</v>
      </c>
      <c r="AA127" s="139">
        <v>0</v>
      </c>
      <c r="AB127" s="146">
        <v>0</v>
      </c>
      <c r="AC127" s="146">
        <v>0</v>
      </c>
      <c r="AD127" s="139">
        <v>0</v>
      </c>
      <c r="AE127" s="132" t="str">
        <v>비닐스토리 스마트 스토어 장철호 장철호 SE.137 투명 530219199805 010-5580-5662 2024061159500781</v>
      </c>
    </row>
    <row r="128" spans="1:31">
      <c r="A128" s="132">
        <v>179</v>
      </c>
      <c r="B128" s="132" t="str">
        <v>비닐팩토리</v>
      </c>
      <c r="C128" s="132" t="str">
        <v>쿠팡</v>
      </c>
      <c r="D128" s="132" t="str">
        <v>전경숙</v>
      </c>
      <c r="E128" s="133">
        <v>45457</v>
      </c>
      <c r="F128" s="132" t="str">
        <v>전경숙</v>
      </c>
      <c r="G128" s="132" t="str">
        <v>540220887030</v>
      </c>
      <c r="H128" s="132" t="str">
        <v>SE.206</v>
      </c>
      <c r="I128" s="132" t="str">
        <v>투명</v>
      </c>
      <c r="J128" s="132">
        <v>1</v>
      </c>
      <c r="K128" s="139">
        <v>0</v>
      </c>
      <c r="L128" s="139">
        <v>3500</v>
      </c>
      <c r="M128" s="139">
        <v>0</v>
      </c>
      <c r="N128" s="133">
        <v>45457</v>
      </c>
      <c r="O128" s="132" t="str">
        <v>8100053068945</v>
      </c>
      <c r="P128" s="135" t="str">
        <v>bi*****@na</v>
      </c>
      <c r="Q128" s="149" t="str">
        <v>0504-4937-7658</v>
      </c>
      <c r="R128" s="132" t="str">
        <v>CJ대한통운</v>
      </c>
      <c r="S128" s="140">
        <v>0</v>
      </c>
      <c r="T128" s="132" t="str">
        <v>0504-4937-7658</v>
      </c>
      <c r="U128" s="132" t="str">
        <v>경기도 광주시 중앙로335번길 42 104동102호 ( 송정동, 송정동 대주파크빌 )</v>
      </c>
      <c r="V128" s="132" t="str">
        <v>문 앞</v>
      </c>
      <c r="W128" s="139">
        <v>30240</v>
      </c>
      <c r="X128" s="139">
        <v>0</v>
      </c>
      <c r="Y128" s="139">
        <v>3000</v>
      </c>
      <c r="Z128" s="139">
        <v>0</v>
      </c>
      <c r="AA128" s="139">
        <v>0</v>
      </c>
      <c r="AB128" s="146">
        <v>0</v>
      </c>
      <c r="AC128" s="146">
        <v>0</v>
      </c>
      <c r="AD128" s="139">
        <v>0</v>
      </c>
      <c r="AE128" s="132" t="str">
        <v>비닐팩토리 쿠팡 전경숙 전경숙 SE.206 투명 540220887030 0504-4937-7658 8100053068945</v>
      </c>
    </row>
    <row r="129" spans="1:31">
      <c r="A129" s="132">
        <v>4</v>
      </c>
      <c r="B129" s="132" t="str">
        <v>비닐스토리</v>
      </c>
      <c r="C129" s="132" t="str">
        <v>스마트 스토어</v>
      </c>
      <c r="D129" s="132" t="str">
        <v>정경섭</v>
      </c>
      <c r="E129" s="133">
        <v>45443</v>
      </c>
      <c r="F129" s="132" t="str">
        <v>정경섭</v>
      </c>
      <c r="G129" s="132" t="str">
        <v>530211675903</v>
      </c>
      <c r="H129" s="132" t="str">
        <v>SE.205</v>
      </c>
      <c r="I129" s="132" t="str">
        <v>투명</v>
      </c>
      <c r="J129" s="132">
        <v>5</v>
      </c>
      <c r="K129" s="139">
        <v>86900</v>
      </c>
      <c r="L129" s="139">
        <v>4400</v>
      </c>
      <c r="M129" s="139">
        <v>0</v>
      </c>
      <c r="N129" s="133">
        <v>45443</v>
      </c>
      <c r="O129" s="132" t="str">
        <v>45470689</v>
      </c>
      <c r="P129" s="135" t="str">
        <v>jks8****</v>
      </c>
      <c r="Q129" s="149" t="str">
        <v>010-6614-9975</v>
      </c>
      <c r="R129" s="132" t="str">
        <v>CJ대한통운</v>
      </c>
      <c r="S129" s="140">
        <v>0</v>
      </c>
      <c r="T129" s="132" t="str">
        <v>010-6614-9975</v>
      </c>
      <c r="U129" s="132" t="str">
        <v>경상북도 영주시 장수면 장수로 275-34 (장수면) 영주농업회사법인(주)</v>
      </c>
      <c r="V129" s="132">
        <v>0</v>
      </c>
      <c r="W129" s="139">
        <v>135000</v>
      </c>
      <c r="X129" s="139">
        <v>0</v>
      </c>
      <c r="Y129" s="139">
        <v>0</v>
      </c>
      <c r="Z129" s="139">
        <v>0</v>
      </c>
      <c r="AA129" s="139">
        <v>0</v>
      </c>
      <c r="AB129" s="146">
        <v>0</v>
      </c>
      <c r="AC129" s="146">
        <v>0</v>
      </c>
      <c r="AD129" s="139">
        <v>0</v>
      </c>
      <c r="AE129" s="132" t="str">
        <v>비닐스토리 스마트 스토어 정경섭 정경섭 SE.205 투명 530211675903 010-6614-9975 45470689</v>
      </c>
    </row>
    <row r="130" spans="1:31">
      <c r="A130" s="132">
        <v>10</v>
      </c>
      <c r="B130" s="132" t="str">
        <v>비닐스토리</v>
      </c>
      <c r="C130" s="132" t="str">
        <v>스마트 스토어</v>
      </c>
      <c r="D130" s="132" t="str">
        <v>정경섭</v>
      </c>
      <c r="E130" s="133">
        <v>45443</v>
      </c>
      <c r="F130" s="132" t="str">
        <v>정경섭</v>
      </c>
      <c r="G130" s="132" t="str">
        <v>540210571841</v>
      </c>
      <c r="H130" s="132" t="str">
        <v>SE.205</v>
      </c>
      <c r="I130" s="132" t="str">
        <v>투명</v>
      </c>
      <c r="J130" s="132">
        <v>5</v>
      </c>
      <c r="K130" s="139">
        <v>82500</v>
      </c>
      <c r="L130" s="139">
        <v>0</v>
      </c>
      <c r="M130" s="139">
        <v>0</v>
      </c>
      <c r="N130" s="133">
        <v>45442</v>
      </c>
      <c r="O130" s="132" t="str">
        <v>2024053027262361</v>
      </c>
      <c r="P130" s="135" t="str">
        <v>jks8****</v>
      </c>
      <c r="Q130" s="149" t="str">
        <v>010-6614-9975</v>
      </c>
      <c r="R130" s="132" t="str">
        <v>CJ대한통운</v>
      </c>
      <c r="S130" s="140">
        <v>0</v>
      </c>
      <c r="T130" s="132" t="str">
        <v>010-6614-9975</v>
      </c>
      <c r="U130" s="132" t="str">
        <v>경상북도 영주시 장수면 장수로 275-34 (장수면) 영주농업회사법인(주)</v>
      </c>
      <c r="V130" s="132">
        <v>0</v>
      </c>
      <c r="W130" s="139">
        <v>121500</v>
      </c>
      <c r="X130" s="139">
        <v>13500</v>
      </c>
      <c r="Y130" s="139">
        <v>0</v>
      </c>
      <c r="Z130" s="139">
        <v>0</v>
      </c>
      <c r="AA130" s="139">
        <v>0</v>
      </c>
      <c r="AB130" s="146">
        <v>0</v>
      </c>
      <c r="AC130" s="146">
        <v>0</v>
      </c>
      <c r="AD130" s="139">
        <v>0</v>
      </c>
      <c r="AE130" s="132" t="str">
        <v>비닐스토리 스마트 스토어 정경섭 정경섭 SE.205 투명 540210571841 010-6614-9975 2024053027262361</v>
      </c>
    </row>
    <row r="131" spans="1:31">
      <c r="A131" s="132">
        <v>19</v>
      </c>
      <c r="B131" s="132" t="str">
        <v>비닐팩토리</v>
      </c>
      <c r="C131" s="132" t="str">
        <v>스마트 스토어</v>
      </c>
      <c r="D131" s="132" t="str">
        <v>정경진</v>
      </c>
      <c r="E131" s="133">
        <v>45443</v>
      </c>
      <c r="F131" s="132" t="str">
        <v>더누벨예약실</v>
      </c>
      <c r="G131" s="132" t="str">
        <v>540210578185</v>
      </c>
      <c r="H131" s="132" t="str">
        <v>SE.206</v>
      </c>
      <c r="I131" s="132" t="str">
        <v>투명</v>
      </c>
      <c r="J131" s="132">
        <v>2</v>
      </c>
      <c r="K131" s="139">
        <v>0</v>
      </c>
      <c r="L131" s="139">
        <v>4400</v>
      </c>
      <c r="M131" s="139">
        <v>0</v>
      </c>
      <c r="N131" s="133">
        <v>45442</v>
      </c>
      <c r="O131" s="132" t="str">
        <v>2024053032136921</v>
      </c>
      <c r="P131" s="135" t="str">
        <v>toto****</v>
      </c>
      <c r="Q131" s="149" t="str">
        <v>010-3046-3334</v>
      </c>
      <c r="R131" s="132" t="str">
        <v>CJ대한통운</v>
      </c>
      <c r="S131" s="140">
        <v>0</v>
      </c>
      <c r="T131" s="132" t="str">
        <v>010-3046-3334</v>
      </c>
      <c r="U131" s="132" t="str">
        <v>경상북도 포항시 남구 희망대로 805 (대도동) 더누벨예약실</v>
      </c>
      <c r="V131" s="132" t="str">
        <v>마끼비ㄴ닐 주방</v>
      </c>
      <c r="W131" s="139">
        <v>56800</v>
      </c>
      <c r="X131" s="139">
        <v>0</v>
      </c>
      <c r="Y131" s="139">
        <v>0</v>
      </c>
      <c r="Z131" s="139">
        <v>0</v>
      </c>
      <c r="AA131" s="139">
        <v>0</v>
      </c>
      <c r="AB131" s="146">
        <v>0</v>
      </c>
      <c r="AC131" s="146">
        <v>0</v>
      </c>
      <c r="AD131" s="139">
        <v>0</v>
      </c>
      <c r="AE131" s="132" t="str">
        <v>비닐팩토리 스마트 스토어 정경진 더누벨예약실 SE.206 투명 540210578185 010-3046-3334 2024053032136921</v>
      </c>
    </row>
    <row r="132" spans="1:31">
      <c r="A132" s="132">
        <v>29</v>
      </c>
      <c r="B132" s="132" t="str">
        <v>비닐팩토리</v>
      </c>
      <c r="C132" s="132" t="str">
        <v>스마트 스토어</v>
      </c>
      <c r="D132" s="132" t="str">
        <v>정유연</v>
      </c>
      <c r="E132" s="133">
        <v>45446</v>
      </c>
      <c r="F132" s="132" t="str">
        <v>하루정육</v>
      </c>
      <c r="G132" s="132" t="str">
        <v>530213304895</v>
      </c>
      <c r="H132" s="132" t="str">
        <v>SE.18</v>
      </c>
      <c r="I132" s="132" t="str">
        <v>청백</v>
      </c>
      <c r="J132" s="132">
        <v>1</v>
      </c>
      <c r="K132" s="139">
        <v>0</v>
      </c>
      <c r="L132" s="139">
        <v>3000</v>
      </c>
      <c r="M132" s="139">
        <v>0</v>
      </c>
      <c r="N132" s="133">
        <v>45444</v>
      </c>
      <c r="O132" s="132" t="str">
        <v>2024060185000311</v>
      </c>
      <c r="P132" s="135" t="str">
        <v>simi****</v>
      </c>
      <c r="Q132" s="149" t="str">
        <v>010-9518-2588</v>
      </c>
      <c r="R132" s="132" t="str">
        <v>CJ대한통운</v>
      </c>
      <c r="S132" s="140">
        <v>0</v>
      </c>
      <c r="T132" s="132" t="str">
        <v>010-9518-2588</v>
      </c>
      <c r="U132" s="132" t="str">
        <v>부산광역시 부산진구 동평로 173 (부암동, 협성휴포레 시티즌파크) 상가 1층 하루정육</v>
      </c>
      <c r="V132" s="132">
        <v>0</v>
      </c>
      <c r="W132" s="139">
        <v>1770</v>
      </c>
      <c r="X132" s="139">
        <v>1440</v>
      </c>
      <c r="Y132" s="139">
        <v>0</v>
      </c>
      <c r="Z132" s="139">
        <v>0</v>
      </c>
      <c r="AA132" s="139">
        <v>0</v>
      </c>
      <c r="AB132" s="146">
        <v>0</v>
      </c>
      <c r="AC132" s="146">
        <v>0</v>
      </c>
      <c r="AD132" s="139">
        <v>0</v>
      </c>
      <c r="AE132" s="132" t="str">
        <v>비닐팩토리 스마트 스토어 정유연 하루정육 SE.18 청백 530213304895 010-9518-2588 2024060185000311</v>
      </c>
    </row>
    <row r="133" spans="1:31">
      <c r="A133" s="132">
        <v>30</v>
      </c>
      <c r="B133" s="132" t="str">
        <v>비닐팩토리</v>
      </c>
      <c r="C133" s="132" t="str">
        <v>스마트 스토어</v>
      </c>
      <c r="D133" s="132" t="str">
        <v>정유연</v>
      </c>
      <c r="E133" s="133">
        <v>45446</v>
      </c>
      <c r="F133" s="132" t="str">
        <v>하루정육</v>
      </c>
      <c r="G133" s="132" t="str">
        <v>530213304895</v>
      </c>
      <c r="H133" s="132" t="str">
        <v>SE.8</v>
      </c>
      <c r="I133" s="132" t="str">
        <v>유백</v>
      </c>
      <c r="J133" s="132">
        <v>10</v>
      </c>
      <c r="K133" s="139">
        <v>0</v>
      </c>
      <c r="L133" s="139">
        <v>0</v>
      </c>
      <c r="M133" s="139">
        <v>0</v>
      </c>
      <c r="N133" s="133">
        <v>45444</v>
      </c>
      <c r="O133" s="132" t="str">
        <v>2024060185000301</v>
      </c>
      <c r="P133" s="135" t="str">
        <v>simi****</v>
      </c>
      <c r="Q133" s="149" t="str">
        <v>010-9518-2588</v>
      </c>
      <c r="R133" s="132" t="str">
        <v>CJ대한통운</v>
      </c>
      <c r="S133" s="140">
        <v>0</v>
      </c>
      <c r="T133" s="132" t="str">
        <v>010-9518-2588</v>
      </c>
      <c r="U133" s="132" t="str">
        <v>부산광역시 부산진구 동평로 173 (부암동, 협성휴포레 시티즌파크) 상가 1층 하루정육</v>
      </c>
      <c r="V133" s="132">
        <v>0</v>
      </c>
      <c r="W133" s="139">
        <v>9800</v>
      </c>
      <c r="X133" s="139">
        <v>14400</v>
      </c>
      <c r="Y133" s="139">
        <v>0</v>
      </c>
      <c r="Z133" s="139">
        <v>0</v>
      </c>
      <c r="AA133" s="139">
        <v>0</v>
      </c>
      <c r="AB133" s="146">
        <v>0</v>
      </c>
      <c r="AC133" s="146">
        <v>0</v>
      </c>
      <c r="AD133" s="139">
        <v>0</v>
      </c>
      <c r="AE133" s="132" t="str">
        <v>비닐팩토리 스마트 스토어 정유연 하루정육 SE.8 유백 530213304895 010-9518-2588 2024060185000301</v>
      </c>
    </row>
    <row r="134" spans="1:31">
      <c r="A134" s="132">
        <v>31</v>
      </c>
      <c r="B134" s="132" t="str">
        <v>비닐팩토리</v>
      </c>
      <c r="C134" s="132" t="str">
        <v>스마트 스토어</v>
      </c>
      <c r="D134" s="132" t="str">
        <v>정유연</v>
      </c>
      <c r="E134" s="133">
        <v>45446</v>
      </c>
      <c r="F134" s="132" t="str">
        <v>하루정육</v>
      </c>
      <c r="G134" s="132" t="str">
        <v>530213304895</v>
      </c>
      <c r="H134" s="132" t="str">
        <v>SE.406</v>
      </c>
      <c r="I134" s="132" t="str">
        <v>투명</v>
      </c>
      <c r="J134" s="132">
        <v>1</v>
      </c>
      <c r="K134" s="139">
        <v>0</v>
      </c>
      <c r="L134" s="139">
        <v>0</v>
      </c>
      <c r="M134" s="139">
        <v>0</v>
      </c>
      <c r="N134" s="133">
        <v>45444</v>
      </c>
      <c r="O134" s="132" t="str">
        <v>2024060185000291</v>
      </c>
      <c r="P134" s="135" t="str">
        <v>simi****</v>
      </c>
      <c r="Q134" s="149" t="str">
        <v>010-9518-2588</v>
      </c>
      <c r="R134" s="132" t="str">
        <v>CJ대한통운</v>
      </c>
      <c r="S134" s="140">
        <v>0</v>
      </c>
      <c r="T134" s="132" t="str">
        <v>010-9518-2588</v>
      </c>
      <c r="U134" s="132" t="str">
        <v>부산광역시 부산진구 동평로 173 (부암동, 협성휴포레 시티즌파크) 상가 1층 하루정육</v>
      </c>
      <c r="V134" s="132">
        <v>0</v>
      </c>
      <c r="W134" s="139">
        <v>12600</v>
      </c>
      <c r="X134" s="139">
        <v>0</v>
      </c>
      <c r="Y134" s="139">
        <v>0</v>
      </c>
      <c r="Z134" s="139">
        <v>0</v>
      </c>
      <c r="AA134" s="139">
        <v>0</v>
      </c>
      <c r="AB134" s="146">
        <v>0</v>
      </c>
      <c r="AC134" s="146">
        <v>0</v>
      </c>
      <c r="AD134" s="139">
        <v>0</v>
      </c>
      <c r="AE134" s="132" t="str">
        <v>비닐팩토리 스마트 스토어 정유연 하루정육 SE.406 투명 530213304895 010-9518-2588 2024060185000291</v>
      </c>
    </row>
    <row r="135" spans="1:31">
      <c r="A135" s="132">
        <v>167</v>
      </c>
      <c r="B135" s="132" t="str">
        <v>비닐팩토리</v>
      </c>
      <c r="C135" s="132" t="str">
        <v>스마트 스토어</v>
      </c>
      <c r="D135" s="132" t="str">
        <v>정은혜</v>
      </c>
      <c r="E135" s="133">
        <v>45457</v>
      </c>
      <c r="F135" s="132" t="str">
        <v>정은혜</v>
      </c>
      <c r="G135" s="132" t="str">
        <v>530221962053</v>
      </c>
      <c r="H135" s="132" t="str">
        <v>SE.205</v>
      </c>
      <c r="I135" s="132" t="str">
        <v>투명</v>
      </c>
      <c r="J135" s="132">
        <v>2</v>
      </c>
      <c r="K135" s="139">
        <v>0</v>
      </c>
      <c r="L135" s="139">
        <v>4400</v>
      </c>
      <c r="M135" s="139">
        <v>0</v>
      </c>
      <c r="N135" s="133">
        <v>45456</v>
      </c>
      <c r="O135" s="132" t="str">
        <v>2024061366372881</v>
      </c>
      <c r="P135" s="135" t="str">
        <v>kdjl****</v>
      </c>
      <c r="Q135" s="149" t="str">
        <v>010-3652-1436</v>
      </c>
      <c r="R135" s="132" t="str">
        <v>CJ대한통운</v>
      </c>
      <c r="S135" s="140">
        <v>0</v>
      </c>
      <c r="T135" s="132" t="str">
        <v>010-3652-1436</v>
      </c>
      <c r="U135" s="132" t="str">
        <v>경상남도 진주시 사들로123번길 16 (충무공동) 휴니온팝 201호 사천형제국밥</v>
      </c>
      <c r="V135" s="132">
        <v>0</v>
      </c>
      <c r="W135" s="139">
        <v>48000</v>
      </c>
      <c r="X135" s="139">
        <v>0</v>
      </c>
      <c r="Y135" s="139">
        <v>0</v>
      </c>
      <c r="Z135" s="139">
        <v>0</v>
      </c>
      <c r="AA135" s="139">
        <v>0</v>
      </c>
      <c r="AB135" s="146">
        <v>0</v>
      </c>
      <c r="AC135" s="146">
        <v>0</v>
      </c>
      <c r="AD135" s="139">
        <v>0</v>
      </c>
      <c r="AE135" s="132" t="str">
        <v>비닐팩토리 스마트 스토어 정은혜 정은혜 SE.205 투명 530221962053 010-3652-1436 2024061366372881</v>
      </c>
    </row>
    <row r="136" spans="1:31">
      <c r="A136" s="132">
        <v>34</v>
      </c>
      <c r="B136" s="132" t="str">
        <v>비닐스토리</v>
      </c>
      <c r="C136" s="132" t="str">
        <v>쿠팡</v>
      </c>
      <c r="D136" s="132" t="str">
        <v>정장숙</v>
      </c>
      <c r="E136" s="133">
        <v>45446</v>
      </c>
      <c r="F136" s="132" t="str">
        <v>정장숙</v>
      </c>
      <c r="G136" s="132" t="str">
        <v>530213304954</v>
      </c>
      <c r="H136" s="132" t="str">
        <v>SE.206</v>
      </c>
      <c r="I136" s="132" t="str">
        <v>투명</v>
      </c>
      <c r="J136" s="132">
        <v>1</v>
      </c>
      <c r="K136" s="139">
        <v>23300</v>
      </c>
      <c r="L136" s="139">
        <v>3500</v>
      </c>
      <c r="M136" s="139">
        <v>0</v>
      </c>
      <c r="N136" s="133">
        <v>45444</v>
      </c>
      <c r="O136" s="132" t="str">
        <v>6100050616121</v>
      </c>
      <c r="P136" s="135" t="str">
        <v>an*****@ha</v>
      </c>
      <c r="Q136" s="149" t="str">
        <v>0502-4535-9645</v>
      </c>
      <c r="R136" s="132" t="str">
        <v>CJ대한통운</v>
      </c>
      <c r="S136" s="140">
        <v>0</v>
      </c>
      <c r="T136" s="132" t="str">
        <v>0502-4535-9645</v>
      </c>
      <c r="U136" s="132" t="str">
        <v>세종특별자치시 대평동 568-1 해들마을 6단지 상가동 B101호 해들떡마을</v>
      </c>
      <c r="V136" s="132" t="str">
        <v>문 앞</v>
      </c>
      <c r="W136" s="139">
        <v>34020</v>
      </c>
      <c r="X136" s="139">
        <v>0</v>
      </c>
      <c r="Y136" s="139">
        <v>3000</v>
      </c>
      <c r="Z136" s="139">
        <v>0</v>
      </c>
      <c r="AA136" s="139">
        <v>0</v>
      </c>
      <c r="AB136" s="146">
        <v>0</v>
      </c>
      <c r="AC136" s="146">
        <v>0</v>
      </c>
      <c r="AD136" s="139">
        <v>0</v>
      </c>
      <c r="AE136" s="132" t="str">
        <v>비닐스토리 쿠팡 정장숙 정장숙 SE.206 투명 530213304954 0502-4535-9645 6100050616121</v>
      </c>
    </row>
    <row r="137" spans="1:31">
      <c r="A137" s="132">
        <v>43</v>
      </c>
      <c r="B137" s="132" t="str">
        <v>비닐스토리</v>
      </c>
      <c r="C137" s="132" t="str">
        <v>스마트 스토어</v>
      </c>
      <c r="D137" s="132" t="str">
        <v>정택균</v>
      </c>
      <c r="E137" s="133">
        <v>45447</v>
      </c>
      <c r="F137" s="132" t="str">
        <v>정택균</v>
      </c>
      <c r="G137" s="132" t="str">
        <v>530214334212</v>
      </c>
      <c r="H137" s="132" t="str">
        <v>SE.306</v>
      </c>
      <c r="I137" s="132" t="str">
        <v>투명</v>
      </c>
      <c r="J137" s="132">
        <v>2</v>
      </c>
      <c r="K137" s="139">
        <v>22860</v>
      </c>
      <c r="L137" s="139">
        <v>3500</v>
      </c>
      <c r="M137" s="139">
        <v>0</v>
      </c>
      <c r="N137" s="133">
        <v>45446</v>
      </c>
      <c r="O137" s="132" t="str">
        <v>2024060373094231</v>
      </c>
      <c r="P137" s="135" t="str">
        <v>xorr****</v>
      </c>
      <c r="Q137" s="149" t="str">
        <v>010-7110-0757</v>
      </c>
      <c r="R137" s="132" t="str">
        <v>CJ대한통운</v>
      </c>
      <c r="S137" s="140">
        <v>0</v>
      </c>
      <c r="T137" s="132" t="str">
        <v>010-7110-0757</v>
      </c>
      <c r="U137" s="132" t="str">
        <v>강원특별자치도 동해시 공단6로 67-17 (구호동) 주식회사 루트</v>
      </c>
      <c r="V137" s="132" t="str">
        <v>2층사무실로 배송부탁드려요</v>
      </c>
      <c r="W137" s="139">
        <v>28500</v>
      </c>
      <c r="X137" s="139">
        <v>3180</v>
      </c>
      <c r="Y137" s="139">
        <v>3000</v>
      </c>
      <c r="Z137" s="139">
        <v>0</v>
      </c>
      <c r="AA137" s="139">
        <v>0</v>
      </c>
      <c r="AB137" s="146">
        <v>0</v>
      </c>
      <c r="AC137" s="146">
        <v>0</v>
      </c>
      <c r="AD137" s="139">
        <v>0</v>
      </c>
      <c r="AE137" s="132" t="str">
        <v>비닐스토리 스마트 스토어 정택균 정택균 SE.306 투명 530214334212 010-7110-0757 2024060373094231</v>
      </c>
    </row>
    <row r="138" spans="1:31">
      <c r="A138" s="132">
        <v>49</v>
      </c>
      <c r="B138" s="132" t="str">
        <v>비닐팩토리</v>
      </c>
      <c r="C138" s="132" t="str">
        <v>스마트 스토어</v>
      </c>
      <c r="D138" s="132" t="str">
        <v>조선옥</v>
      </c>
      <c r="E138" s="133">
        <v>45447</v>
      </c>
      <c r="F138" s="132" t="str">
        <v>조선옥</v>
      </c>
      <c r="G138" s="132" t="str">
        <v>540213347002</v>
      </c>
      <c r="H138" s="132" t="str">
        <v>SE.204</v>
      </c>
      <c r="I138" s="132" t="str">
        <v>투명</v>
      </c>
      <c r="J138" s="132">
        <v>1</v>
      </c>
      <c r="K138" s="139">
        <v>0</v>
      </c>
      <c r="L138" s="139">
        <v>3000</v>
      </c>
      <c r="M138" s="139">
        <v>0</v>
      </c>
      <c r="N138" s="133">
        <v>45446</v>
      </c>
      <c r="O138" s="132" t="str">
        <v>2024060374861381</v>
      </c>
      <c r="P138" s="135" t="str">
        <v>leec****</v>
      </c>
      <c r="Q138" s="149" t="str">
        <v>010-7321-8989</v>
      </c>
      <c r="R138" s="132" t="str">
        <v>CJ대한통운</v>
      </c>
      <c r="S138" s="140">
        <v>0</v>
      </c>
      <c r="T138" s="132" t="str">
        <v>010-7321-8989</v>
      </c>
      <c r="U138" s="132" t="str">
        <v>세종특별자치시 다정남로 123 가온마을 12단지 1206동 802호</v>
      </c>
      <c r="V138" s="132">
        <v>0</v>
      </c>
      <c r="W138" s="139">
        <v>20800</v>
      </c>
      <c r="X138" s="139">
        <v>0</v>
      </c>
      <c r="Y138" s="139">
        <v>3000</v>
      </c>
      <c r="Z138" s="139">
        <v>0</v>
      </c>
      <c r="AA138" s="139">
        <v>0</v>
      </c>
      <c r="AB138" s="146">
        <v>0</v>
      </c>
      <c r="AC138" s="146">
        <v>0</v>
      </c>
      <c r="AD138" s="139">
        <v>0</v>
      </c>
      <c r="AE138" s="132" t="str">
        <v>비닐팩토리 스마트 스토어 조선옥 조선옥 SE.204 투명 540213347002 010-7321-8989 2024060374861381</v>
      </c>
    </row>
    <row r="139" spans="1:31">
      <c r="A139" s="132">
        <v>12</v>
      </c>
      <c r="B139" s="132" t="str">
        <v>비닐팩토리</v>
      </c>
      <c r="C139" s="132" t="str">
        <v>쿠팡</v>
      </c>
      <c r="D139" s="132" t="str">
        <v>조선주</v>
      </c>
      <c r="E139" s="133">
        <v>45443</v>
      </c>
      <c r="F139" s="132" t="str">
        <v>조선주</v>
      </c>
      <c r="G139" s="132" t="str">
        <v>540210572073</v>
      </c>
      <c r="H139" s="132" t="str">
        <v>SE.101</v>
      </c>
      <c r="I139" s="132" t="str">
        <v>투명</v>
      </c>
      <c r="J139" s="132">
        <v>1</v>
      </c>
      <c r="K139" s="139">
        <v>0</v>
      </c>
      <c r="L139" s="139">
        <v>3000</v>
      </c>
      <c r="M139" s="139">
        <v>0</v>
      </c>
      <c r="N139" s="133">
        <v>45443</v>
      </c>
      <c r="O139" s="132" t="str">
        <v>2100050428361</v>
      </c>
      <c r="P139" s="135" t="str">
        <v>11*****@da</v>
      </c>
      <c r="Q139" s="149" t="str">
        <v>0502-1425-4833</v>
      </c>
      <c r="R139" s="132" t="str">
        <v>CJ대한통운</v>
      </c>
      <c r="S139" s="140">
        <v>0</v>
      </c>
      <c r="T139" s="132" t="str">
        <v>0502-1425-4833</v>
      </c>
      <c r="U139" s="132" t="str">
        <v>경기도 용인시 수지구 성복동 강남빌리지 104동 901호</v>
      </c>
      <c r="V139" s="132" t="str">
        <v>문 앞</v>
      </c>
      <c r="W139" s="139">
        <v>10400</v>
      </c>
      <c r="X139" s="139">
        <v>0</v>
      </c>
      <c r="Y139" s="139">
        <v>3000</v>
      </c>
      <c r="Z139" s="139">
        <v>0</v>
      </c>
      <c r="AA139" s="139">
        <v>0</v>
      </c>
      <c r="AB139" s="146">
        <v>0</v>
      </c>
      <c r="AC139" s="146">
        <v>0</v>
      </c>
      <c r="AD139" s="139">
        <v>10</v>
      </c>
      <c r="AE139" s="132" t="str">
        <v>비닐팩토리 쿠팡 조선주 조선주 SE.101 투명 540210572073 0502-1425-4833 2100050428361</v>
      </c>
    </row>
    <row r="140" spans="1:31">
      <c r="A140" s="132">
        <v>124</v>
      </c>
      <c r="B140" s="132" t="str">
        <v>비닐스토리</v>
      </c>
      <c r="C140" s="132" t="str">
        <v>스마트 스토어</v>
      </c>
      <c r="D140" s="132" t="str">
        <v>주경림</v>
      </c>
      <c r="E140" s="133">
        <v>45454</v>
      </c>
      <c r="F140" s="132" t="str">
        <v>리미</v>
      </c>
      <c r="G140" s="132" t="str">
        <v>530219199886</v>
      </c>
      <c r="H140" s="132" t="str">
        <v>SE.303</v>
      </c>
      <c r="I140" s="132" t="str">
        <v>투명</v>
      </c>
      <c r="J140" s="132">
        <v>1</v>
      </c>
      <c r="K140" s="139">
        <v>18570</v>
      </c>
      <c r="L140" s="139">
        <v>3500</v>
      </c>
      <c r="M140" s="139">
        <v>0</v>
      </c>
      <c r="N140" s="133">
        <v>45454</v>
      </c>
      <c r="O140" s="132" t="str">
        <v>2024061149499101</v>
      </c>
      <c r="P140" s="135" t="str">
        <v>sosl****</v>
      </c>
      <c r="Q140" s="149" t="str">
        <v>010-5155-4619</v>
      </c>
      <c r="R140" s="132" t="str">
        <v>CJ대한통운</v>
      </c>
      <c r="S140" s="140">
        <v>0</v>
      </c>
      <c r="T140" s="132" t="str">
        <v>010-3168-6006</v>
      </c>
      <c r="U140" s="132" t="str">
        <v>경상남도 함안군 칠원읍 용산2길 40 (칠원읍) 1층 떡마당</v>
      </c>
      <c r="V140" s="132">
        <v>0</v>
      </c>
      <c r="W140" s="139">
        <v>22190</v>
      </c>
      <c r="X140" s="139">
        <v>2470</v>
      </c>
      <c r="Y140" s="139">
        <v>0</v>
      </c>
      <c r="Z140" s="139">
        <v>0</v>
      </c>
      <c r="AA140" s="139">
        <v>0</v>
      </c>
      <c r="AB140" s="146">
        <v>0</v>
      </c>
      <c r="AC140" s="146">
        <v>0</v>
      </c>
      <c r="AD140" s="139">
        <v>0</v>
      </c>
      <c r="AE140" s="132" t="str">
        <v>비닐스토리 스마트 스토어 주경림 리미 SE.303 투명 530219199886 010-3168-6006 2024061149499101</v>
      </c>
    </row>
    <row r="141" spans="1:31">
      <c r="A141" s="132">
        <v>125</v>
      </c>
      <c r="B141" s="132" t="str">
        <v>비닐스토리</v>
      </c>
      <c r="C141" s="132" t="str">
        <v>스마트 스토어</v>
      </c>
      <c r="D141" s="132" t="str">
        <v>주경림</v>
      </c>
      <c r="E141" s="133">
        <v>45454</v>
      </c>
      <c r="F141" s="132" t="str">
        <v>리미</v>
      </c>
      <c r="G141" s="132" t="str">
        <v>530219199886</v>
      </c>
      <c r="H141" s="132" t="str">
        <v>SE.121</v>
      </c>
      <c r="I141" s="132" t="str">
        <v>검정</v>
      </c>
      <c r="J141" s="132">
        <v>1</v>
      </c>
      <c r="K141" s="139">
        <v>3410</v>
      </c>
      <c r="L141" s="139">
        <v>0</v>
      </c>
      <c r="M141" s="139">
        <v>0</v>
      </c>
      <c r="N141" s="133">
        <v>45454</v>
      </c>
      <c r="O141" s="132" t="str">
        <v>2024061149499091</v>
      </c>
      <c r="P141" s="135" t="str">
        <v>sosl****</v>
      </c>
      <c r="Q141" s="149" t="str">
        <v>010-5155-4619</v>
      </c>
      <c r="R141" s="132" t="str">
        <v>CJ대한통운</v>
      </c>
      <c r="S141" s="140">
        <v>0</v>
      </c>
      <c r="T141" s="132" t="str">
        <v>010-3168-6006</v>
      </c>
      <c r="U141" s="132" t="str">
        <v>경상남도 함안군 칠원읍 용산2길 40 (칠원읍) 1층 떡마당</v>
      </c>
      <c r="V141" s="132">
        <v>0</v>
      </c>
      <c r="W141" s="139">
        <v>5880</v>
      </c>
      <c r="X141" s="139">
        <v>0</v>
      </c>
      <c r="Y141" s="139">
        <v>0</v>
      </c>
      <c r="Z141" s="139">
        <v>0</v>
      </c>
      <c r="AA141" s="139">
        <v>0</v>
      </c>
      <c r="AB141" s="146">
        <v>0</v>
      </c>
      <c r="AC141" s="146">
        <v>0</v>
      </c>
      <c r="AD141" s="139">
        <v>0</v>
      </c>
      <c r="AE141" s="132" t="str">
        <v>비닐스토리 스마트 스토어 주경림 리미 SE.121 검정 530219199886 010-3168-6006 2024061149499091</v>
      </c>
    </row>
    <row r="142" spans="1:31">
      <c r="A142" s="132">
        <v>126</v>
      </c>
      <c r="B142" s="132" t="str">
        <v>비닐스토리</v>
      </c>
      <c r="C142" s="132" t="str">
        <v>스마트 스토어</v>
      </c>
      <c r="D142" s="132" t="str">
        <v>주경림</v>
      </c>
      <c r="E142" s="133">
        <v>45454</v>
      </c>
      <c r="F142" s="132" t="str">
        <v>리미</v>
      </c>
      <c r="G142" s="132" t="str">
        <v>530219199886</v>
      </c>
      <c r="H142" s="132" t="str">
        <v>SE.305</v>
      </c>
      <c r="I142" s="132" t="str">
        <v>투명</v>
      </c>
      <c r="J142" s="132">
        <v>1</v>
      </c>
      <c r="K142" s="139">
        <v>12650</v>
      </c>
      <c r="L142" s="139">
        <v>0</v>
      </c>
      <c r="M142" s="139">
        <v>0</v>
      </c>
      <c r="N142" s="133">
        <v>45454</v>
      </c>
      <c r="O142" s="132" t="str">
        <v>2024061149499081</v>
      </c>
      <c r="P142" s="135" t="str">
        <v>sosl****</v>
      </c>
      <c r="Q142" s="149" t="str">
        <v>010-5155-4619</v>
      </c>
      <c r="R142" s="132" t="str">
        <v>CJ대한통운</v>
      </c>
      <c r="S142" s="140">
        <v>0</v>
      </c>
      <c r="T142" s="132" t="str">
        <v>010-3168-6006</v>
      </c>
      <c r="U142" s="132" t="str">
        <v>경상남도 함안군 칠원읍 용산2길 40 (칠원읍) 1층 떡마당</v>
      </c>
      <c r="V142" s="132">
        <v>0</v>
      </c>
      <c r="W142" s="139">
        <v>18630</v>
      </c>
      <c r="X142" s="139">
        <v>2070</v>
      </c>
      <c r="Y142" s="139">
        <v>0</v>
      </c>
      <c r="Z142" s="139">
        <v>0</v>
      </c>
      <c r="AA142" s="139">
        <v>0</v>
      </c>
      <c r="AB142" s="146">
        <v>0</v>
      </c>
      <c r="AC142" s="146">
        <v>0</v>
      </c>
      <c r="AD142" s="139">
        <v>0</v>
      </c>
      <c r="AE142" s="132" t="str">
        <v>비닐스토리 스마트 스토어 주경림 리미 SE.305 투명 530219199886 010-3168-6006 2024061149499081</v>
      </c>
    </row>
    <row r="143" spans="1:31">
      <c r="A143" s="132">
        <v>149</v>
      </c>
      <c r="B143" s="132" t="str">
        <v>비닐스토리</v>
      </c>
      <c r="C143" s="132" t="str">
        <v>쿠팡</v>
      </c>
      <c r="D143" s="132" t="str">
        <v>주인아</v>
      </c>
      <c r="E143" s="133">
        <v>45456</v>
      </c>
      <c r="F143" s="132" t="str">
        <v>주인아</v>
      </c>
      <c r="G143" s="132" t="str">
        <v>540219665552</v>
      </c>
      <c r="H143" s="132" t="str">
        <v>SE.101</v>
      </c>
      <c r="I143" s="132" t="str">
        <v>투명</v>
      </c>
      <c r="J143" s="132">
        <v>1</v>
      </c>
      <c r="K143" s="139">
        <v>3550</v>
      </c>
      <c r="L143" s="139">
        <v>3000</v>
      </c>
      <c r="M143" s="139">
        <v>0</v>
      </c>
      <c r="N143" s="133">
        <v>45455</v>
      </c>
      <c r="O143" s="132" t="str">
        <v>3100052835477</v>
      </c>
      <c r="P143" s="135" t="str">
        <v>wn*****@ha</v>
      </c>
      <c r="Q143" s="149" t="str">
        <v>0502-4878-0063</v>
      </c>
      <c r="R143" s="132" t="str">
        <v>CJ대한통운</v>
      </c>
      <c r="S143" s="140">
        <v>0</v>
      </c>
      <c r="T143" s="132" t="str">
        <v>0502-4878-0063</v>
      </c>
      <c r="U143" s="132" t="str">
        <v>대전광역시 유성구 송강로42번길 61 청솔아파트 205동 1501호 ( 송강동, 청솔아파트 )</v>
      </c>
      <c r="V143" s="132" t="str">
        <v>문 앞</v>
      </c>
      <c r="W143" s="139">
        <v>940</v>
      </c>
      <c r="X143" s="139">
        <v>0</v>
      </c>
      <c r="Y143" s="139">
        <v>3000</v>
      </c>
      <c r="Z143" s="139">
        <v>0</v>
      </c>
      <c r="AA143" s="139">
        <v>0</v>
      </c>
      <c r="AB143" s="146">
        <v>0</v>
      </c>
      <c r="AC143" s="146">
        <v>0</v>
      </c>
      <c r="AD143" s="139">
        <v>0</v>
      </c>
      <c r="AE143" s="132" t="str">
        <v>비닐스토리 쿠팡 주인아 주인아 SE.101 투명 540219665552 0502-4878-0063 3100052835477</v>
      </c>
    </row>
    <row r="144" spans="1:31">
      <c r="A144" s="132">
        <v>131</v>
      </c>
      <c r="B144" s="132" t="str">
        <v>비닐스토리</v>
      </c>
      <c r="C144" s="132" t="str">
        <v>쿠팡</v>
      </c>
      <c r="D144" s="132" t="str">
        <v>지연호</v>
      </c>
      <c r="E144" s="133">
        <v>45454</v>
      </c>
      <c r="F144" s="132" t="str">
        <v>지연호</v>
      </c>
      <c r="G144" s="132" t="str">
        <v>530219199864</v>
      </c>
      <c r="H144" s="132" t="str">
        <v>SE.101</v>
      </c>
      <c r="I144" s="132" t="str">
        <v>투명</v>
      </c>
      <c r="J144" s="132">
        <v>35</v>
      </c>
      <c r="K144" s="139">
        <v>22750</v>
      </c>
      <c r="L144" s="139">
        <v>3500</v>
      </c>
      <c r="M144" s="139">
        <v>0</v>
      </c>
      <c r="N144" s="133">
        <v>45453</v>
      </c>
      <c r="O144" s="132" t="str">
        <v>10100052200112</v>
      </c>
      <c r="P144" s="135" t="str">
        <v>dp*****@na</v>
      </c>
      <c r="Q144" s="149" t="str">
        <v>0502-4967-1112</v>
      </c>
      <c r="R144" s="132" t="str">
        <v>CJ대한통운</v>
      </c>
      <c r="S144" s="140">
        <v>0</v>
      </c>
      <c r="T144" s="132" t="str">
        <v>0502-4967-1112</v>
      </c>
      <c r="U144" s="132" t="str">
        <v>경기도 화성시 반송동 23-6 1층 104호 돈까스파는메밀집</v>
      </c>
      <c r="V144" s="132" t="str">
        <v>문 앞</v>
      </c>
      <c r="W144" s="139">
        <v>32900</v>
      </c>
      <c r="X144" s="139">
        <v>0</v>
      </c>
      <c r="Y144" s="139">
        <v>3000</v>
      </c>
      <c r="Z144" s="139">
        <v>0</v>
      </c>
      <c r="AA144" s="139">
        <v>0</v>
      </c>
      <c r="AB144" s="146">
        <v>0</v>
      </c>
      <c r="AC144" s="146">
        <v>0</v>
      </c>
      <c r="AD144" s="139">
        <v>0</v>
      </c>
      <c r="AE144" s="132" t="str">
        <v>비닐스토리 쿠팡 지연호 지연호 SE.101 투명 530219199864 0502-4967-1112 10100052200112</v>
      </c>
    </row>
    <row r="145" spans="1:31">
      <c r="A145" s="132">
        <v>78</v>
      </c>
      <c r="B145" s="132" t="str">
        <v>비닐스토리</v>
      </c>
      <c r="C145" s="132" t="str">
        <v>스마트 스토어</v>
      </c>
      <c r="D145" s="132" t="str">
        <v>최동호</v>
      </c>
      <c r="E145" s="133">
        <v>45450</v>
      </c>
      <c r="F145" s="132" t="str">
        <v>최동호</v>
      </c>
      <c r="G145" s="132" t="str">
        <v>540215391433</v>
      </c>
      <c r="H145" s="132" t="str">
        <v>SE.206</v>
      </c>
      <c r="I145" s="132" t="str">
        <v>투명</v>
      </c>
      <c r="J145" s="132">
        <v>1</v>
      </c>
      <c r="K145" s="139">
        <v>23300</v>
      </c>
      <c r="L145" s="139">
        <v>3500</v>
      </c>
      <c r="M145" s="139">
        <v>0</v>
      </c>
      <c r="N145" s="133">
        <v>45450</v>
      </c>
      <c r="O145" s="132" t="str">
        <v>2024060715739931</v>
      </c>
      <c r="P145" s="135" t="str">
        <v>hoeh****</v>
      </c>
      <c r="Q145" s="149" t="str">
        <v>010-3465-3768</v>
      </c>
      <c r="R145" s="132" t="str">
        <v>CJ대한통운</v>
      </c>
      <c r="S145" s="140">
        <v>0</v>
      </c>
      <c r="T145" s="132" t="str">
        <v>010-3465-3768</v>
      </c>
      <c r="U145" s="132" t="str">
        <v>충청북도 청주시 상당구 남일면 단재로 469 (남일면) 효자촌묵집</v>
      </c>
      <c r="V145" s="132">
        <v>0</v>
      </c>
      <c r="W145" s="139">
        <v>28620</v>
      </c>
      <c r="X145" s="139">
        <v>3180</v>
      </c>
      <c r="Y145" s="139">
        <v>3000</v>
      </c>
      <c r="Z145" s="139">
        <v>0</v>
      </c>
      <c r="AA145" s="139">
        <v>0</v>
      </c>
      <c r="AB145" s="146">
        <v>0</v>
      </c>
      <c r="AC145" s="146">
        <v>0</v>
      </c>
      <c r="AD145" s="139">
        <v>0</v>
      </c>
      <c r="AE145" s="132" t="str">
        <v>비닐스토리 스마트 스토어 최동호 최동호 SE.206 투명 540215391433 010-3465-3768 2024060715739931</v>
      </c>
    </row>
    <row r="146" spans="1:31">
      <c r="A146" s="132">
        <v>137</v>
      </c>
      <c r="B146" s="132" t="str">
        <v>비닐팩토리</v>
      </c>
      <c r="C146" s="132" t="str">
        <v>스마트 스토어</v>
      </c>
      <c r="D146" s="132" t="str">
        <v>최슬기</v>
      </c>
      <c r="E146" s="133">
        <v>45454</v>
      </c>
      <c r="F146" s="132" t="str">
        <v>최슬기</v>
      </c>
      <c r="G146" s="132" t="str">
        <v>530219199831</v>
      </c>
      <c r="H146" s="132" t="str">
        <v>SE.303</v>
      </c>
      <c r="I146" s="132" t="str">
        <v>투명</v>
      </c>
      <c r="J146" s="132">
        <v>1</v>
      </c>
      <c r="K146" s="139">
        <v>0</v>
      </c>
      <c r="L146" s="139">
        <v>3500</v>
      </c>
      <c r="M146" s="139">
        <v>0</v>
      </c>
      <c r="N146" s="133">
        <v>45453</v>
      </c>
      <c r="O146" s="132" t="str">
        <v>2024061017985051</v>
      </c>
      <c r="P146" s="135" t="str">
        <v>seul****</v>
      </c>
      <c r="Q146" s="149" t="str">
        <v>010-8420-5958</v>
      </c>
      <c r="R146" s="132" t="str">
        <v>CJ대한통운</v>
      </c>
      <c r="S146" s="140">
        <v>0</v>
      </c>
      <c r="T146" s="132" t="str">
        <v>010-8420-5958</v>
      </c>
      <c r="U146" s="132" t="str">
        <v>경상남도 진주시 가호방아길43번길 32 (호탄동) 진주 금곡농협 로컬푸드 안 반찬가게</v>
      </c>
      <c r="V146" s="132">
        <v>0</v>
      </c>
      <c r="W146" s="139">
        <v>21920</v>
      </c>
      <c r="X146" s="139">
        <v>0</v>
      </c>
      <c r="Y146" s="139">
        <v>3000</v>
      </c>
      <c r="Z146" s="139">
        <v>0</v>
      </c>
      <c r="AA146" s="139">
        <v>0</v>
      </c>
      <c r="AB146" s="146">
        <v>0</v>
      </c>
      <c r="AC146" s="146">
        <v>0</v>
      </c>
      <c r="AD146" s="139">
        <v>0</v>
      </c>
      <c r="AE146" s="132" t="str">
        <v>비닐팩토리 스마트 스토어 최슬기 최슬기 SE.303 투명 530219199831 010-8420-5958 2024061017985051</v>
      </c>
    </row>
    <row r="147" spans="1:31">
      <c r="A147" s="132">
        <v>103</v>
      </c>
      <c r="B147" s="132" t="str">
        <v>비닐스토리</v>
      </c>
      <c r="C147" s="132" t="str">
        <v>쿠팡</v>
      </c>
      <c r="D147" s="132" t="str">
        <v>최희지</v>
      </c>
      <c r="E147" s="133">
        <v>45453</v>
      </c>
      <c r="F147" s="132" t="str">
        <v>최희지</v>
      </c>
      <c r="G147" s="132" t="str">
        <v>530217935760</v>
      </c>
      <c r="H147" s="132" t="str">
        <v>SE.101</v>
      </c>
      <c r="I147" s="132" t="str">
        <v>투명</v>
      </c>
      <c r="J147" s="132">
        <v>40</v>
      </c>
      <c r="K147" s="139">
        <v>25500</v>
      </c>
      <c r="L147" s="139">
        <v>3500</v>
      </c>
      <c r="M147" s="139">
        <v>0</v>
      </c>
      <c r="N147" s="133">
        <v>45453</v>
      </c>
      <c r="O147" s="132" t="str">
        <v>13100052294586</v>
      </c>
      <c r="P147" s="135" t="str">
        <v>as*****@na</v>
      </c>
      <c r="Q147" s="149" t="str">
        <v>0502-4218-4060</v>
      </c>
      <c r="R147" s="132" t="str">
        <v>CJ대한통운</v>
      </c>
      <c r="S147" s="140">
        <v>0</v>
      </c>
      <c r="T147" s="132" t="str">
        <v>0502-4218-4060</v>
      </c>
      <c r="U147" s="132" t="str">
        <v>경기도 화성시 남양읍 남양로 671 더굿메이트빌딩 110호 (정직유부 화성시청점)</v>
      </c>
      <c r="V147" s="132" t="str">
        <v>살살 다뤄주세요!! 뒷문에(상가 안) 놔두고 연락주세요</v>
      </c>
      <c r="W147" s="139">
        <v>37600</v>
      </c>
      <c r="X147" s="139">
        <v>0</v>
      </c>
      <c r="Y147" s="139">
        <v>0</v>
      </c>
      <c r="Z147" s="139">
        <v>0</v>
      </c>
      <c r="AA147" s="139">
        <v>0</v>
      </c>
      <c r="AB147" s="146">
        <v>0</v>
      </c>
      <c r="AC147" s="146">
        <v>0</v>
      </c>
      <c r="AD147" s="139">
        <v>0</v>
      </c>
      <c r="AE147" s="132" t="str">
        <v>비닐스토리 쿠팡 최희지 최희지 SE.101 투명 530217935760 0502-4218-4060 13100052294586</v>
      </c>
    </row>
    <row r="148" spans="1:31">
      <c r="A148" s="132">
        <v>101</v>
      </c>
      <c r="B148" s="132" t="str">
        <v>비닐스토리</v>
      </c>
      <c r="C148" s="132" t="str">
        <v>쿠팡</v>
      </c>
      <c r="D148" s="132" t="str">
        <v>한동현</v>
      </c>
      <c r="E148" s="133">
        <v>45453</v>
      </c>
      <c r="F148" s="132" t="str">
        <v>하노이맥주밤거리</v>
      </c>
      <c r="G148" s="132" t="str">
        <v>540216957451</v>
      </c>
      <c r="H148" s="132" t="str">
        <v>SE.122</v>
      </c>
      <c r="I148" s="132" t="str">
        <v>청색</v>
      </c>
      <c r="J148" s="132">
        <v>2</v>
      </c>
      <c r="K148" s="139">
        <v>10980</v>
      </c>
      <c r="L148" s="139">
        <v>3500</v>
      </c>
      <c r="M148" s="139">
        <v>0</v>
      </c>
      <c r="N148" s="133">
        <v>45452</v>
      </c>
      <c r="O148" s="132" t="str">
        <v>13100052165268</v>
      </c>
      <c r="P148" s="135" t="str">
        <v>ha*****@na</v>
      </c>
      <c r="Q148" s="149" t="str">
        <v>0502-4368-8242</v>
      </c>
      <c r="R148" s="132" t="str">
        <v>CJ대한통운</v>
      </c>
      <c r="S148" s="140">
        <v>0</v>
      </c>
      <c r="T148" s="132" t="str">
        <v>0502-4368-8242</v>
      </c>
      <c r="U148" s="132" t="str">
        <v>경기도 부천시 역곡동 78-7 1층 하노이맥주</v>
      </c>
      <c r="V148" s="132" t="str">
        <v>문 앞</v>
      </c>
      <c r="W148" s="139">
        <v>12560</v>
      </c>
      <c r="X148" s="139">
        <v>680</v>
      </c>
      <c r="Y148" s="139">
        <v>0</v>
      </c>
      <c r="Z148" s="139">
        <v>0</v>
      </c>
      <c r="AA148" s="139">
        <v>0</v>
      </c>
      <c r="AB148" s="146">
        <v>0</v>
      </c>
      <c r="AC148" s="146">
        <v>0</v>
      </c>
      <c r="AD148" s="139">
        <v>0</v>
      </c>
      <c r="AE148" s="132" t="str">
        <v>비닐스토리 쿠팡 한동현 하노이맥주밤거리 SE.122 청색 540216957451 0502-4368-8242 13100052165268</v>
      </c>
    </row>
    <row r="149" spans="1:31">
      <c r="A149" s="132">
        <v>74</v>
      </c>
      <c r="B149" s="132" t="str">
        <v>비닐팩토리</v>
      </c>
      <c r="C149" s="132" t="str">
        <v>스마트 스토어</v>
      </c>
      <c r="D149" s="132" t="str">
        <v>한은혜</v>
      </c>
      <c r="E149" s="133">
        <v>45450</v>
      </c>
      <c r="F149" s="132" t="str">
        <v>기찬수제돈까스</v>
      </c>
      <c r="G149" s="132" t="str">
        <v>540215391691</v>
      </c>
      <c r="H149" s="132" t="str">
        <v>SE.307</v>
      </c>
      <c r="I149" s="132" t="str">
        <v>투명</v>
      </c>
      <c r="J149" s="132">
        <v>2</v>
      </c>
      <c r="K149" s="139">
        <v>0</v>
      </c>
      <c r="L149" s="139">
        <v>3500</v>
      </c>
      <c r="M149" s="139">
        <v>0</v>
      </c>
      <c r="N149" s="133">
        <v>45449</v>
      </c>
      <c r="O149" s="132" t="str">
        <v>2024060673126881</v>
      </c>
      <c r="P149" s="135" t="str">
        <v>lili****</v>
      </c>
      <c r="Q149" s="149" t="str">
        <v>010-7444-5029</v>
      </c>
      <c r="R149" s="132" t="str">
        <v>CJ대한통운</v>
      </c>
      <c r="S149" s="140">
        <v>0</v>
      </c>
      <c r="T149" s="132" t="str">
        <v>010-7444-5029</v>
      </c>
      <c r="U149" s="132" t="str">
        <v>서울특별시 도봉구 도봉로153길 63 (방학동) 1층 좌측</v>
      </c>
      <c r="V149" s="132">
        <v>0</v>
      </c>
      <c r="W149" s="139">
        <v>21120</v>
      </c>
      <c r="X149" s="139">
        <v>0</v>
      </c>
      <c r="Y149" s="139">
        <v>0</v>
      </c>
      <c r="Z149" s="139">
        <v>0</v>
      </c>
      <c r="AA149" s="139">
        <v>0</v>
      </c>
      <c r="AB149" s="146">
        <v>0</v>
      </c>
      <c r="AC149" s="146">
        <v>0</v>
      </c>
      <c r="AD149" s="139">
        <v>0</v>
      </c>
      <c r="AE149" s="132" t="str">
        <v>비닐팩토리 스마트 스토어 한은혜 기찬수제돈까스 SE.307 투명 540215391691 010-7444-5029 2024060673126881</v>
      </c>
    </row>
    <row r="150" spans="1:31">
      <c r="A150" s="132">
        <v>75</v>
      </c>
      <c r="B150" s="132" t="str">
        <v>비닐팩토리</v>
      </c>
      <c r="C150" s="132" t="str">
        <v>스마트 스토어</v>
      </c>
      <c r="D150" s="132" t="str">
        <v>한은혜</v>
      </c>
      <c r="E150" s="133">
        <v>45450</v>
      </c>
      <c r="F150" s="132" t="str">
        <v>기찬수제돈까스</v>
      </c>
      <c r="G150" s="132" t="str">
        <v>540215391691</v>
      </c>
      <c r="H150" s="132" t="str">
        <v>SE.14</v>
      </c>
      <c r="I150" s="132" t="str">
        <v>검정</v>
      </c>
      <c r="J150" s="132">
        <v>5</v>
      </c>
      <c r="K150" s="139">
        <v>0</v>
      </c>
      <c r="L150" s="139">
        <v>0</v>
      </c>
      <c r="M150" s="139">
        <v>0</v>
      </c>
      <c r="N150" s="133">
        <v>45449</v>
      </c>
      <c r="O150" s="132" t="str">
        <v>2024060673126871</v>
      </c>
      <c r="P150" s="135" t="str">
        <v>lili****</v>
      </c>
      <c r="Q150" s="149" t="str">
        <v>010-7444-5029</v>
      </c>
      <c r="R150" s="132" t="str">
        <v>CJ대한통운</v>
      </c>
      <c r="S150" s="140">
        <v>0</v>
      </c>
      <c r="T150" s="132" t="str">
        <v>010-7444-5029</v>
      </c>
      <c r="U150" s="132" t="str">
        <v>서울특별시 도봉구 도봉로153길 63 (방학동) 1층 좌측</v>
      </c>
      <c r="V150" s="132">
        <v>0</v>
      </c>
      <c r="W150" s="139">
        <v>7150</v>
      </c>
      <c r="X150" s="139">
        <v>7200</v>
      </c>
      <c r="Y150" s="139">
        <v>0</v>
      </c>
      <c r="Z150" s="139">
        <v>0</v>
      </c>
      <c r="AA150" s="139">
        <v>0</v>
      </c>
      <c r="AB150" s="146">
        <v>0</v>
      </c>
      <c r="AC150" s="146">
        <v>0</v>
      </c>
      <c r="AD150" s="139">
        <v>0</v>
      </c>
      <c r="AE150" s="132" t="str">
        <v>비닐팩토리 스마트 스토어 한은혜 기찬수제돈까스 SE.14 검정 540215391691 010-7444-5029 2024060673126871</v>
      </c>
    </row>
    <row r="151" spans="1:31">
      <c r="A151" s="132">
        <v>76</v>
      </c>
      <c r="B151" s="132" t="str">
        <v>비닐팩토리</v>
      </c>
      <c r="C151" s="132" t="str">
        <v>스마트 스토어</v>
      </c>
      <c r="D151" s="132" t="str">
        <v>한은혜</v>
      </c>
      <c r="E151" s="133">
        <v>45450</v>
      </c>
      <c r="F151" s="132" t="str">
        <v>기찬수제돈까스</v>
      </c>
      <c r="G151" s="132" t="str">
        <v>540215391691</v>
      </c>
      <c r="H151" s="132" t="str">
        <v>SE.107</v>
      </c>
      <c r="I151" s="132" t="str">
        <v>투명</v>
      </c>
      <c r="J151" s="132">
        <v>3</v>
      </c>
      <c r="K151" s="139">
        <v>0</v>
      </c>
      <c r="L151" s="139">
        <v>0</v>
      </c>
      <c r="M151" s="139">
        <v>0</v>
      </c>
      <c r="N151" s="133">
        <v>45449</v>
      </c>
      <c r="O151" s="132" t="str">
        <v>2024060673126861</v>
      </c>
      <c r="P151" s="135" t="str">
        <v>lili****</v>
      </c>
      <c r="Q151" s="149" t="str">
        <v>010-7444-5029</v>
      </c>
      <c r="R151" s="132" t="str">
        <v>CJ대한통운</v>
      </c>
      <c r="S151" s="140">
        <v>0</v>
      </c>
      <c r="T151" s="132" t="str">
        <v>010-7444-5029</v>
      </c>
      <c r="U151" s="132" t="str">
        <v>서울특별시 도봉구 도봉로153길 63 (방학동) 1층 좌측</v>
      </c>
      <c r="V151" s="132">
        <v>0</v>
      </c>
      <c r="W151" s="139">
        <v>9720</v>
      </c>
      <c r="X151" s="139">
        <v>3870</v>
      </c>
      <c r="Y151" s="139">
        <v>0</v>
      </c>
      <c r="Z151" s="139">
        <v>0</v>
      </c>
      <c r="AA151" s="139">
        <v>0</v>
      </c>
      <c r="AB151" s="146">
        <v>0</v>
      </c>
      <c r="AC151" s="146">
        <v>0</v>
      </c>
      <c r="AD151" s="139">
        <v>0</v>
      </c>
      <c r="AE151" s="132" t="str">
        <v>비닐팩토리 스마트 스토어 한은혜 기찬수제돈까스 SE.107 투명 540215391691 010-7444-5029 2024060673126861</v>
      </c>
    </row>
    <row r="152" spans="1:31">
      <c r="A152" s="132">
        <v>132</v>
      </c>
      <c r="B152" s="132" t="str">
        <v>비닐스토리</v>
      </c>
      <c r="C152" s="132" t="str">
        <v>쿠팡</v>
      </c>
      <c r="D152" s="132" t="str">
        <v>한은희</v>
      </c>
      <c r="E152" s="133">
        <v>45454</v>
      </c>
      <c r="F152" s="132" t="str">
        <v>한은희</v>
      </c>
      <c r="G152" s="132" t="str">
        <v>530219199842</v>
      </c>
      <c r="H152" s="132" t="str">
        <v>SE.307</v>
      </c>
      <c r="I152" s="132" t="str">
        <v>투명</v>
      </c>
      <c r="J152" s="132">
        <v>3</v>
      </c>
      <c r="K152" s="139">
        <v>25280</v>
      </c>
      <c r="L152" s="139">
        <v>3500</v>
      </c>
      <c r="M152" s="139">
        <v>0</v>
      </c>
      <c r="N152" s="133">
        <v>45453</v>
      </c>
      <c r="O152" s="132" t="str">
        <v>3100052473841</v>
      </c>
      <c r="P152" s="135" t="str">
        <v>gk*****@gm</v>
      </c>
      <c r="Q152" s="149" t="str">
        <v>0502-1701-0094</v>
      </c>
      <c r="R152" s="132" t="str">
        <v>CJ대한통운</v>
      </c>
      <c r="S152" s="140">
        <v>0</v>
      </c>
      <c r="T152" s="132" t="str">
        <v>0502-1701-0094</v>
      </c>
      <c r="U152" s="132" t="str">
        <v>전라남도 함평군 신광면 삼무길 6-5 두배로영농</v>
      </c>
      <c r="V152" s="132" t="str">
        <v>문 앞</v>
      </c>
      <c r="W152" s="139">
        <v>37410</v>
      </c>
      <c r="X152" s="139">
        <v>0</v>
      </c>
      <c r="Y152" s="139">
        <v>0</v>
      </c>
      <c r="Z152" s="139">
        <v>0</v>
      </c>
      <c r="AA152" s="139">
        <v>0</v>
      </c>
      <c r="AB152" s="146">
        <v>0</v>
      </c>
      <c r="AC152" s="146">
        <v>0</v>
      </c>
      <c r="AD152" s="139">
        <v>0</v>
      </c>
      <c r="AE152" s="132" t="str">
        <v>비닐스토리 쿠팡 한은희 한은희 SE.307 투명 530219199842 0502-1701-0094 3100052473841</v>
      </c>
    </row>
    <row r="153" spans="1:31">
      <c r="A153" s="132">
        <v>27</v>
      </c>
      <c r="B153" s="132" t="str">
        <v>비닐팩토리</v>
      </c>
      <c r="C153" s="132" t="str">
        <v>스마트 스토어</v>
      </c>
      <c r="D153" s="132" t="str">
        <v>한찬범</v>
      </c>
      <c r="E153" s="133">
        <v>45446</v>
      </c>
      <c r="F153" s="132" t="str">
        <v>한찬범</v>
      </c>
      <c r="G153" s="132" t="str">
        <v>530213304980</v>
      </c>
      <c r="H153" s="132" t="str">
        <v>SE.203</v>
      </c>
      <c r="I153" s="132" t="str">
        <v>투명</v>
      </c>
      <c r="J153" s="132">
        <v>1</v>
      </c>
      <c r="K153" s="139">
        <v>0</v>
      </c>
      <c r="L153" s="139">
        <v>3000</v>
      </c>
      <c r="M153" s="139">
        <v>0</v>
      </c>
      <c r="N153" s="133">
        <v>45445</v>
      </c>
      <c r="O153" s="132" t="str">
        <v>2024060234540801</v>
      </c>
      <c r="P153" s="135" t="str">
        <v>gksq****</v>
      </c>
      <c r="Q153" s="149" t="str">
        <v>010-9589-2203</v>
      </c>
      <c r="R153" s="132" t="str">
        <v>CJ대한통운</v>
      </c>
      <c r="S153" s="140">
        <v>0</v>
      </c>
      <c r="T153" s="132" t="str">
        <v>010-9589-2203</v>
      </c>
      <c r="U153" s="132" t="str">
        <v>충청북도 청주시 서원구 장전로20번나길 8 (성화동) 1층 꿀꺽삼겹살</v>
      </c>
      <c r="V153" s="132">
        <v>0</v>
      </c>
      <c r="W153" s="139">
        <v>17600</v>
      </c>
      <c r="X153" s="139">
        <v>0</v>
      </c>
      <c r="Y153" s="139">
        <v>3000</v>
      </c>
      <c r="Z153" s="139">
        <v>0</v>
      </c>
      <c r="AA153" s="139">
        <v>0</v>
      </c>
      <c r="AB153" s="146">
        <v>0</v>
      </c>
      <c r="AC153" s="146">
        <v>0</v>
      </c>
      <c r="AD153" s="139">
        <v>0</v>
      </c>
      <c r="AE153" s="132" t="str">
        <v>비닐팩토리 스마트 스토어 한찬범 한찬범 SE.203 투명 530213304980 010-9589-2203 2024060234540801</v>
      </c>
    </row>
    <row r="154" spans="1:31">
      <c r="A154" s="132">
        <v>147</v>
      </c>
      <c r="B154" s="132" t="str">
        <v>비닐팩토리</v>
      </c>
      <c r="C154" s="132" t="str">
        <v>쿠팡</v>
      </c>
      <c r="D154" s="132" t="str">
        <v>한현정</v>
      </c>
      <c r="E154" s="133">
        <v>45456</v>
      </c>
      <c r="F154" s="132" t="str">
        <v>한현정</v>
      </c>
      <c r="G154" s="132" t="str">
        <v>530220853916</v>
      </c>
      <c r="H154" s="132" t="str">
        <v>SE.303</v>
      </c>
      <c r="I154" s="132" t="str">
        <v>투명</v>
      </c>
      <c r="J154" s="132">
        <v>1</v>
      </c>
      <c r="K154" s="139">
        <v>0</v>
      </c>
      <c r="L154" s="139">
        <v>3000</v>
      </c>
      <c r="M154" s="139">
        <v>0</v>
      </c>
      <c r="N154" s="133">
        <v>45456</v>
      </c>
      <c r="O154" s="132" t="str">
        <v>21100052895371</v>
      </c>
      <c r="P154" s="135" t="str">
        <v>as*****@na</v>
      </c>
      <c r="Q154" s="149" t="str">
        <v>0504-2702-6413</v>
      </c>
      <c r="R154" s="132" t="str">
        <v>CJ대한통운</v>
      </c>
      <c r="S154" s="140">
        <v>0</v>
      </c>
      <c r="T154" s="132" t="str">
        <v>0504-2702-6413</v>
      </c>
      <c r="U154" s="132" t="str">
        <v>전라남도 담양군 담양읍 지침리 132-9 떡돌이와떡순이</v>
      </c>
      <c r="V154" s="132" t="str">
        <v>직접 받고 부재 시 문 앞</v>
      </c>
      <c r="W154" s="139">
        <v>23020</v>
      </c>
      <c r="X154" s="139">
        <v>0</v>
      </c>
      <c r="Y154" s="139">
        <v>3000</v>
      </c>
      <c r="Z154" s="139">
        <v>0</v>
      </c>
      <c r="AA154" s="139">
        <v>0</v>
      </c>
      <c r="AB154" s="146">
        <v>0</v>
      </c>
      <c r="AC154" s="146">
        <v>0</v>
      </c>
      <c r="AD154" s="139">
        <v>0</v>
      </c>
      <c r="AE154" s="132" t="str">
        <v>비닐팩토리 쿠팡 한현정 한현정 SE.303 투명 530220853916 0504-2702-6413 21100052895371</v>
      </c>
    </row>
    <row r="155" spans="1:31">
      <c r="A155" s="132">
        <v>163</v>
      </c>
      <c r="B155" s="132" t="str">
        <v>비닐스토리</v>
      </c>
      <c r="C155" s="132" t="str">
        <v>스마트 스토어</v>
      </c>
      <c r="D155" s="132" t="str">
        <v>황중섭</v>
      </c>
      <c r="E155" s="133">
        <v>45456</v>
      </c>
      <c r="F155" s="132" t="str">
        <v>황중섭</v>
      </c>
      <c r="G155" s="132" t="str">
        <v>540219665574</v>
      </c>
      <c r="H155" s="132" t="str">
        <v>SE.202</v>
      </c>
      <c r="I155" s="132" t="str">
        <v>투명</v>
      </c>
      <c r="J155" s="132">
        <v>1</v>
      </c>
      <c r="K155" s="139">
        <v>14000</v>
      </c>
      <c r="L155" s="139">
        <v>3000</v>
      </c>
      <c r="M155" s="139">
        <v>0</v>
      </c>
      <c r="N155" s="133">
        <v>45455</v>
      </c>
      <c r="O155" s="132" t="str">
        <v>2024061218576421</v>
      </c>
      <c r="P155" s="135" t="str">
        <v>poha****</v>
      </c>
      <c r="Q155" s="149" t="str">
        <v>010-7631-2233</v>
      </c>
      <c r="R155" s="132" t="str">
        <v>CJ대한통운</v>
      </c>
      <c r="S155" s="140">
        <v>0</v>
      </c>
      <c r="T155" s="132" t="str">
        <v>010-7631-2233</v>
      </c>
      <c r="U155" s="132" t="str">
        <v>경상북도 영천시 영화로 340-1 (조교동) 2층 돈꿉자</v>
      </c>
      <c r="V155" s="132">
        <v>0</v>
      </c>
      <c r="W155" s="139">
        <v>16200</v>
      </c>
      <c r="X155" s="139">
        <v>1800</v>
      </c>
      <c r="Y155" s="139">
        <v>3000</v>
      </c>
      <c r="Z155" s="139">
        <v>0</v>
      </c>
      <c r="AA155" s="139">
        <v>0</v>
      </c>
      <c r="AB155" s="146">
        <v>0</v>
      </c>
      <c r="AC155" s="146">
        <v>0</v>
      </c>
      <c r="AD155" s="139">
        <v>0</v>
      </c>
      <c r="AE155" s="132" t="str">
        <v>비닐스토리 스마트 스토어 황중섭 황중섭 SE.202 투명 540219665574 010-7631-2233 2024061218576421</v>
      </c>
    </row>
    <row r="156" spans="1:31">
      <c r="A156" s="132">
        <v>3</v>
      </c>
      <c r="B156" s="132" t="str">
        <v>비닐팩토리</v>
      </c>
      <c r="C156" s="132" t="str">
        <v>대표</v>
      </c>
      <c r="D156" s="132">
        <v>0</v>
      </c>
      <c r="E156" s="133">
        <v>45443</v>
      </c>
      <c r="F156" s="132" t="str">
        <v>감포건어물</v>
      </c>
      <c r="G156" s="132" t="str">
        <v>530211812532</v>
      </c>
      <c r="H156" s="132" t="str">
        <v>SE.1000</v>
      </c>
      <c r="I156" s="132" t="str">
        <v>투명</v>
      </c>
      <c r="J156" s="132">
        <v>1</v>
      </c>
      <c r="K156" s="139">
        <v>0</v>
      </c>
      <c r="L156" s="139">
        <v>4400</v>
      </c>
      <c r="M156" s="139">
        <v>0</v>
      </c>
      <c r="N156" s="133">
        <v>45443</v>
      </c>
      <c r="O156" s="132" t="str">
        <v>45470338</v>
      </c>
      <c r="P156" s="135">
        <v>0</v>
      </c>
      <c r="Q156" s="149">
        <v>0</v>
      </c>
      <c r="R156" s="132" t="str">
        <v>CJ대한통운</v>
      </c>
      <c r="S156" s="140">
        <v>0</v>
      </c>
      <c r="T156" s="132" t="str">
        <v>010-3585-3937</v>
      </c>
      <c r="U156" s="132" t="str">
        <v>경북 경주시 감포읍 감포로 115 공설시장15호</v>
      </c>
      <c r="V156" s="132">
        <v>0</v>
      </c>
      <c r="W156" s="139">
        <v>0</v>
      </c>
      <c r="X156" s="139">
        <v>0</v>
      </c>
      <c r="Y156" s="139">
        <v>0</v>
      </c>
      <c r="Z156" s="139">
        <v>0</v>
      </c>
      <c r="AA156" s="139">
        <v>0</v>
      </c>
      <c r="AB156" s="146">
        <v>0</v>
      </c>
      <c r="AC156" s="146">
        <v>0</v>
      </c>
      <c r="AD156" s="139">
        <v>0</v>
      </c>
      <c r="AE156" s="132" t="str">
        <v>비닐팩토리 대표  감포건어물 SE.1000 투명 530211812532 010-3585-3937 45470338</v>
      </c>
    </row>
    <row r="157" spans="1:31">
      <c r="A157" s="132">
        <v>20</v>
      </c>
      <c r="B157" s="132" t="str">
        <v>비닐팩토리</v>
      </c>
      <c r="C157" s="132" t="str">
        <v>대표</v>
      </c>
      <c r="D157" s="132">
        <v>0</v>
      </c>
      <c r="E157" s="133">
        <v>45446</v>
      </c>
      <c r="F157" s="132" t="str">
        <v>청도추어탕고디탕</v>
      </c>
      <c r="G157" s="132" t="str">
        <v>530213589552</v>
      </c>
      <c r="H157" s="132" t="str">
        <v>SE.1000</v>
      </c>
      <c r="I157" s="132" t="str">
        <v>투명</v>
      </c>
      <c r="J157" s="132">
        <v>1</v>
      </c>
      <c r="K157" s="139">
        <v>0</v>
      </c>
      <c r="L157" s="139">
        <v>0</v>
      </c>
      <c r="M157" s="139">
        <v>0</v>
      </c>
      <c r="N157" s="133">
        <v>45446</v>
      </c>
      <c r="O157" s="132" t="str">
        <v>45470286</v>
      </c>
      <c r="P157" s="135">
        <v>0</v>
      </c>
      <c r="Q157" s="149">
        <v>0</v>
      </c>
      <c r="R157" s="132" t="str">
        <v>CJ대한통운</v>
      </c>
      <c r="S157" s="140">
        <v>0</v>
      </c>
      <c r="T157" s="132" t="str">
        <v>010-8755-5098</v>
      </c>
      <c r="U157" s="132" t="str">
        <v>경북 청도군 청도읍 청화로 211 청도추어탕고디탕</v>
      </c>
      <c r="V157" s="132">
        <v>0</v>
      </c>
      <c r="W157" s="139">
        <v>0</v>
      </c>
      <c r="X157" s="139">
        <v>0</v>
      </c>
      <c r="Y157" s="139">
        <v>0</v>
      </c>
      <c r="Z157" s="139">
        <v>0</v>
      </c>
      <c r="AA157" s="139">
        <v>0</v>
      </c>
      <c r="AB157" s="146">
        <v>0</v>
      </c>
      <c r="AC157" s="146">
        <v>0</v>
      </c>
      <c r="AD157" s="139">
        <v>0</v>
      </c>
      <c r="AE157" s="132" t="str">
        <v>비닐팩토리 대표  청도추어탕고디탕 SE.1000 투명 530213589552 010-8755-5098 45470286</v>
      </c>
    </row>
    <row r="158" spans="1:31">
      <c r="A158" s="132">
        <v>21</v>
      </c>
      <c r="B158" s="132" t="str">
        <v>비닐팩토리</v>
      </c>
      <c r="C158" s="132" t="str">
        <v>대표</v>
      </c>
      <c r="D158" s="132">
        <v>0</v>
      </c>
      <c r="E158" s="133">
        <v>45446</v>
      </c>
      <c r="F158" s="132" t="str">
        <v>형제떡방앗간</v>
      </c>
      <c r="G158" s="132" t="str">
        <v>530213521733</v>
      </c>
      <c r="H158" s="132" t="str">
        <v>SE.1000</v>
      </c>
      <c r="I158" s="132" t="str">
        <v>투명</v>
      </c>
      <c r="J158" s="132">
        <v>1</v>
      </c>
      <c r="K158" s="139">
        <v>0</v>
      </c>
      <c r="L158" s="139">
        <v>0</v>
      </c>
      <c r="M158" s="139">
        <v>0</v>
      </c>
      <c r="N158" s="133">
        <v>45446</v>
      </c>
      <c r="O158" s="132" t="str">
        <v>45470237</v>
      </c>
      <c r="P158" s="135">
        <v>0</v>
      </c>
      <c r="Q158" s="149">
        <v>0</v>
      </c>
      <c r="R158" s="132" t="str">
        <v>CJ대한통운</v>
      </c>
      <c r="S158" s="140">
        <v>0</v>
      </c>
      <c r="T158" s="132" t="str">
        <v>010-6246-4029</v>
      </c>
      <c r="U158" s="132" t="str">
        <v>경북 청도군 청도읍 고수동4길 1 형제떡방앗간</v>
      </c>
      <c r="V158" s="132">
        <v>0</v>
      </c>
      <c r="W158" s="139">
        <v>0</v>
      </c>
      <c r="X158" s="139">
        <v>0</v>
      </c>
      <c r="Y158" s="139">
        <v>0</v>
      </c>
      <c r="Z158" s="139">
        <v>0</v>
      </c>
      <c r="AA158" s="139">
        <v>0</v>
      </c>
      <c r="AB158" s="146">
        <v>0</v>
      </c>
      <c r="AC158" s="146">
        <v>0</v>
      </c>
      <c r="AD158" s="139">
        <v>0</v>
      </c>
      <c r="AE158" s="132" t="str">
        <v>비닐팩토리 대표  형제떡방앗간 SE.1000 투명 530213521733 010-6246-4029 45470237</v>
      </c>
    </row>
    <row r="159" spans="1:31">
      <c r="A159" s="132">
        <v>22</v>
      </c>
      <c r="B159" s="132" t="str">
        <v>비닐팩토리</v>
      </c>
      <c r="C159" s="132" t="str">
        <v>대표</v>
      </c>
      <c r="D159" s="132">
        <v>0</v>
      </c>
      <c r="E159" s="133">
        <v>45446</v>
      </c>
      <c r="F159" s="132" t="str">
        <v>역전떡집</v>
      </c>
      <c r="G159" s="132" t="str">
        <v>530213372596</v>
      </c>
      <c r="H159" s="132" t="str">
        <v>SE.1000</v>
      </c>
      <c r="I159" s="132" t="str">
        <v>투명</v>
      </c>
      <c r="J159" s="132">
        <v>4</v>
      </c>
      <c r="K159" s="139">
        <v>0</v>
      </c>
      <c r="L159" s="139">
        <v>5500</v>
      </c>
      <c r="M159" s="139">
        <v>0</v>
      </c>
      <c r="N159" s="133">
        <v>45446</v>
      </c>
      <c r="O159" s="132" t="str">
        <v>45470899</v>
      </c>
      <c r="P159" s="135">
        <v>0</v>
      </c>
      <c r="Q159" s="149">
        <v>0</v>
      </c>
      <c r="R159" s="132" t="str">
        <v>CJ대한통운</v>
      </c>
      <c r="S159" s="140">
        <v>0</v>
      </c>
      <c r="T159" s="132" t="str">
        <v>010-4106-0020</v>
      </c>
      <c r="U159" s="132" t="str">
        <v>경북 예천군 예천읍 대심로 134 역전떡집</v>
      </c>
      <c r="V159" s="132">
        <v>0</v>
      </c>
      <c r="W159" s="139">
        <v>0</v>
      </c>
      <c r="X159" s="139">
        <v>0</v>
      </c>
      <c r="Y159" s="139">
        <v>0</v>
      </c>
      <c r="Z159" s="139">
        <v>0</v>
      </c>
      <c r="AA159" s="139">
        <v>0</v>
      </c>
      <c r="AB159" s="146">
        <v>0</v>
      </c>
      <c r="AC159" s="146">
        <v>0</v>
      </c>
      <c r="AD159" s="139">
        <v>0</v>
      </c>
      <c r="AE159" s="132" t="str">
        <v>비닐팩토리 대표  역전떡집 SE.1000 투명 530213372596 010-4106-0020 45470899</v>
      </c>
    </row>
    <row r="160" spans="1:31">
      <c r="A160" s="132">
        <v>50</v>
      </c>
      <c r="B160" s="132" t="str">
        <v>비닐팩토리</v>
      </c>
      <c r="C160" s="132" t="str">
        <v>대표</v>
      </c>
      <c r="D160" s="132">
        <v>0</v>
      </c>
      <c r="E160" s="133">
        <v>45447</v>
      </c>
      <c r="F160" s="132" t="str">
        <v>운문로컬푸드</v>
      </c>
      <c r="G160" s="132" t="str">
        <v>540213347956</v>
      </c>
      <c r="H160" s="132" t="str">
        <v>SE.1000</v>
      </c>
      <c r="I160" s="132" t="str">
        <v>투명</v>
      </c>
      <c r="J160" s="132">
        <v>1</v>
      </c>
      <c r="K160" s="139">
        <v>0</v>
      </c>
      <c r="L160" s="139">
        <v>0</v>
      </c>
      <c r="M160" s="139">
        <v>0</v>
      </c>
      <c r="N160" s="133">
        <v>45447</v>
      </c>
      <c r="O160" s="132" t="str">
        <v>45470394</v>
      </c>
      <c r="P160" s="135">
        <v>0</v>
      </c>
      <c r="Q160" s="149">
        <v>0</v>
      </c>
      <c r="R160" s="132" t="str">
        <v>CJ대한통운</v>
      </c>
      <c r="S160" s="140">
        <v>0</v>
      </c>
      <c r="T160" s="132" t="str">
        <v>054-372-8181</v>
      </c>
      <c r="U160" s="132" t="str">
        <v>경북 청도군 운문면 운문사길 129-8 운문로컬푸드</v>
      </c>
      <c r="V160" s="132">
        <v>0</v>
      </c>
      <c r="W160" s="139">
        <v>0</v>
      </c>
      <c r="X160" s="139">
        <v>0</v>
      </c>
      <c r="Y160" s="139">
        <v>0</v>
      </c>
      <c r="Z160" s="139">
        <v>0</v>
      </c>
      <c r="AA160" s="139">
        <v>0</v>
      </c>
      <c r="AB160" s="146">
        <v>0</v>
      </c>
      <c r="AC160" s="146">
        <v>0</v>
      </c>
      <c r="AD160" s="139">
        <v>0</v>
      </c>
      <c r="AE160" s="132" t="str">
        <v>비닐팩토리 대표  운문로컬푸드 SE.1000 투명 540213347956 054-372-8181 45470394</v>
      </c>
    </row>
    <row r="161" spans="1:31">
      <c r="A161" s="132">
        <v>51</v>
      </c>
      <c r="B161" s="132" t="str">
        <v>비닐팩토리</v>
      </c>
      <c r="C161" s="132" t="str">
        <v>대표</v>
      </c>
      <c r="D161" s="132">
        <v>0</v>
      </c>
      <c r="E161" s="133">
        <v>45447</v>
      </c>
      <c r="F161" s="132" t="str">
        <v>운문로컬푸드</v>
      </c>
      <c r="G161" s="132" t="str">
        <v>530214334540</v>
      </c>
      <c r="H161" s="132" t="str">
        <v>SE.1000</v>
      </c>
      <c r="I161" s="132" t="str">
        <v>투명</v>
      </c>
      <c r="J161" s="132">
        <v>1</v>
      </c>
      <c r="K161" s="139">
        <v>0</v>
      </c>
      <c r="L161" s="139">
        <v>0</v>
      </c>
      <c r="M161" s="139">
        <v>0</v>
      </c>
      <c r="N161" s="133">
        <v>45447</v>
      </c>
      <c r="O161" s="132" t="str">
        <v>45470734</v>
      </c>
      <c r="P161" s="135">
        <v>0</v>
      </c>
      <c r="Q161" s="149">
        <v>0</v>
      </c>
      <c r="R161" s="132" t="str">
        <v>CJ대한통운</v>
      </c>
      <c r="S161" s="140">
        <v>0</v>
      </c>
      <c r="T161" s="132" t="str">
        <v>054-372-8181</v>
      </c>
      <c r="U161" s="132" t="str">
        <v>경북 청도군 운문면 운문사길 129-8 운문로컬푸드</v>
      </c>
      <c r="V161" s="132">
        <v>0</v>
      </c>
      <c r="W161" s="139">
        <v>0</v>
      </c>
      <c r="X161" s="139">
        <v>0</v>
      </c>
      <c r="Y161" s="139">
        <v>0</v>
      </c>
      <c r="Z161" s="139">
        <v>0</v>
      </c>
      <c r="AA161" s="139">
        <v>0</v>
      </c>
      <c r="AB161" s="146">
        <v>0</v>
      </c>
      <c r="AC161" s="146">
        <v>0</v>
      </c>
      <c r="AD161" s="139">
        <v>0</v>
      </c>
      <c r="AE161" s="132" t="str">
        <v>비닐팩토리 대표  운문로컬푸드 SE.1000 투명 530214334540 054-372-8181 45470734</v>
      </c>
    </row>
    <row r="162" spans="1:31">
      <c r="A162" s="132">
        <v>52</v>
      </c>
      <c r="B162" s="132" t="str">
        <v>비닐팩토리</v>
      </c>
      <c r="C162" s="132" t="str">
        <v>대표</v>
      </c>
      <c r="D162" s="132">
        <v>0</v>
      </c>
      <c r="E162" s="133">
        <v>45447</v>
      </c>
      <c r="F162" s="132" t="str">
        <v>운문로컬푸드</v>
      </c>
      <c r="G162" s="132" t="str">
        <v>530214334643</v>
      </c>
      <c r="H162" s="132" t="str">
        <v>SE.1000</v>
      </c>
      <c r="I162" s="132" t="str">
        <v>투명</v>
      </c>
      <c r="J162" s="132">
        <v>1</v>
      </c>
      <c r="K162" s="139">
        <v>0</v>
      </c>
      <c r="L162" s="139">
        <v>5500</v>
      </c>
      <c r="M162" s="139">
        <v>0</v>
      </c>
      <c r="N162" s="133">
        <v>45447</v>
      </c>
      <c r="O162" s="132" t="str">
        <v>45470770</v>
      </c>
      <c r="P162" s="135">
        <v>0</v>
      </c>
      <c r="Q162" s="149">
        <v>0</v>
      </c>
      <c r="R162" s="132" t="str">
        <v>CJ대한통운</v>
      </c>
      <c r="S162" s="140">
        <v>0</v>
      </c>
      <c r="T162" s="132" t="str">
        <v>054-372-8181</v>
      </c>
      <c r="U162" s="132" t="str">
        <v>경북 청도군 운문면 운문사길 129-8 운문로컬푸드</v>
      </c>
      <c r="V162" s="132">
        <v>0</v>
      </c>
      <c r="W162" s="139">
        <v>0</v>
      </c>
      <c r="X162" s="139">
        <v>0</v>
      </c>
      <c r="Y162" s="139">
        <v>0</v>
      </c>
      <c r="Z162" s="139">
        <v>0</v>
      </c>
      <c r="AA162" s="139">
        <v>0</v>
      </c>
      <c r="AB162" s="146">
        <v>0</v>
      </c>
      <c r="AC162" s="146">
        <v>0</v>
      </c>
      <c r="AD162" s="139">
        <v>0</v>
      </c>
      <c r="AE162" s="132" t="str">
        <v>비닐팩토리 대표  운문로컬푸드 SE.1000 투명 530214334643 054-372-8181 45470770</v>
      </c>
    </row>
    <row r="163" spans="1:31">
      <c r="A163" s="132">
        <v>53</v>
      </c>
      <c r="B163" s="132" t="str">
        <v>비닐스토리</v>
      </c>
      <c r="C163" s="132" t="str">
        <v>올웨이즈</v>
      </c>
      <c r="D163" s="132">
        <v>0</v>
      </c>
      <c r="E163" s="133">
        <v>45447</v>
      </c>
      <c r="F163" s="132" t="str">
        <v>여나</v>
      </c>
      <c r="G163" s="132" t="str">
        <v>540213347260</v>
      </c>
      <c r="H163" s="132" t="str">
        <v>SE.118</v>
      </c>
      <c r="I163" s="132" t="str">
        <v>투명</v>
      </c>
      <c r="J163" s="132">
        <v>1</v>
      </c>
      <c r="K163" s="139">
        <v>0</v>
      </c>
      <c r="L163" s="139">
        <v>3000</v>
      </c>
      <c r="M163" s="139">
        <v>0</v>
      </c>
      <c r="N163" s="133">
        <v>45447</v>
      </c>
      <c r="O163" s="132" t="str">
        <v>24060402</v>
      </c>
      <c r="P163" s="135">
        <v>0</v>
      </c>
      <c r="Q163" s="149">
        <v>0</v>
      </c>
      <c r="R163" s="132" t="str">
        <v>CJ대한통운</v>
      </c>
      <c r="S163" s="140">
        <v>0</v>
      </c>
      <c r="T163" s="132" t="str">
        <v>010-2959-1232</v>
      </c>
      <c r="U163" s="132" t="str">
        <v>울산 북구 두부곡4길 8 2층</v>
      </c>
      <c r="V163" s="132">
        <v>0</v>
      </c>
      <c r="W163" s="139">
        <v>0</v>
      </c>
      <c r="X163" s="139">
        <v>0</v>
      </c>
      <c r="Y163" s="139">
        <v>0</v>
      </c>
      <c r="Z163" s="139">
        <v>0</v>
      </c>
      <c r="AA163" s="139">
        <v>0</v>
      </c>
      <c r="AB163" s="146">
        <v>0</v>
      </c>
      <c r="AC163" s="146">
        <v>0</v>
      </c>
      <c r="AD163" s="139">
        <v>0</v>
      </c>
      <c r="AE163" s="132" t="str">
        <v>비닐스토리 올웨이즈  여나 SE.118 투명 540213347260 010-2959-1232 24060402</v>
      </c>
    </row>
    <row r="164" spans="1:31">
      <c r="A164" s="132">
        <v>54</v>
      </c>
      <c r="B164" s="132" t="str">
        <v>비닐스토리</v>
      </c>
      <c r="C164" s="132" t="str">
        <v>올웨이즈</v>
      </c>
      <c r="D164" s="132">
        <v>0</v>
      </c>
      <c r="E164" s="133">
        <v>45447</v>
      </c>
      <c r="F164" s="132" t="str">
        <v xml:space="preserve">김양순	</v>
      </c>
      <c r="G164" s="132" t="str">
        <v>530214334411</v>
      </c>
      <c r="H164" s="132" t="str">
        <v>SE.121</v>
      </c>
      <c r="I164" s="132" t="str">
        <v>투명</v>
      </c>
      <c r="J164" s="132">
        <v>1</v>
      </c>
      <c r="K164" s="139">
        <v>0</v>
      </c>
      <c r="L164" s="139">
        <v>3000</v>
      </c>
      <c r="M164" s="139">
        <v>0</v>
      </c>
      <c r="N164" s="133">
        <v>45447</v>
      </c>
      <c r="O164" s="132" t="str">
        <v>24060401</v>
      </c>
      <c r="P164" s="135">
        <v>0</v>
      </c>
      <c r="Q164" s="149">
        <v>0</v>
      </c>
      <c r="R164" s="132" t="str">
        <v>CJ대한통운</v>
      </c>
      <c r="S164" s="140">
        <v>0</v>
      </c>
      <c r="T164" s="132" t="str">
        <v>010-3637-9321</v>
      </c>
      <c r="U164" s="132" t="str">
        <v>경기 화성시 장안면 온수골1길 55-1</v>
      </c>
      <c r="V164" s="132">
        <v>0</v>
      </c>
      <c r="W164" s="139">
        <v>0</v>
      </c>
      <c r="X164" s="139">
        <v>0</v>
      </c>
      <c r="Y164" s="139">
        <v>0</v>
      </c>
      <c r="Z164" s="139">
        <v>0</v>
      </c>
      <c r="AA164" s="139">
        <v>0</v>
      </c>
      <c r="AB164" s="146">
        <v>0</v>
      </c>
      <c r="AC164" s="146">
        <v>0</v>
      </c>
      <c r="AD164" s="139">
        <v>0</v>
      </c>
      <c r="AE164" s="132" t="str">
        <v>비닐스토리 올웨이즈  김양순	 SE.121 투명 530214334411 010-3637-9321 24060401</v>
      </c>
    </row>
    <row r="165" spans="1:31">
      <c r="A165" s="132">
        <v>57</v>
      </c>
      <c r="B165" s="132" t="str">
        <v>비닐팩토리</v>
      </c>
      <c r="C165" s="132" t="str">
        <v>대표</v>
      </c>
      <c r="D165" s="132">
        <v>0</v>
      </c>
      <c r="E165" s="133">
        <v>45448</v>
      </c>
      <c r="F165" s="132" t="str">
        <v>이동한</v>
      </c>
      <c r="G165" s="132" t="str">
        <v>530215380023</v>
      </c>
      <c r="H165" s="132" t="str">
        <v>SE.1000</v>
      </c>
      <c r="I165" s="132" t="str">
        <v>투명</v>
      </c>
      <c r="J165" s="132">
        <v>3</v>
      </c>
      <c r="K165" s="139">
        <v>0</v>
      </c>
      <c r="L165" s="139">
        <v>5500</v>
      </c>
      <c r="M165" s="139">
        <v>0</v>
      </c>
      <c r="N165" s="133">
        <v>45448</v>
      </c>
      <c r="O165" s="132" t="str">
        <v>45470535</v>
      </c>
      <c r="P165" s="135">
        <v>0</v>
      </c>
      <c r="Q165" s="149">
        <v>0</v>
      </c>
      <c r="R165" s="132" t="str">
        <v>CJ대한통운</v>
      </c>
      <c r="S165" s="140">
        <v>0</v>
      </c>
      <c r="T165" s="132" t="str">
        <v>010-4902-5844</v>
      </c>
      <c r="U165" s="132" t="str">
        <v>경북 성주군 월항면 안포1길 34</v>
      </c>
      <c r="V165" s="132">
        <v>0</v>
      </c>
      <c r="W165" s="139">
        <v>0</v>
      </c>
      <c r="X165" s="139">
        <v>0</v>
      </c>
      <c r="Y165" s="139">
        <v>0</v>
      </c>
      <c r="Z165" s="139">
        <v>0</v>
      </c>
      <c r="AA165" s="139">
        <v>0</v>
      </c>
      <c r="AB165" s="146">
        <v>0</v>
      </c>
      <c r="AC165" s="146">
        <v>0</v>
      </c>
      <c r="AD165" s="139">
        <v>0</v>
      </c>
      <c r="AE165" s="132" t="str">
        <v>비닐팩토리 대표  이동한 SE.1000 투명 530215380023 010-4902-5844 45470535</v>
      </c>
    </row>
    <row r="166" spans="1:31">
      <c r="A166" s="132">
        <v>58</v>
      </c>
      <c r="B166" s="132" t="str">
        <v>비닐팩토리</v>
      </c>
      <c r="C166" s="132" t="str">
        <v>대표</v>
      </c>
      <c r="D166" s="132">
        <v>0</v>
      </c>
      <c r="E166" s="133">
        <v>45448</v>
      </c>
      <c r="F166" s="132" t="str">
        <v>이동한</v>
      </c>
      <c r="G166" s="132" t="str">
        <v>530215380001</v>
      </c>
      <c r="H166" s="132" t="str">
        <v>SE.1000</v>
      </c>
      <c r="I166" s="132" t="str">
        <v>투명</v>
      </c>
      <c r="J166" s="132">
        <v>3</v>
      </c>
      <c r="K166" s="139">
        <v>0</v>
      </c>
      <c r="L166" s="139">
        <v>5500</v>
      </c>
      <c r="M166" s="139">
        <v>0</v>
      </c>
      <c r="N166" s="133">
        <v>45448</v>
      </c>
      <c r="O166" s="132" t="str">
        <v>45470453</v>
      </c>
      <c r="P166" s="135">
        <v>0</v>
      </c>
      <c r="Q166" s="149">
        <v>0</v>
      </c>
      <c r="R166" s="132" t="str">
        <v>CJ대한통운</v>
      </c>
      <c r="S166" s="140">
        <v>0</v>
      </c>
      <c r="T166" s="132" t="str">
        <v>010-4902-5844</v>
      </c>
      <c r="U166" s="132" t="str">
        <v>경북 성주군 월항면 안포1길 34</v>
      </c>
      <c r="V166" s="132">
        <v>0</v>
      </c>
      <c r="W166" s="139">
        <v>0</v>
      </c>
      <c r="X166" s="139">
        <v>0</v>
      </c>
      <c r="Y166" s="139">
        <v>0</v>
      </c>
      <c r="Z166" s="139">
        <v>0</v>
      </c>
      <c r="AA166" s="139">
        <v>0</v>
      </c>
      <c r="AB166" s="146">
        <v>0</v>
      </c>
      <c r="AC166" s="146">
        <v>0</v>
      </c>
      <c r="AD166" s="139">
        <v>0</v>
      </c>
      <c r="AE166" s="132" t="str">
        <v>비닐팩토리 대표  이동한 SE.1000 투명 530215380001 010-4902-5844 45470453</v>
      </c>
    </row>
    <row r="167" spans="1:31">
      <c r="A167" s="132">
        <v>59</v>
      </c>
      <c r="B167" s="132" t="str">
        <v>비닐팩토리</v>
      </c>
      <c r="C167" s="132" t="str">
        <v>대표</v>
      </c>
      <c r="D167" s="132">
        <v>0</v>
      </c>
      <c r="E167" s="133">
        <v>45448</v>
      </c>
      <c r="F167" s="132" t="str">
        <v>풍년농약사</v>
      </c>
      <c r="G167" s="132" t="str">
        <v>540214280603</v>
      </c>
      <c r="H167" s="132" t="str">
        <v>SE.1000</v>
      </c>
      <c r="I167" s="132" t="str">
        <v>투명</v>
      </c>
      <c r="J167" s="132">
        <v>1</v>
      </c>
      <c r="K167" s="139">
        <v>0</v>
      </c>
      <c r="L167" s="139">
        <v>0</v>
      </c>
      <c r="M167" s="139">
        <v>0</v>
      </c>
      <c r="N167" s="133">
        <v>45448</v>
      </c>
      <c r="O167" s="132" t="str">
        <v>45470870</v>
      </c>
      <c r="P167" s="135">
        <v>0</v>
      </c>
      <c r="Q167" s="149">
        <v>0</v>
      </c>
      <c r="R167" s="132" t="str">
        <v>CJ대한통운</v>
      </c>
      <c r="S167" s="140">
        <v>0</v>
      </c>
      <c r="T167" s="132" t="str">
        <v>010-2049-5007</v>
      </c>
      <c r="U167" s="132" t="str">
        <v>경북 포항시 남구 오천읍 장기로 1688-1 풍년농약사</v>
      </c>
      <c r="V167" s="132">
        <v>0</v>
      </c>
      <c r="W167" s="139">
        <v>0</v>
      </c>
      <c r="X167" s="139">
        <v>0</v>
      </c>
      <c r="Y167" s="139">
        <v>0</v>
      </c>
      <c r="Z167" s="139">
        <v>0</v>
      </c>
      <c r="AA167" s="139">
        <v>0</v>
      </c>
      <c r="AB167" s="146">
        <v>0</v>
      </c>
      <c r="AC167" s="146">
        <v>0</v>
      </c>
      <c r="AD167" s="139">
        <v>0</v>
      </c>
      <c r="AE167" s="132" t="str">
        <v>비닐팩토리 대표  풍년농약사 SE.1000 투명 540214280603 010-2049-5007 45470870</v>
      </c>
    </row>
    <row r="168" spans="1:31">
      <c r="A168" s="132">
        <v>69</v>
      </c>
      <c r="B168" s="132" t="str">
        <v>비닐팩토리</v>
      </c>
      <c r="C168" s="132" t="str">
        <v>대표</v>
      </c>
      <c r="D168" s="132">
        <v>0</v>
      </c>
      <c r="E168" s="133">
        <v>45450</v>
      </c>
      <c r="F168" s="132" t="str">
        <v>효떡집</v>
      </c>
      <c r="G168" s="132" t="str">
        <v>540215666102</v>
      </c>
      <c r="H168" s="132" t="str">
        <v>SE.1000</v>
      </c>
      <c r="I168" s="132" t="str">
        <v>투명</v>
      </c>
      <c r="J168" s="132">
        <v>1</v>
      </c>
      <c r="K168" s="139">
        <v>0</v>
      </c>
      <c r="L168" s="139">
        <v>5500</v>
      </c>
      <c r="M168" s="139">
        <v>0</v>
      </c>
      <c r="N168" s="133">
        <v>45450</v>
      </c>
      <c r="O168" s="132" t="str">
        <v>45470585</v>
      </c>
      <c r="P168" s="135">
        <v>0</v>
      </c>
      <c r="Q168" s="149">
        <v>0</v>
      </c>
      <c r="R168" s="132" t="str">
        <v>CJ대한통운</v>
      </c>
      <c r="S168" s="140">
        <v>0</v>
      </c>
      <c r="T168" s="132" t="str">
        <v>010-2104-9556</v>
      </c>
      <c r="U168" s="132" t="str">
        <v>인천 남동구 논현동 771-7 1층 효떡집</v>
      </c>
      <c r="V168" s="132">
        <v>0</v>
      </c>
      <c r="W168" s="139">
        <v>0</v>
      </c>
      <c r="X168" s="139">
        <v>0</v>
      </c>
      <c r="Y168" s="139">
        <v>0</v>
      </c>
      <c r="Z168" s="139">
        <v>0</v>
      </c>
      <c r="AA168" s="139">
        <v>0</v>
      </c>
      <c r="AB168" s="146">
        <v>0</v>
      </c>
      <c r="AC168" s="146">
        <v>0</v>
      </c>
      <c r="AD168" s="139">
        <v>0</v>
      </c>
      <c r="AE168" s="132" t="str">
        <v>비닐팩토리 대표  효떡집 SE.1000 투명 540215666102 010-2104-9556 45470585</v>
      </c>
    </row>
    <row r="169" spans="1:31">
      <c r="A169" s="132">
        <v>70</v>
      </c>
      <c r="B169" s="132" t="str">
        <v>비닐팩토리</v>
      </c>
      <c r="C169" s="132" t="str">
        <v>대표</v>
      </c>
      <c r="D169" s="132">
        <v>0</v>
      </c>
      <c r="E169" s="133">
        <v>45450</v>
      </c>
      <c r="F169" s="132" t="str">
        <v>효떡집</v>
      </c>
      <c r="G169" s="132" t="str">
        <v>530216665551</v>
      </c>
      <c r="H169" s="132" t="str">
        <v>SE.1000</v>
      </c>
      <c r="I169" s="132" t="str">
        <v>투명</v>
      </c>
      <c r="J169" s="132">
        <v>1</v>
      </c>
      <c r="K169" s="139">
        <v>0</v>
      </c>
      <c r="L169" s="139">
        <v>0</v>
      </c>
      <c r="M169" s="139">
        <v>0</v>
      </c>
      <c r="N169" s="133">
        <v>45450</v>
      </c>
      <c r="O169" s="132" t="str">
        <v>45470121</v>
      </c>
      <c r="P169" s="135">
        <v>0</v>
      </c>
      <c r="Q169" s="149">
        <v>0</v>
      </c>
      <c r="R169" s="132" t="str">
        <v>CJ대한통운</v>
      </c>
      <c r="S169" s="140">
        <v>0</v>
      </c>
      <c r="T169" s="132" t="str">
        <v>010-2104-9556</v>
      </c>
      <c r="U169" s="132" t="str">
        <v>인천 남동구 논현동 771-7 1층 효떡집</v>
      </c>
      <c r="V169" s="132">
        <v>0</v>
      </c>
      <c r="W169" s="139">
        <v>0</v>
      </c>
      <c r="X169" s="139">
        <v>0</v>
      </c>
      <c r="Y169" s="139">
        <v>0</v>
      </c>
      <c r="Z169" s="139">
        <v>0</v>
      </c>
      <c r="AA169" s="139">
        <v>0</v>
      </c>
      <c r="AB169" s="146">
        <v>0</v>
      </c>
      <c r="AC169" s="146">
        <v>0</v>
      </c>
      <c r="AD169" s="139">
        <v>0</v>
      </c>
      <c r="AE169" s="132" t="str">
        <v>비닐팩토리 대표  효떡집 SE.1000 투명 530216665551 010-2104-9556 45470121</v>
      </c>
    </row>
    <row r="170" spans="1:31">
      <c r="A170" s="132">
        <v>71</v>
      </c>
      <c r="B170" s="132" t="str">
        <v>비닐팩토리</v>
      </c>
      <c r="C170" s="132" t="str">
        <v>대표</v>
      </c>
      <c r="D170" s="132">
        <v>0</v>
      </c>
      <c r="E170" s="133">
        <v>45450</v>
      </c>
      <c r="F170" s="132" t="str">
        <v>김필순</v>
      </c>
      <c r="G170" s="132" t="str">
        <v>540215527244</v>
      </c>
      <c r="H170" s="132" t="str">
        <v>SE.1000</v>
      </c>
      <c r="I170" s="132" t="str">
        <v>투명</v>
      </c>
      <c r="J170" s="132">
        <v>1</v>
      </c>
      <c r="K170" s="139">
        <v>0</v>
      </c>
      <c r="L170" s="139">
        <v>3000</v>
      </c>
      <c r="M170" s="139">
        <v>0</v>
      </c>
      <c r="N170" s="133">
        <v>45450</v>
      </c>
      <c r="O170" s="132" t="str">
        <v>45470272</v>
      </c>
      <c r="P170" s="135">
        <v>0</v>
      </c>
      <c r="Q170" s="149">
        <v>0</v>
      </c>
      <c r="R170" s="132" t="str">
        <v>CJ대한통운</v>
      </c>
      <c r="S170" s="140">
        <v>0</v>
      </c>
      <c r="T170" s="132" t="str">
        <v>010-6590-0696</v>
      </c>
      <c r="U170" s="132" t="str">
        <v>경남 창원시 마산합포구 현동3길 1 (창원현동엘에이치아파트) 102동 201호</v>
      </c>
      <c r="V170" s="132">
        <v>0</v>
      </c>
      <c r="W170" s="139">
        <v>0</v>
      </c>
      <c r="X170" s="139">
        <v>0</v>
      </c>
      <c r="Y170" s="139">
        <v>0</v>
      </c>
      <c r="Z170" s="139">
        <v>0</v>
      </c>
      <c r="AA170" s="139">
        <v>0</v>
      </c>
      <c r="AB170" s="146">
        <v>0</v>
      </c>
      <c r="AC170" s="146">
        <v>0</v>
      </c>
      <c r="AD170" s="139">
        <v>0</v>
      </c>
      <c r="AE170" s="132" t="str">
        <v>비닐팩토리 대표  김필순 SE.1000 투명 540215527244 010-6590-0696 45470272</v>
      </c>
    </row>
    <row r="171" spans="1:31">
      <c r="A171" s="132">
        <v>72</v>
      </c>
      <c r="B171" s="132" t="str">
        <v>비닐팩토리</v>
      </c>
      <c r="C171" s="132" t="str">
        <v>대표</v>
      </c>
      <c r="D171" s="132">
        <v>0</v>
      </c>
      <c r="E171" s="133">
        <v>45450</v>
      </c>
      <c r="F171" s="132" t="str">
        <v>효떡집</v>
      </c>
      <c r="G171" s="132" t="str">
        <v>540215666216</v>
      </c>
      <c r="H171" s="132" t="str">
        <v>SE.1000</v>
      </c>
      <c r="I171" s="132" t="str">
        <v>투명</v>
      </c>
      <c r="J171" s="132">
        <v>1</v>
      </c>
      <c r="K171" s="139">
        <v>0</v>
      </c>
      <c r="L171" s="139">
        <v>0</v>
      </c>
      <c r="M171" s="139">
        <v>0</v>
      </c>
      <c r="N171" s="133">
        <v>45450</v>
      </c>
      <c r="O171" s="132" t="str">
        <v>45470646</v>
      </c>
      <c r="P171" s="135">
        <v>0</v>
      </c>
      <c r="Q171" s="149">
        <v>0</v>
      </c>
      <c r="R171" s="132" t="str">
        <v>CJ대한통운</v>
      </c>
      <c r="S171" s="140">
        <v>0</v>
      </c>
      <c r="T171" s="132" t="str">
        <v>010-2104-9556</v>
      </c>
      <c r="U171" s="132" t="str">
        <v>인천 남동구 논현동 771-7 1층 효떡집</v>
      </c>
      <c r="V171" s="132">
        <v>0</v>
      </c>
      <c r="W171" s="139">
        <v>0</v>
      </c>
      <c r="X171" s="139">
        <v>0</v>
      </c>
      <c r="Y171" s="139">
        <v>0</v>
      </c>
      <c r="Z171" s="139">
        <v>0</v>
      </c>
      <c r="AA171" s="139">
        <v>0</v>
      </c>
      <c r="AB171" s="146">
        <v>0</v>
      </c>
      <c r="AC171" s="146">
        <v>0</v>
      </c>
      <c r="AD171" s="139">
        <v>0</v>
      </c>
      <c r="AE171" s="132" t="str">
        <v>비닐팩토리 대표  효떡집 SE.1000 투명 540215666216 010-2104-9556 45470646</v>
      </c>
    </row>
    <row r="172" spans="1:31">
      <c r="A172" s="132">
        <v>88</v>
      </c>
      <c r="B172" s="132" t="str">
        <v>비닐팩토리</v>
      </c>
      <c r="C172" s="132" t="str">
        <v>대표</v>
      </c>
      <c r="D172" s="132">
        <v>0</v>
      </c>
      <c r="E172" s="133">
        <v>45453</v>
      </c>
      <c r="F172" s="132" t="str">
        <v>동해수산</v>
      </c>
      <c r="G172" s="132" t="str">
        <v>530218428490</v>
      </c>
      <c r="H172" s="132" t="str">
        <v>SE.1000</v>
      </c>
      <c r="I172" s="132" t="str">
        <v>투명</v>
      </c>
      <c r="J172" s="132">
        <v>1</v>
      </c>
      <c r="K172" s="139">
        <v>0</v>
      </c>
      <c r="L172" s="139">
        <v>5500</v>
      </c>
      <c r="M172" s="139">
        <v>0</v>
      </c>
      <c r="N172" s="133">
        <v>45453</v>
      </c>
      <c r="O172" s="132" t="str">
        <v>45470688</v>
      </c>
      <c r="P172" s="135">
        <v>0</v>
      </c>
      <c r="Q172" s="149">
        <v>0</v>
      </c>
      <c r="R172" s="132" t="str">
        <v>CJ대한통운</v>
      </c>
      <c r="S172" s="140">
        <v>0</v>
      </c>
      <c r="T172" s="132" t="str">
        <v>010-6313-8011</v>
      </c>
      <c r="U172" s="132" t="str">
        <v>대구 동구 아양로37길 31 동서시장내 동해수산</v>
      </c>
      <c r="V172" s="132">
        <v>0</v>
      </c>
      <c r="W172" s="139">
        <v>0</v>
      </c>
      <c r="X172" s="139">
        <v>0</v>
      </c>
      <c r="Y172" s="139">
        <v>0</v>
      </c>
      <c r="Z172" s="139">
        <v>0</v>
      </c>
      <c r="AA172" s="139">
        <v>0</v>
      </c>
      <c r="AB172" s="146">
        <v>0</v>
      </c>
      <c r="AC172" s="146">
        <v>0</v>
      </c>
      <c r="AD172" s="139">
        <v>0</v>
      </c>
      <c r="AE172" s="132" t="str">
        <v>비닐팩토리 대표  동해수산 SE.1000 투명 530218428490 010-6313-8011 45470688</v>
      </c>
    </row>
    <row r="173" spans="1:31">
      <c r="A173" s="132">
        <v>89</v>
      </c>
      <c r="B173" s="132" t="str">
        <v>비닐팩토리</v>
      </c>
      <c r="C173" s="132" t="str">
        <v>대표</v>
      </c>
      <c r="D173" s="132">
        <v>0</v>
      </c>
      <c r="E173" s="133">
        <v>45453</v>
      </c>
      <c r="F173" s="132" t="str">
        <v>동해수산</v>
      </c>
      <c r="G173" s="132" t="str">
        <v>530218428431</v>
      </c>
      <c r="H173" s="132" t="str">
        <v>SE.1000</v>
      </c>
      <c r="I173" s="132" t="str">
        <v>투명</v>
      </c>
      <c r="J173" s="132">
        <v>1</v>
      </c>
      <c r="K173" s="139">
        <v>0</v>
      </c>
      <c r="L173" s="139">
        <v>5500</v>
      </c>
      <c r="M173" s="139">
        <v>0</v>
      </c>
      <c r="N173" s="133">
        <v>45453</v>
      </c>
      <c r="O173" s="132" t="str">
        <v>45470625</v>
      </c>
      <c r="P173" s="135">
        <v>0</v>
      </c>
      <c r="Q173" s="149">
        <v>0</v>
      </c>
      <c r="R173" s="132" t="str">
        <v>CJ대한통운</v>
      </c>
      <c r="S173" s="140">
        <v>0</v>
      </c>
      <c r="T173" s="132" t="str">
        <v>010-6313-8011</v>
      </c>
      <c r="U173" s="132" t="str">
        <v>대구 동구 아양로37길 31 동서시장내 동해수산</v>
      </c>
      <c r="V173" s="132">
        <v>0</v>
      </c>
      <c r="W173" s="139">
        <v>0</v>
      </c>
      <c r="X173" s="139">
        <v>0</v>
      </c>
      <c r="Y173" s="139">
        <v>0</v>
      </c>
      <c r="Z173" s="139">
        <v>0</v>
      </c>
      <c r="AA173" s="139">
        <v>0</v>
      </c>
      <c r="AB173" s="146">
        <v>0</v>
      </c>
      <c r="AC173" s="146">
        <v>0</v>
      </c>
      <c r="AD173" s="139">
        <v>0</v>
      </c>
      <c r="AE173" s="132" t="str">
        <v>비닐팩토리 대표  동해수산 SE.1000 투명 530218428431 010-6313-8011 45470625</v>
      </c>
    </row>
    <row r="174" spans="1:31">
      <c r="A174" s="132">
        <v>114</v>
      </c>
      <c r="B174" s="132" t="str">
        <v>비닐팩토리</v>
      </c>
      <c r="C174" s="132" t="str">
        <v>대표</v>
      </c>
      <c r="D174" s="132">
        <v>0</v>
      </c>
      <c r="E174" s="133">
        <v>45454</v>
      </c>
      <c r="F174" s="132" t="str">
        <v>경북고추방앗간</v>
      </c>
      <c r="G174" s="132" t="str">
        <v>540218460281</v>
      </c>
      <c r="H174" s="132" t="str">
        <v>SE.1000</v>
      </c>
      <c r="I174" s="132" t="str">
        <v>투명</v>
      </c>
      <c r="J174" s="132">
        <v>1</v>
      </c>
      <c r="K174" s="139">
        <v>0</v>
      </c>
      <c r="L174" s="139">
        <v>3500</v>
      </c>
      <c r="M174" s="139">
        <v>0</v>
      </c>
      <c r="N174" s="133">
        <v>45454</v>
      </c>
      <c r="O174" s="132" t="str">
        <v>45470670</v>
      </c>
      <c r="P174" s="135">
        <v>0</v>
      </c>
      <c r="Q174" s="149">
        <v>0</v>
      </c>
      <c r="R174" s="132" t="str">
        <v>CJ대한통운</v>
      </c>
      <c r="S174" s="140">
        <v>0</v>
      </c>
      <c r="T174" s="132" t="str">
        <v>010-3539-1432</v>
      </c>
      <c r="U174" s="132" t="str">
        <v>대구 달성군 유가읍 유가길 5 경북고추방앗간</v>
      </c>
      <c r="V174" s="132">
        <v>0</v>
      </c>
      <c r="W174" s="139">
        <v>0</v>
      </c>
      <c r="X174" s="139">
        <v>0</v>
      </c>
      <c r="Y174" s="139">
        <v>0</v>
      </c>
      <c r="Z174" s="139">
        <v>0</v>
      </c>
      <c r="AA174" s="139">
        <v>0</v>
      </c>
      <c r="AB174" s="146">
        <v>0</v>
      </c>
      <c r="AC174" s="146">
        <v>0</v>
      </c>
      <c r="AD174" s="139">
        <v>0</v>
      </c>
      <c r="AE174" s="132" t="str">
        <v>비닐팩토리 대표  경북고추방앗간 SE.1000 투명 540218460281 010-3539-1432 45470670</v>
      </c>
    </row>
    <row r="175" spans="1:31">
      <c r="A175" s="132">
        <v>115</v>
      </c>
      <c r="B175" s="132" t="str">
        <v>비닐팩토리</v>
      </c>
      <c r="C175" s="132" t="str">
        <v>대표</v>
      </c>
      <c r="D175" s="132">
        <v>0</v>
      </c>
      <c r="E175" s="133">
        <v>45454</v>
      </c>
      <c r="F175" s="132" t="str">
        <v>진흥자재백화점</v>
      </c>
      <c r="G175" s="132" t="str">
        <v>540218448646</v>
      </c>
      <c r="H175" s="132" t="str">
        <v>SE.1000</v>
      </c>
      <c r="I175" s="132" t="str">
        <v>투명</v>
      </c>
      <c r="J175" s="132">
        <v>1</v>
      </c>
      <c r="K175" s="139">
        <v>0</v>
      </c>
      <c r="L175" s="139">
        <v>0</v>
      </c>
      <c r="M175" s="139">
        <v>0</v>
      </c>
      <c r="N175" s="133">
        <v>45454</v>
      </c>
      <c r="O175" s="132" t="str">
        <v>45470736</v>
      </c>
      <c r="P175" s="135">
        <v>0</v>
      </c>
      <c r="Q175" s="149">
        <v>0</v>
      </c>
      <c r="R175" s="132" t="str">
        <v>CJ대한통운</v>
      </c>
      <c r="S175" s="140">
        <v>0</v>
      </c>
      <c r="T175" s="132" t="str">
        <v>010-7511-6954</v>
      </c>
      <c r="U175" s="132" t="str">
        <v>경북 경주시 산내면 의곡중앙길 6</v>
      </c>
      <c r="V175" s="132">
        <v>0</v>
      </c>
      <c r="W175" s="139">
        <v>0</v>
      </c>
      <c r="X175" s="139">
        <v>0</v>
      </c>
      <c r="Y175" s="139">
        <v>0</v>
      </c>
      <c r="Z175" s="139">
        <v>0</v>
      </c>
      <c r="AA175" s="139">
        <v>0</v>
      </c>
      <c r="AB175" s="146">
        <v>0</v>
      </c>
      <c r="AC175" s="146">
        <v>0</v>
      </c>
      <c r="AD175" s="139">
        <v>0</v>
      </c>
      <c r="AE175" s="132" t="str">
        <v>비닐팩토리 대표  진흥자재백화점 SE.1000 투명 540218448646 010-7511-6954 45470736</v>
      </c>
    </row>
    <row r="176" spans="1:31">
      <c r="A176" s="132">
        <v>116</v>
      </c>
      <c r="B176" s="132" t="str">
        <v>비닐팩토리</v>
      </c>
      <c r="C176" s="132" t="str">
        <v>대표</v>
      </c>
      <c r="D176" s="132">
        <v>0</v>
      </c>
      <c r="E176" s="133">
        <v>45454</v>
      </c>
      <c r="F176" s="132" t="str">
        <v>알프스채소</v>
      </c>
      <c r="G176" s="132" t="str">
        <v>540218442066</v>
      </c>
      <c r="H176" s="132" t="str">
        <v>SE.1000</v>
      </c>
      <c r="I176" s="132" t="str">
        <v>투명</v>
      </c>
      <c r="J176" s="132">
        <v>1</v>
      </c>
      <c r="K176" s="139">
        <v>0</v>
      </c>
      <c r="L176" s="139">
        <v>0</v>
      </c>
      <c r="M176" s="139">
        <v>0</v>
      </c>
      <c r="N176" s="133">
        <v>45454</v>
      </c>
      <c r="O176" s="132" t="str">
        <v>45470376</v>
      </c>
      <c r="P176" s="135">
        <v>0</v>
      </c>
      <c r="Q176" s="149">
        <v>0</v>
      </c>
      <c r="R176" s="132" t="str">
        <v>CJ대한통운</v>
      </c>
      <c r="S176" s="140">
        <v>0</v>
      </c>
      <c r="T176" s="132" t="str">
        <v>010-9321-7001</v>
      </c>
      <c r="U176" s="132" t="str">
        <v>울산 울주군 언양읍 남부리 336-14 공설시장안쪽</v>
      </c>
      <c r="V176" s="132">
        <v>0</v>
      </c>
      <c r="W176" s="139">
        <v>0</v>
      </c>
      <c r="X176" s="139">
        <v>0</v>
      </c>
      <c r="Y176" s="139">
        <v>0</v>
      </c>
      <c r="Z176" s="139">
        <v>0</v>
      </c>
      <c r="AA176" s="139">
        <v>0</v>
      </c>
      <c r="AB176" s="146">
        <v>0</v>
      </c>
      <c r="AC176" s="146">
        <v>0</v>
      </c>
      <c r="AD176" s="139">
        <v>0</v>
      </c>
      <c r="AE176" s="132" t="str">
        <v>비닐팩토리 대표  알프스채소 SE.1000 투명 540218442066 010-9321-7001 45470376</v>
      </c>
    </row>
    <row r="177" spans="1:31">
      <c r="A177" s="132">
        <v>117</v>
      </c>
      <c r="B177" s="132" t="str">
        <v>비닐팩토리</v>
      </c>
      <c r="C177" s="132" t="str">
        <v>대표</v>
      </c>
      <c r="D177" s="132">
        <v>0</v>
      </c>
      <c r="E177" s="133">
        <v>45454</v>
      </c>
      <c r="F177" s="132" t="str">
        <v>진흥자재백화점</v>
      </c>
      <c r="G177" s="132" t="str">
        <v>540218442103</v>
      </c>
      <c r="H177" s="132" t="str">
        <v>SE.1000</v>
      </c>
      <c r="I177" s="132" t="str">
        <v>투명</v>
      </c>
      <c r="J177" s="132">
        <v>1</v>
      </c>
      <c r="K177" s="139">
        <v>0</v>
      </c>
      <c r="L177" s="139">
        <v>0</v>
      </c>
      <c r="M177" s="139">
        <v>0</v>
      </c>
      <c r="N177" s="133">
        <v>45454</v>
      </c>
      <c r="O177" s="132" t="str">
        <v>45470581</v>
      </c>
      <c r="P177" s="135">
        <v>0</v>
      </c>
      <c r="Q177" s="149">
        <v>0</v>
      </c>
      <c r="R177" s="132" t="str">
        <v>CJ대한통운</v>
      </c>
      <c r="S177" s="140">
        <v>0</v>
      </c>
      <c r="T177" s="132" t="str">
        <v>010-7511-6954</v>
      </c>
      <c r="U177" s="132" t="str">
        <v>경북 경주시 산내면 의곡중앙길 6</v>
      </c>
      <c r="V177" s="132">
        <v>0</v>
      </c>
      <c r="W177" s="139">
        <v>0</v>
      </c>
      <c r="X177" s="139">
        <v>0</v>
      </c>
      <c r="Y177" s="139">
        <v>0</v>
      </c>
      <c r="Z177" s="139">
        <v>0</v>
      </c>
      <c r="AA177" s="139">
        <v>0</v>
      </c>
      <c r="AB177" s="146">
        <v>0</v>
      </c>
      <c r="AC177" s="146">
        <v>0</v>
      </c>
      <c r="AD177" s="139">
        <v>0</v>
      </c>
      <c r="AE177" s="132" t="str">
        <v>비닐팩토리 대표  진흥자재백화점 SE.1000 투명 540218442103 010-7511-6954 45470581</v>
      </c>
    </row>
    <row r="178" spans="1:31">
      <c r="A178" s="132">
        <v>118</v>
      </c>
      <c r="B178" s="132" t="str">
        <v>비닐팩토리</v>
      </c>
      <c r="C178" s="132" t="str">
        <v>대표</v>
      </c>
      <c r="D178" s="132">
        <v>0</v>
      </c>
      <c r="E178" s="133">
        <v>45454</v>
      </c>
      <c r="F178" s="132" t="str">
        <v>경북고추방앗간</v>
      </c>
      <c r="G178" s="132" t="str">
        <v>540218442173</v>
      </c>
      <c r="H178" s="132" t="str">
        <v>SE.1000</v>
      </c>
      <c r="I178" s="132" t="str">
        <v>투명</v>
      </c>
      <c r="J178" s="132">
        <v>1</v>
      </c>
      <c r="K178" s="139">
        <v>0</v>
      </c>
      <c r="L178" s="139">
        <v>0</v>
      </c>
      <c r="M178" s="139">
        <v>0</v>
      </c>
      <c r="N178" s="133">
        <v>45454</v>
      </c>
      <c r="O178" s="132" t="str">
        <v>45470272</v>
      </c>
      <c r="P178" s="135">
        <v>0</v>
      </c>
      <c r="Q178" s="149">
        <v>0</v>
      </c>
      <c r="R178" s="132" t="str">
        <v>CJ대한통운</v>
      </c>
      <c r="S178" s="140">
        <v>0</v>
      </c>
      <c r="T178" s="132" t="str">
        <v>010-3539-1432</v>
      </c>
      <c r="U178" s="132" t="str">
        <v>대구 달성군 유가읍 유가길 5 경북고추방앗간</v>
      </c>
      <c r="V178" s="132">
        <v>0</v>
      </c>
      <c r="W178" s="139">
        <v>0</v>
      </c>
      <c r="X178" s="139">
        <v>0</v>
      </c>
      <c r="Y178" s="139">
        <v>0</v>
      </c>
      <c r="Z178" s="139">
        <v>0</v>
      </c>
      <c r="AA178" s="139">
        <v>0</v>
      </c>
      <c r="AB178" s="146">
        <v>0</v>
      </c>
      <c r="AC178" s="146">
        <v>0</v>
      </c>
      <c r="AD178" s="139">
        <v>1</v>
      </c>
      <c r="AE178" s="132" t="str">
        <v>비닐팩토리 대표  경북고추방앗간 SE.1000 투명 540218442173 010-3539-1432 45470272</v>
      </c>
    </row>
    <row r="179" spans="1:31">
      <c r="A179" s="132">
        <v>119</v>
      </c>
      <c r="B179" s="132" t="str">
        <v>비닐팩토리</v>
      </c>
      <c r="C179" s="132" t="str">
        <v>대표</v>
      </c>
      <c r="D179" s="132">
        <v>0</v>
      </c>
      <c r="E179" s="133">
        <v>45454</v>
      </c>
      <c r="F179" s="132" t="str">
        <v>제일농수산(만대로)</v>
      </c>
      <c r="G179" s="132" t="str">
        <v>530219497014</v>
      </c>
      <c r="H179" s="132" t="str">
        <v>SE.1000</v>
      </c>
      <c r="I179" s="132" t="str">
        <v>투명</v>
      </c>
      <c r="J179" s="132">
        <v>1</v>
      </c>
      <c r="K179" s="139">
        <v>0</v>
      </c>
      <c r="L179" s="139">
        <v>0</v>
      </c>
      <c r="M179" s="139">
        <v>0</v>
      </c>
      <c r="N179" s="133">
        <v>45454</v>
      </c>
      <c r="O179" s="132" t="str">
        <v>45470139</v>
      </c>
      <c r="P179" s="135">
        <v>0</v>
      </c>
      <c r="Q179" s="149">
        <v>0</v>
      </c>
      <c r="R179" s="132" t="str">
        <v>CJ대한통운</v>
      </c>
      <c r="S179" s="140">
        <v>0</v>
      </c>
      <c r="T179" s="132" t="str">
        <v>010-4194-9303</v>
      </c>
      <c r="U179" s="132" t="str">
        <v>강원특별자치도 원주시 만대로 119 (원주무실6단지휴먼시아) 604동 101호</v>
      </c>
      <c r="V179" s="132">
        <v>0</v>
      </c>
      <c r="W179" s="139">
        <v>0</v>
      </c>
      <c r="X179" s="139">
        <v>0</v>
      </c>
      <c r="Y179" s="139">
        <v>0</v>
      </c>
      <c r="Z179" s="139">
        <v>0</v>
      </c>
      <c r="AA179" s="139">
        <v>0</v>
      </c>
      <c r="AB179" s="146">
        <v>0</v>
      </c>
      <c r="AC179" s="146">
        <v>0</v>
      </c>
      <c r="AD179" s="139">
        <v>0</v>
      </c>
      <c r="AE179" s="132" t="str">
        <v>비닐팩토리 대표  제일농수산(만대로) SE.1000 투명 530219497014 010-4194-9303 45470139</v>
      </c>
    </row>
    <row r="180" spans="1:31">
      <c r="A180" s="132">
        <v>120</v>
      </c>
      <c r="B180" s="132" t="str">
        <v>비닐팩토리</v>
      </c>
      <c r="C180" s="132" t="str">
        <v>대표</v>
      </c>
      <c r="D180" s="132">
        <v>0</v>
      </c>
      <c r="E180" s="133">
        <v>45454</v>
      </c>
      <c r="F180" s="132" t="str">
        <v>제일농수산(만대로)</v>
      </c>
      <c r="G180" s="132" t="str">
        <v>540218431920</v>
      </c>
      <c r="H180" s="132" t="str">
        <v>SE.1000</v>
      </c>
      <c r="I180" s="132" t="str">
        <v>투명</v>
      </c>
      <c r="J180" s="132">
        <v>1</v>
      </c>
      <c r="K180" s="139">
        <v>0</v>
      </c>
      <c r="L180" s="139">
        <v>0</v>
      </c>
      <c r="M180" s="139">
        <v>0</v>
      </c>
      <c r="N180" s="133">
        <v>45454</v>
      </c>
      <c r="O180" s="132" t="str">
        <v>45470873</v>
      </c>
      <c r="P180" s="135">
        <v>0</v>
      </c>
      <c r="Q180" s="149">
        <v>0</v>
      </c>
      <c r="R180" s="132" t="str">
        <v>CJ대한통운</v>
      </c>
      <c r="S180" s="140">
        <v>0</v>
      </c>
      <c r="T180" s="132" t="str">
        <v>010-4194-9303</v>
      </c>
      <c r="U180" s="132" t="str">
        <v>강원특별자치도 원주시 만대로 119 (원주무실6단지휴먼시아) 604동 101호</v>
      </c>
      <c r="V180" s="132">
        <v>0</v>
      </c>
      <c r="W180" s="139">
        <v>0</v>
      </c>
      <c r="X180" s="139">
        <v>0</v>
      </c>
      <c r="Y180" s="139">
        <v>0</v>
      </c>
      <c r="Z180" s="139">
        <v>0</v>
      </c>
      <c r="AA180" s="139">
        <v>0</v>
      </c>
      <c r="AB180" s="146">
        <v>0</v>
      </c>
      <c r="AC180" s="146">
        <v>0</v>
      </c>
      <c r="AD180" s="139">
        <v>0</v>
      </c>
      <c r="AE180" s="132" t="str">
        <v>비닐팩토리 대표  제일농수산(만대로) SE.1000 투명 540218431920 010-4194-9303 45470873</v>
      </c>
    </row>
    <row r="181" spans="1:31">
      <c r="A181" s="132">
        <v>121</v>
      </c>
      <c r="B181" s="132" t="str">
        <v>비닐팩토리</v>
      </c>
      <c r="C181" s="132" t="str">
        <v>대표</v>
      </c>
      <c r="D181" s="132">
        <v>0</v>
      </c>
      <c r="E181" s="133">
        <v>45454</v>
      </c>
      <c r="F181" s="132" t="str">
        <v>제일농수산(만대로)</v>
      </c>
      <c r="G181" s="132" t="str">
        <v>540218431964</v>
      </c>
      <c r="H181" s="132" t="str">
        <v>SE.1000</v>
      </c>
      <c r="I181" s="132" t="str">
        <v>투명</v>
      </c>
      <c r="J181" s="132">
        <v>1</v>
      </c>
      <c r="K181" s="139">
        <v>0</v>
      </c>
      <c r="L181" s="139">
        <v>0</v>
      </c>
      <c r="M181" s="139">
        <v>0</v>
      </c>
      <c r="N181" s="133">
        <v>45454</v>
      </c>
      <c r="O181" s="132" t="str">
        <v>45470966</v>
      </c>
      <c r="P181" s="135">
        <v>0</v>
      </c>
      <c r="Q181" s="149">
        <v>0</v>
      </c>
      <c r="R181" s="132" t="str">
        <v>CJ대한통운</v>
      </c>
      <c r="S181" s="140">
        <v>0</v>
      </c>
      <c r="T181" s="132" t="str">
        <v>010-4194-9303</v>
      </c>
      <c r="U181" s="132" t="str">
        <v>강원특별자치도 원주시 만대로 119 (원주무실6단지휴먼시아) 604동 101호</v>
      </c>
      <c r="V181" s="132">
        <v>0</v>
      </c>
      <c r="W181" s="139">
        <v>0</v>
      </c>
      <c r="X181" s="139">
        <v>0</v>
      </c>
      <c r="Y181" s="139">
        <v>0</v>
      </c>
      <c r="Z181" s="139">
        <v>0</v>
      </c>
      <c r="AA181" s="139">
        <v>0</v>
      </c>
      <c r="AB181" s="146">
        <v>0</v>
      </c>
      <c r="AC181" s="146">
        <v>0</v>
      </c>
      <c r="AD181" s="139">
        <v>0</v>
      </c>
      <c r="AE181" s="132" t="str">
        <v>비닐팩토리 대표  제일농수산(만대로) SE.1000 투명 540218431964 010-4194-9303 45470966</v>
      </c>
    </row>
    <row r="182" spans="1:31">
      <c r="A182" s="132">
        <v>138</v>
      </c>
      <c r="B182" s="132" t="str">
        <v>비닐팩토리</v>
      </c>
      <c r="C182" s="132" t="str">
        <v>대표</v>
      </c>
      <c r="D182" s="132">
        <v>0</v>
      </c>
      <c r="E182" s="133">
        <v>45455</v>
      </c>
      <c r="F182" s="132" t="str">
        <v>최윤애</v>
      </c>
      <c r="G182" s="132" t="str">
        <v>530220372843</v>
      </c>
      <c r="H182" s="132" t="str">
        <v>SE.1000</v>
      </c>
      <c r="I182" s="132" t="str">
        <v>투명</v>
      </c>
      <c r="J182" s="132">
        <v>1</v>
      </c>
      <c r="K182" s="139">
        <v>0</v>
      </c>
      <c r="L182" s="139">
        <v>4400</v>
      </c>
      <c r="M182" s="139">
        <v>0</v>
      </c>
      <c r="N182" s="133">
        <v>45455</v>
      </c>
      <c r="O182" s="132" t="str">
        <v>45470808</v>
      </c>
      <c r="P182" s="135">
        <v>0</v>
      </c>
      <c r="Q182" s="149">
        <v>0</v>
      </c>
      <c r="R182" s="132" t="str">
        <v>CJ대한통운</v>
      </c>
      <c r="S182" s="140">
        <v>0</v>
      </c>
      <c r="T182" s="132" t="str">
        <v>010-3358-2715</v>
      </c>
      <c r="U182" s="132" t="str">
        <v>강원특별자치도 원주시 지정면 신지정로 153-2</v>
      </c>
      <c r="V182" s="132">
        <v>0</v>
      </c>
      <c r="W182" s="139">
        <v>0</v>
      </c>
      <c r="X182" s="139">
        <v>0</v>
      </c>
      <c r="Y182" s="139">
        <v>0</v>
      </c>
      <c r="Z182" s="139">
        <v>0</v>
      </c>
      <c r="AA182" s="139">
        <v>0</v>
      </c>
      <c r="AB182" s="146">
        <v>0</v>
      </c>
      <c r="AC182" s="146">
        <v>0</v>
      </c>
      <c r="AD182" s="139">
        <v>0</v>
      </c>
      <c r="AE182" s="132" t="str">
        <v>비닐팩토리 대표  최윤애 SE.1000 투명 530220372843 010-3358-2715 45470808</v>
      </c>
    </row>
    <row r="183" spans="1:31">
      <c r="A183" s="132">
        <v>148</v>
      </c>
      <c r="B183" s="132" t="str">
        <v>비닐팩토리</v>
      </c>
      <c r="C183" s="132" t="str">
        <v>대표</v>
      </c>
      <c r="D183" s="132">
        <v>0</v>
      </c>
      <c r="E183" s="133">
        <v>45456</v>
      </c>
      <c r="F183" s="132" t="str">
        <v>빅팜 주식회사</v>
      </c>
      <c r="G183" s="132" t="str">
        <v>530220762684</v>
      </c>
      <c r="H183" s="132" t="str">
        <v>SE.1000</v>
      </c>
      <c r="I183" s="132" t="str">
        <v>투명</v>
      </c>
      <c r="J183" s="132">
        <v>1</v>
      </c>
      <c r="K183" s="139">
        <v>0</v>
      </c>
      <c r="L183" s="139">
        <v>0</v>
      </c>
      <c r="M183" s="139">
        <v>0</v>
      </c>
      <c r="N183" s="133">
        <v>45456</v>
      </c>
      <c r="O183" s="132" t="str">
        <v>45470469</v>
      </c>
      <c r="P183" s="135">
        <v>0</v>
      </c>
      <c r="Q183" s="149">
        <v>0</v>
      </c>
      <c r="R183" s="132" t="str">
        <v>CJ대한통운</v>
      </c>
      <c r="S183" s="140">
        <v>0</v>
      </c>
      <c r="T183" s="132" t="str">
        <v>053-795-8868</v>
      </c>
      <c r="U183" s="132" t="str">
        <v>대구 수성구 달구벌대로568길 6</v>
      </c>
      <c r="V183" s="132">
        <v>0</v>
      </c>
      <c r="W183" s="139">
        <v>0</v>
      </c>
      <c r="X183" s="139">
        <v>0</v>
      </c>
      <c r="Y183" s="139">
        <v>0</v>
      </c>
      <c r="Z183" s="139">
        <v>0</v>
      </c>
      <c r="AA183" s="139">
        <v>0</v>
      </c>
      <c r="AB183" s="146">
        <v>0</v>
      </c>
      <c r="AC183" s="146">
        <v>0</v>
      </c>
      <c r="AD183" s="139">
        <v>1</v>
      </c>
      <c r="AE183" s="132" t="str">
        <v>비닐팩토리 대표  빅팜 주식회사 SE.1000 투명 530220762684 053-795-8868 45470469</v>
      </c>
    </row>
  </sheetData>
  <mergeCells count="1">
    <mergeCell ref="C2:H2"/>
  </mergeCells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txtSheetSearch">
          <controlPr defaultSize="0" autoLine="0" autoPict="0" linkedCell="B1" r:id="rId4">
            <anchor moveWithCells="1">
              <from>
                <xdr:col>2</xdr:col>
                <xdr:colOff>485775</xdr:colOff>
                <xdr:row>1</xdr:row>
                <xdr:rowOff>133350</xdr:rowOff>
              </from>
              <to>
                <xdr:col>6</xdr:col>
                <xdr:colOff>695325</xdr:colOff>
                <xdr:row>1</xdr:row>
                <xdr:rowOff>390525</xdr:rowOff>
              </to>
            </anchor>
          </controlPr>
        </control>
      </mc:Choice>
      <mc:Fallback>
        <control shapeId="7175" r:id="rId3" name="txtSheetSearch"/>
      </mc:Fallback>
    </mc:AlternateContent>
    <mc:AlternateContent xmlns:mc="http://schemas.openxmlformats.org/markup-compatibility/2006">
      <mc:Choice Requires="x14">
        <control shapeId="7170" r:id="rId5" name="Drop Down 2">
          <controlPr defaultSize="0" autoLine="0" autoPict="0">
            <anchor moveWithCells="1">
              <from>
                <xdr:col>9</xdr:col>
                <xdr:colOff>142875</xdr:colOff>
                <xdr:row>1</xdr:row>
                <xdr:rowOff>142875</xdr:rowOff>
              </from>
              <to>
                <xdr:col>11</xdr:col>
                <xdr:colOff>0</xdr:colOff>
                <xdr:row>1</xdr:row>
                <xdr:rowOff>352425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1" r:id="rId6" name="Drop Down 3">
          <controlPr defaultSize="0" autoLine="0" autoPict="0">
            <anchor moveWithCells="1">
              <from>
                <xdr:col>11</xdr:col>
                <xdr:colOff>219075</xdr:colOff>
                <xdr:row>1</xdr:row>
                <xdr:rowOff>142875</xdr:rowOff>
              </from>
              <to>
                <xdr:col>12</xdr:col>
                <xdr:colOff>171450</xdr:colOff>
                <xdr:row>1</xdr:row>
                <xdr:rowOff>352425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5B9D-67C4-4403-8E53-AC58C3DB2E60}">
  <sheetPr codeName="Sheet3">
    <tabColor rgb="FFFF3938"/>
  </sheetPr>
  <dimension ref="A1:BE178"/>
  <sheetViews>
    <sheetView topLeftCell="A13" workbookViewId="0">
      <selection activeCell="S7" sqref="S7"/>
    </sheetView>
  </sheetViews>
  <sheetFormatPr defaultRowHeight="16.5"/>
  <cols>
    <col min="1" max="1" width="5.875" style="99" customWidth="1"/>
    <col min="2" max="2" width="5.25" style="99" customWidth="1"/>
    <col min="3" max="3" width="5.375" style="99" customWidth="1"/>
    <col min="4" max="4" width="3.625" style="99" customWidth="1"/>
    <col min="5" max="6" width="3.625" style="97" customWidth="1"/>
    <col min="7" max="8" width="7.625" style="97" customWidth="1"/>
    <col min="9" max="10" width="3.625" style="97" customWidth="1"/>
    <col min="11" max="11" width="8.75" style="97" bestFit="1" customWidth="1"/>
    <col min="12" max="17" width="3.625" style="97" customWidth="1"/>
    <col min="18" max="18" width="3.625" style="104" customWidth="1"/>
    <col min="19" max="20" width="3.625" style="106" customWidth="1"/>
    <col min="21" max="21" width="4.5" style="99" bestFit="1" customWidth="1"/>
    <col min="22" max="22" width="5.75" style="99" bestFit="1" customWidth="1"/>
    <col min="23" max="23" width="6" style="109" bestFit="1" customWidth="1"/>
    <col min="24" max="24" width="6.125" style="99" customWidth="1"/>
    <col min="25" max="27" width="3.625" style="99" customWidth="1"/>
    <col min="28" max="28" width="21.375" bestFit="1" customWidth="1"/>
    <col min="29" max="29" width="37.375" customWidth="1"/>
    <col min="30" max="30" width="81" bestFit="1" customWidth="1"/>
    <col min="31" max="31" width="7.5" bestFit="1" customWidth="1"/>
    <col min="32" max="32" width="11.875" bestFit="1" customWidth="1"/>
    <col min="33" max="33" width="13.875" bestFit="1" customWidth="1"/>
    <col min="34" max="34" width="13.75" bestFit="1" customWidth="1"/>
    <col min="35" max="35" width="13.25" bestFit="1" customWidth="1"/>
    <col min="36" max="36" width="11.25" bestFit="1" customWidth="1"/>
    <col min="37" max="37" width="18.75" bestFit="1" customWidth="1"/>
    <col min="38" max="38" width="18.75" style="95" bestFit="1" customWidth="1"/>
    <col min="39" max="39" width="22.75" bestFit="1" customWidth="1"/>
    <col min="40" max="40" width="19.375" bestFit="1" customWidth="1"/>
    <col min="41" max="41" width="15.5" bestFit="1" customWidth="1"/>
    <col min="42" max="42" width="16.625" bestFit="1" customWidth="1"/>
    <col min="43" max="43" width="11" bestFit="1" customWidth="1"/>
    <col min="44" max="45" width="18.625" bestFit="1" customWidth="1"/>
    <col min="46" max="46" width="81" bestFit="1" customWidth="1"/>
    <col min="47" max="47" width="50.25" bestFit="1" customWidth="1"/>
    <col min="48" max="48" width="15.25" bestFit="1" customWidth="1"/>
    <col min="49" max="50" width="11.25" bestFit="1" customWidth="1"/>
    <col min="51" max="51" width="16.625" bestFit="1" customWidth="1"/>
    <col min="52" max="52" width="16" bestFit="1" customWidth="1"/>
    <col min="53" max="53" width="13.875" bestFit="1" customWidth="1"/>
    <col min="54" max="54" width="22.25" bestFit="1" customWidth="1"/>
    <col min="55" max="55" width="18.375" bestFit="1" customWidth="1"/>
    <col min="56" max="56" width="54.875" bestFit="1" customWidth="1"/>
    <col min="57" max="57" width="81" bestFit="1" customWidth="1"/>
  </cols>
  <sheetData>
    <row r="1" spans="1:57">
      <c r="A1" s="100" t="s">
        <v>809</v>
      </c>
      <c r="B1" s="101" t="s">
        <v>113</v>
      </c>
      <c r="C1" s="98" t="s">
        <v>810</v>
      </c>
      <c r="D1" s="98" t="s">
        <v>811</v>
      </c>
      <c r="E1" s="96" t="s">
        <v>830</v>
      </c>
      <c r="F1" s="96" t="s">
        <v>667</v>
      </c>
      <c r="G1" s="110" t="s">
        <v>812</v>
      </c>
      <c r="H1" s="110" t="s">
        <v>813</v>
      </c>
      <c r="I1" s="96" t="s">
        <v>814</v>
      </c>
      <c r="J1" s="96" t="s">
        <v>815</v>
      </c>
      <c r="K1" s="96" t="s">
        <v>816</v>
      </c>
      <c r="L1" s="96" t="s">
        <v>817</v>
      </c>
      <c r="M1" s="96" t="s">
        <v>831</v>
      </c>
      <c r="N1" s="96" t="s">
        <v>818</v>
      </c>
      <c r="O1" s="96" t="s">
        <v>819</v>
      </c>
      <c r="P1" s="96" t="s">
        <v>119</v>
      </c>
      <c r="Q1" s="96" t="s">
        <v>820</v>
      </c>
      <c r="R1" s="103" t="s">
        <v>821</v>
      </c>
      <c r="S1" s="105" t="s">
        <v>701</v>
      </c>
      <c r="T1" s="105" t="s">
        <v>822</v>
      </c>
      <c r="U1" s="100" t="s">
        <v>535</v>
      </c>
      <c r="V1" s="100" t="s">
        <v>536</v>
      </c>
      <c r="W1" s="108" t="s">
        <v>823</v>
      </c>
      <c r="X1" s="101" t="s">
        <v>824</v>
      </c>
      <c r="Y1" s="102" t="s">
        <v>528</v>
      </c>
      <c r="Z1" s="101" t="s">
        <v>825</v>
      </c>
      <c r="AA1" s="101" t="s">
        <v>826</v>
      </c>
      <c r="AB1" t="s">
        <v>123</v>
      </c>
      <c r="AC1" t="s">
        <v>534</v>
      </c>
      <c r="AD1" t="s">
        <v>535</v>
      </c>
      <c r="AE1" t="s">
        <v>536</v>
      </c>
      <c r="AF1" t="s">
        <v>537</v>
      </c>
      <c r="AG1" t="s">
        <v>116</v>
      </c>
      <c r="AH1" t="s">
        <v>538</v>
      </c>
      <c r="AI1" t="s">
        <v>539</v>
      </c>
      <c r="AJ1" t="s">
        <v>540</v>
      </c>
      <c r="AK1" t="s">
        <v>541</v>
      </c>
      <c r="AL1" s="95" t="s">
        <v>542</v>
      </c>
      <c r="AM1" t="s">
        <v>313</v>
      </c>
      <c r="AN1" t="s">
        <v>543</v>
      </c>
      <c r="AO1" t="s">
        <v>544</v>
      </c>
      <c r="AP1" t="s">
        <v>545</v>
      </c>
      <c r="AQ1" t="s">
        <v>546</v>
      </c>
      <c r="AR1" t="s">
        <v>547</v>
      </c>
      <c r="AS1" t="s">
        <v>548</v>
      </c>
      <c r="AT1" t="s">
        <v>549</v>
      </c>
      <c r="AU1" t="s">
        <v>550</v>
      </c>
      <c r="AV1" t="s">
        <v>551</v>
      </c>
      <c r="AW1" t="s">
        <v>552</v>
      </c>
      <c r="AX1" t="s">
        <v>553</v>
      </c>
      <c r="AY1" t="s">
        <v>554</v>
      </c>
      <c r="AZ1" t="s">
        <v>555</v>
      </c>
      <c r="BA1" t="s">
        <v>556</v>
      </c>
      <c r="BB1" t="s">
        <v>557</v>
      </c>
      <c r="BC1" t="s">
        <v>558</v>
      </c>
      <c r="BD1" t="s">
        <v>559</v>
      </c>
      <c r="BE1" t="s">
        <v>1985</v>
      </c>
    </row>
    <row r="2" spans="1:57">
      <c r="A2" s="99" t="str" cm="1">
        <f t="array" ref="A2:A178">IFERROR("SE"&amp;IF(ISNUMBER(SEARCH("호", MID(TOGLE[합], SEARCH("SE", TOGLE[합]) + IF(MID(TOGLE[합], SEARCH("SE", TOGLE[합]), 3) = "SE.", 3, 2), 4))        ),LEFT(MID(TOGLE[합], SEARCH("SE", TOGLE[합]) + IF(MID(TOGLE[합], SEARCH("SE", TOGLE[합]), 3) = "SE.", 3, 2), 4),SEARCH("호", MID(TOGLE[합], SEARCH("SE", TOGLE[합]) + IF(MID(TOGLE[합], SEARCH("SE", TOGLE[합]), 3) = "SE.", 3, 2), 4)) - 1),LEFT(MID(TOGLE[합], SEARCH("SE", TOGLE[합]) + IF(MID(TOGLE[합], SEARCH("SE", TOGLE[합]), 3) = "SE.", 3, 2), 4),3)),"")</f>
        <v/>
      </c>
      <c r="C2" s="99" t="str">
        <f>IFERROR(IF(AND(B2="", A2="", TOGLE[[#This Row],[판매채널]]="기타쇼핑몰", TOGLE[[#This Row],[쇼핑몰구분]]="세은산업"),"1000",IF(B2&lt;&gt;"", B2, IF(MID(A2,3,1)=".",MID(A2,4,6),MID(A2,3,5)))),"x")</f>
        <v>1000</v>
      </c>
      <c r="D2" s="99" t="str">
        <f>IFERROR(_xlfn.XLOOKUP("SE."&amp;$C2,종류표[제품코드],종류표[명칭],,0),"x")</f>
        <v>대표</v>
      </c>
      <c r="E2" s="97" t="str" cm="1">
        <f t="array" ref="E2">IFERROR(_xlfn.XLOOKUP("SE."&amp;$C2,가격병합[제품코드],IF(TOGLE[[#This Row],[쇼핑몰구분]]="비닐스토리",IF(TOGLE[[#This Row],[판매채널]]="쿠팡",가격병합[판매가5%],IF(TOGLE[[#This Row],[판매채널]]="스마트 스토어",가격병합[판매가],가격병합[판매가2.5%])),IF($S2&lt;&gt;"",IF(TOGLE[[#This Row],[판매채널]]="쿠팡",가격병합[SEDB47.판매가5%],IF(TOGLE[[#This Row],[판매채널]]="스마트 스토어",가격병합[SEDB47.판매가],가격병합[SEDB47.판매가2.5%]))*$S2,IF(TOGLE[[#This Row],[판매채널]]="쿠팡",가격병합[SEDB47.판매가5%],IF(TOGLE[[#This Row],[판매채널]]="스마트 스토어",가격병합[SEDB47.판매가],가격병합[SEDB47.판매가2.5%]))))),"x")</f>
        <v xml:space="preserve">          -</v>
      </c>
      <c r="F2" s="97" t="str" cm="1">
        <f t="array" ref="F2">IFERROR(_xlfn.XLOOKUP("SE."&amp;$C2,가격병합[제품코드],IF($S2&lt;&gt;"",가격병합[공급가10%]*$S2,가격병합[공급가10%])),"x")</f>
        <v>　</v>
      </c>
      <c r="G2" s="97" cm="1">
        <f t="array" ref="G2:G178">IFERROR(TOGLE[상품결제금액],0)</f>
        <v>0</v>
      </c>
      <c r="H2" s="97" cm="1">
        <f t="array" ref="H2:H178">IFERROR(TOGLE[주문금액],0)</f>
        <v>0</v>
      </c>
      <c r="I2" s="97">
        <f>IFERROR(IF(COUNTIF($AG$2:AG2, $AG2) &gt; 1, 0,$BA2),0)</f>
        <v>0</v>
      </c>
      <c r="J2" s="97">
        <f>IFERROR(G2+I2,0)</f>
        <v>0</v>
      </c>
      <c r="K2" s="97" t="str">
        <f>IF(COUNTIF($AG$2:AG2, AG2) &gt; 1, "",AF2)</f>
        <v>중</v>
      </c>
      <c r="L2" s="97">
        <f>_xlfn.IFNA(VLOOKUP($K2,CJ요금표[],2,0),0)</f>
        <v>4400</v>
      </c>
      <c r="M2" s="97">
        <f>IFERROR(TOGLE[[#This Row],[상품금액]]-TOGLE[[#This Row],[상품결제금액]],0)</f>
        <v>0</v>
      </c>
      <c r="N2" s="97" cm="1">
        <f t="array" ref="N2">IFERROR(IF(TOGLE[[#This Row],[판매채널]]="스마트 스토어",ROUND(G2 * (VLOOKUP(TOGLE[[#This Row],[판매채널]],채널수수료[#Data],IF(TOGLE[[#This Row],[쇼핑몰구분]]="비닐팩토리",4,3),0)),0)+ROUND(I2 * VLOOKUP(TOGLE[[#This Row],[판매채널]],채널수수료[#Data],IF(TOGLE[[#This Row],[쇼핑몰구분]]="비닐팩토리",6,5),0),0)+표16[빠른정산 수수료],ROUND(G2 * (VLOOKUP(TOGLE[[#This Row],[판매채널]],채널수수료[#Data],IF(TOGLE[[#This Row],[쇼핑몰구분]]="비닐팩토리",4,3),0)*1.1),0)+ROUND(I2 * VLOOKUP(TOGLE[[#This Row],[판매채널]],채널수수료[#Data],IF(TOGLE[[#This Row],[쇼핑몰구분]]="비닐팩토리",6,5),0),0)),0)</f>
        <v>0</v>
      </c>
      <c r="O2" s="97">
        <f>IFERROR(IF(K2="",0,X2),0)</f>
        <v>0</v>
      </c>
      <c r="P2" s="97">
        <f>IFERROR(ROUND(IF(TOGLE[[#This Row],[쇼핑몰구분]]="비닐스토리",(F2*V2)+IF(L2="",0,L2)+IF(O2="",0,O2),0),0),0)</f>
        <v>0</v>
      </c>
      <c r="Q2" s="97">
        <f>IFERROR(ROUND(IF(TOGLE[[#This Row],[쇼핑몰구분]]="비닐스토리",H2-P2-N2,0),0),0)</f>
        <v>0</v>
      </c>
      <c r="R2" s="117" t="str">
        <f>IFERROR(IF(TOGLE[[#This Row],[쇼핑몰구분]]="비닐스토리",ROUND(Q2/J2,4),""),"")</f>
        <v/>
      </c>
      <c r="S2" s="106" t="str">
        <f>IF(ISNUMBER(SEARCH("***1단***", $AC2)),_xlfn.XLOOKUP(IF($B2="","SE."&amp;$C2,"SE."&amp;$B2),가격병합[제품코드],가격병합[수량(단)])/_xlfn.XLOOKUP(IF($B2="","SE."&amp;$C2,"SE."&amp;$B2),가격병합[제품코드],가격병합[수량(권)]), "")</f>
        <v/>
      </c>
      <c r="T2" s="106" t="str">
        <f>IFERROR(IF(AND(_xlfn.XLOOKUP(TOGLE[[#This Row],[구매자명]],고객표[구매자명],고객표[구매자연락처])=TOGLE[[#This Row],[구매자연락처]],_xlfn.XLOOKUP(TOGLE[[#This Row],[구매자명]],고객표[구매자명],고객표[판매채널])=TOGLE[[#This Row],[판매채널]]),"재구매",""),"")</f>
        <v/>
      </c>
      <c r="U2" s="99" t="str" cm="1">
        <f t="array" ref="U2:U178">IF(ISNUMBER(SEARCH("검정", TOGLE[옵션]))=TRUE,MID(TOGLE[옵션],FIND("검정",TOGLE[옵션]),2),IF(ISNUMBER(SEARCH("청색", TOGLE[옵션]))=TRUE,MID(TOGLE[옵션],FIND("청색",TOGLE[옵션]),2),IF(ISNUMBER(SEARCH("유백", TOGLE[옵션]))=TRUE,MID(TOGLE[옵션],FIND("유백",TOGLE[옵션]),2),IF(ISNUMBER(SEARCH("빨강", TOGLE[옵션]))=TRUE,MID(TOGLE[옵션],FIND("빨강",TOGLE[옵션]),2),IF(ISNUMBER(SEARCH("노랑", TOGLE[옵션]))=TRUE,MID(TOGLE[옵션],FIND("노랑",TOGLE[옵션]),2),IF(ISNUMBER(SEARCH("연두", TOGLE[옵션]))=TRUE,MID(TOGLE[옵션],FIND("연두",TOGLE[옵션]),2),IF(ISNUMBER(SEARCH("녹색", TOGLE[옵션]))=TRUE,MID(TOGLE[옵션],FIND("녹색",TOGLE[옵션]),2),IF(ISNUMBER(SEARCH("청백", TOGLE[옵션]))=TRUE,MID(TOGLE[옵션],FIND("청백",TOGLE[옵션]),2),IF(ISNUMBER(SEARCH("오렌지", TOGLE[옵션]))=TRUE,MID(TOGLE[옵션],FIND("오렌지",TOGLE[옵션]),3),IF(ISNUMBER(SEARCH("보라", TOGLE[옵션]))=TRUE,MID(TOGLE[옵션],FIND("보라",TOGLE[옵션]),2),"투명"))))))))))</f>
        <v>투명</v>
      </c>
      <c r="V2" s="99" cm="1">
        <f t="array" ref="V2:V178">TOGLE[수량]</f>
        <v>1</v>
      </c>
      <c r="W2" s="109" cm="1">
        <f t="array" ref="W2:W178">IFERROR(_xlfn.XLOOKUP(_xlfn.XLOOKUP(TOGLE[수취인명],고객표[수취인명],고객표[구매자ID]),고객표[구매자ID],고객표[CS메모]),"")</f>
        <v>0</v>
      </c>
      <c r="AB2" t="s">
        <v>918</v>
      </c>
      <c r="AC2" t="s">
        <v>919</v>
      </c>
      <c r="AD2" t="s">
        <v>560</v>
      </c>
      <c r="AE2">
        <v>1</v>
      </c>
      <c r="AF2" t="s">
        <v>564</v>
      </c>
      <c r="AG2" t="s">
        <v>920</v>
      </c>
      <c r="AH2" t="s">
        <v>921</v>
      </c>
      <c r="AI2" t="s">
        <v>922</v>
      </c>
      <c r="AJ2" s="59">
        <v>45443</v>
      </c>
      <c r="AK2" t="s">
        <v>923</v>
      </c>
      <c r="AM2" t="s">
        <v>560</v>
      </c>
      <c r="AN2" t="s">
        <v>560</v>
      </c>
      <c r="AO2" t="s">
        <v>560</v>
      </c>
      <c r="AP2" s="59">
        <v>45443</v>
      </c>
      <c r="AQ2" t="s">
        <v>563</v>
      </c>
      <c r="AR2" t="s">
        <v>924</v>
      </c>
      <c r="AS2" t="s">
        <v>560</v>
      </c>
      <c r="AT2" t="s">
        <v>925</v>
      </c>
      <c r="AU2" t="s">
        <v>560</v>
      </c>
      <c r="AV2">
        <v>0</v>
      </c>
      <c r="AW2">
        <v>0</v>
      </c>
      <c r="AX2">
        <v>0</v>
      </c>
      <c r="BA2">
        <v>0</v>
      </c>
      <c r="BB2">
        <v>0</v>
      </c>
      <c r="BD2" t="s">
        <v>560</v>
      </c>
      <c r="BE2" t="s">
        <v>1986</v>
      </c>
    </row>
    <row r="3" spans="1:57">
      <c r="A3" s="99" t="str">
        <v>SE205</v>
      </c>
      <c r="G3" s="97">
        <v>135000</v>
      </c>
      <c r="H3" s="97">
        <v>135000</v>
      </c>
      <c r="R3" s="117"/>
      <c r="U3" s="99" t="str">
        <v>투명</v>
      </c>
      <c r="V3" s="99">
        <v>5</v>
      </c>
      <c r="W3" s="109">
        <v>0</v>
      </c>
      <c r="AB3" t="s">
        <v>926</v>
      </c>
      <c r="AC3" t="s">
        <v>927</v>
      </c>
      <c r="AD3" t="s">
        <v>560</v>
      </c>
      <c r="AE3">
        <v>5</v>
      </c>
      <c r="AF3" t="s">
        <v>564</v>
      </c>
      <c r="AG3" t="s">
        <v>928</v>
      </c>
      <c r="AH3" t="s">
        <v>561</v>
      </c>
      <c r="AI3" t="s">
        <v>562</v>
      </c>
      <c r="AJ3" s="59">
        <v>45443</v>
      </c>
      <c r="AK3" t="s">
        <v>929</v>
      </c>
      <c r="AM3" t="s">
        <v>926</v>
      </c>
      <c r="AN3" t="s">
        <v>930</v>
      </c>
      <c r="AO3" t="s">
        <v>931</v>
      </c>
      <c r="AP3" s="59">
        <v>45443</v>
      </c>
      <c r="AQ3" t="s">
        <v>563</v>
      </c>
      <c r="AR3" t="s">
        <v>931</v>
      </c>
      <c r="AS3" t="s">
        <v>560</v>
      </c>
      <c r="AT3" t="s">
        <v>932</v>
      </c>
      <c r="AU3" t="s">
        <v>560</v>
      </c>
      <c r="AV3">
        <v>135000</v>
      </c>
      <c r="AW3">
        <v>135000</v>
      </c>
      <c r="AX3">
        <v>135000</v>
      </c>
      <c r="BA3">
        <v>0</v>
      </c>
      <c r="BB3">
        <v>0</v>
      </c>
      <c r="BD3" t="s">
        <v>36</v>
      </c>
      <c r="BE3" t="s">
        <v>1987</v>
      </c>
    </row>
    <row r="4" spans="1:57">
      <c r="A4" s="99" t="str">
        <v>SE206</v>
      </c>
      <c r="G4" s="97">
        <v>28620</v>
      </c>
      <c r="H4" s="97">
        <v>31620</v>
      </c>
      <c r="R4" s="117"/>
      <c r="U4" s="99" t="str">
        <v>투명</v>
      </c>
      <c r="V4" s="99">
        <v>1</v>
      </c>
      <c r="W4" s="109">
        <v>0</v>
      </c>
      <c r="AB4" t="s">
        <v>933</v>
      </c>
      <c r="AC4" t="s">
        <v>934</v>
      </c>
      <c r="AD4" t="s">
        <v>560</v>
      </c>
      <c r="AE4">
        <v>1</v>
      </c>
      <c r="AF4" t="s">
        <v>350</v>
      </c>
      <c r="AG4" t="s">
        <v>935</v>
      </c>
      <c r="AH4" t="s">
        <v>561</v>
      </c>
      <c r="AI4" t="s">
        <v>562</v>
      </c>
      <c r="AJ4" s="59">
        <v>45443</v>
      </c>
      <c r="AK4" t="s">
        <v>936</v>
      </c>
      <c r="AL4" s="95" t="s">
        <v>937</v>
      </c>
      <c r="AM4" t="s">
        <v>933</v>
      </c>
      <c r="AN4" t="s">
        <v>938</v>
      </c>
      <c r="AO4" t="s">
        <v>939</v>
      </c>
      <c r="AP4" s="59">
        <v>45443</v>
      </c>
      <c r="AQ4" t="s">
        <v>563</v>
      </c>
      <c r="AR4" t="s">
        <v>939</v>
      </c>
      <c r="AS4" t="s">
        <v>560</v>
      </c>
      <c r="AT4" t="s">
        <v>940</v>
      </c>
      <c r="AU4" t="s">
        <v>560</v>
      </c>
      <c r="AV4">
        <v>28620</v>
      </c>
      <c r="AW4">
        <v>31800</v>
      </c>
      <c r="AX4">
        <v>31620</v>
      </c>
      <c r="AY4">
        <v>27482</v>
      </c>
      <c r="AZ4">
        <v>1138</v>
      </c>
      <c r="BA4">
        <v>3000</v>
      </c>
      <c r="BB4">
        <v>0</v>
      </c>
      <c r="BC4" t="s">
        <v>941</v>
      </c>
      <c r="BD4" t="s">
        <v>34</v>
      </c>
      <c r="BE4" t="s">
        <v>1988</v>
      </c>
    </row>
    <row r="5" spans="1:57">
      <c r="A5" s="99" t="str">
        <v>SE9</v>
      </c>
      <c r="G5" s="97">
        <v>50400</v>
      </c>
      <c r="H5" s="97">
        <v>50400</v>
      </c>
      <c r="R5" s="117"/>
      <c r="U5" s="99" t="str">
        <v>보라</v>
      </c>
      <c r="V5" s="99">
        <v>40</v>
      </c>
      <c r="W5" s="109">
        <v>0</v>
      </c>
      <c r="AB5" t="s">
        <v>942</v>
      </c>
      <c r="AC5" t="s">
        <v>943</v>
      </c>
      <c r="AD5" t="s">
        <v>944</v>
      </c>
      <c r="AE5">
        <v>40</v>
      </c>
      <c r="AF5" t="s">
        <v>564</v>
      </c>
      <c r="AG5" t="s">
        <v>945</v>
      </c>
      <c r="AH5" t="s">
        <v>561</v>
      </c>
      <c r="AI5" t="s">
        <v>562</v>
      </c>
      <c r="AJ5" s="59">
        <v>45443</v>
      </c>
      <c r="AK5" t="s">
        <v>946</v>
      </c>
      <c r="AL5" s="95" t="s">
        <v>947</v>
      </c>
      <c r="AM5" t="s">
        <v>942</v>
      </c>
      <c r="AN5" t="s">
        <v>948</v>
      </c>
      <c r="AO5" t="s">
        <v>949</v>
      </c>
      <c r="AP5" s="59">
        <v>45443</v>
      </c>
      <c r="AQ5" t="s">
        <v>563</v>
      </c>
      <c r="AR5" t="s">
        <v>949</v>
      </c>
      <c r="AS5" t="s">
        <v>560</v>
      </c>
      <c r="AT5" t="s">
        <v>950</v>
      </c>
      <c r="AU5" t="s">
        <v>560</v>
      </c>
      <c r="AV5">
        <v>50400</v>
      </c>
      <c r="AW5">
        <v>50400</v>
      </c>
      <c r="AX5">
        <v>50400</v>
      </c>
      <c r="AY5">
        <v>48395</v>
      </c>
      <c r="AZ5">
        <v>2005</v>
      </c>
      <c r="BA5">
        <v>0</v>
      </c>
      <c r="BB5">
        <v>0</v>
      </c>
      <c r="BC5" t="s">
        <v>951</v>
      </c>
      <c r="BD5" t="s">
        <v>952</v>
      </c>
      <c r="BE5" t="s">
        <v>1989</v>
      </c>
    </row>
    <row r="6" spans="1:57">
      <c r="A6" s="99" t="str">
        <v>SE307</v>
      </c>
      <c r="G6" s="97">
        <v>10690</v>
      </c>
      <c r="H6" s="97">
        <v>13690</v>
      </c>
      <c r="R6" s="117"/>
      <c r="U6" s="99" t="str">
        <v>투명</v>
      </c>
      <c r="V6" s="99">
        <v>1</v>
      </c>
      <c r="W6" s="109">
        <v>0</v>
      </c>
      <c r="AB6" t="s">
        <v>953</v>
      </c>
      <c r="AC6" t="s">
        <v>954</v>
      </c>
      <c r="AD6" t="s">
        <v>560</v>
      </c>
      <c r="AE6">
        <v>1</v>
      </c>
      <c r="AF6" t="s">
        <v>567</v>
      </c>
      <c r="AG6" t="s">
        <v>955</v>
      </c>
      <c r="AH6" t="s">
        <v>561</v>
      </c>
      <c r="AI6" t="s">
        <v>562</v>
      </c>
      <c r="AJ6" s="59">
        <v>45443</v>
      </c>
      <c r="AK6" t="s">
        <v>956</v>
      </c>
      <c r="AL6" s="95" t="s">
        <v>957</v>
      </c>
      <c r="AM6" t="s">
        <v>953</v>
      </c>
      <c r="AN6" t="s">
        <v>958</v>
      </c>
      <c r="AO6" t="s">
        <v>959</v>
      </c>
      <c r="AP6" s="59">
        <v>45443</v>
      </c>
      <c r="AQ6" t="s">
        <v>563</v>
      </c>
      <c r="AR6" t="s">
        <v>959</v>
      </c>
      <c r="AS6" t="s">
        <v>560</v>
      </c>
      <c r="AT6" t="s">
        <v>960</v>
      </c>
      <c r="AU6" t="s">
        <v>560</v>
      </c>
      <c r="AV6">
        <v>10690</v>
      </c>
      <c r="AW6">
        <v>11880</v>
      </c>
      <c r="AX6">
        <v>13690</v>
      </c>
      <c r="AY6">
        <v>10266</v>
      </c>
      <c r="AZ6">
        <v>424</v>
      </c>
      <c r="BA6">
        <v>3000</v>
      </c>
      <c r="BB6">
        <v>0</v>
      </c>
      <c r="BC6" t="s">
        <v>961</v>
      </c>
      <c r="BD6" t="s">
        <v>18</v>
      </c>
      <c r="BE6" t="s">
        <v>1990</v>
      </c>
    </row>
    <row r="7" spans="1:57">
      <c r="A7" s="99" t="str">
        <v>SE305</v>
      </c>
      <c r="G7" s="97">
        <v>18630</v>
      </c>
      <c r="H7" s="97">
        <v>18630</v>
      </c>
      <c r="R7" s="117"/>
      <c r="U7" s="99" t="str">
        <v>투명</v>
      </c>
      <c r="V7" s="99">
        <v>1</v>
      </c>
      <c r="W7" s="109">
        <v>0</v>
      </c>
      <c r="AB7" t="s">
        <v>962</v>
      </c>
      <c r="AC7" t="s">
        <v>963</v>
      </c>
      <c r="AD7" t="s">
        <v>560</v>
      </c>
      <c r="AE7">
        <v>1</v>
      </c>
      <c r="AF7" t="s">
        <v>350</v>
      </c>
      <c r="AG7" t="s">
        <v>964</v>
      </c>
      <c r="AH7" t="s">
        <v>561</v>
      </c>
      <c r="AI7" t="s">
        <v>562</v>
      </c>
      <c r="AJ7" s="59">
        <v>45442</v>
      </c>
      <c r="AK7" t="s">
        <v>965</v>
      </c>
      <c r="AL7" s="95" t="s">
        <v>966</v>
      </c>
      <c r="AM7" t="s">
        <v>962</v>
      </c>
      <c r="AN7" t="s">
        <v>967</v>
      </c>
      <c r="AO7" t="s">
        <v>968</v>
      </c>
      <c r="AP7" s="59">
        <v>45443</v>
      </c>
      <c r="AQ7" t="s">
        <v>563</v>
      </c>
      <c r="AR7" t="s">
        <v>968</v>
      </c>
      <c r="AS7" t="s">
        <v>560</v>
      </c>
      <c r="AT7" t="s">
        <v>969</v>
      </c>
      <c r="AU7" t="s">
        <v>970</v>
      </c>
      <c r="AV7">
        <v>18630</v>
      </c>
      <c r="AW7">
        <v>20700</v>
      </c>
      <c r="AX7">
        <v>18630</v>
      </c>
      <c r="AY7">
        <v>18262</v>
      </c>
      <c r="AZ7">
        <v>368</v>
      </c>
      <c r="BA7">
        <v>0</v>
      </c>
      <c r="BB7">
        <v>0</v>
      </c>
      <c r="BC7" t="s">
        <v>971</v>
      </c>
      <c r="BD7" t="s">
        <v>22</v>
      </c>
      <c r="BE7" t="s">
        <v>1991</v>
      </c>
    </row>
    <row r="8" spans="1:57">
      <c r="A8" s="99" t="str">
        <v>SE304</v>
      </c>
      <c r="G8" s="97">
        <v>13770</v>
      </c>
      <c r="H8" s="97">
        <v>13770</v>
      </c>
      <c r="R8" s="117"/>
      <c r="U8" s="99" t="str">
        <v>투명</v>
      </c>
      <c r="V8" s="99">
        <v>1</v>
      </c>
      <c r="W8" s="109">
        <v>0</v>
      </c>
      <c r="AB8" t="s">
        <v>962</v>
      </c>
      <c r="AC8" t="s">
        <v>790</v>
      </c>
      <c r="AD8" t="s">
        <v>560</v>
      </c>
      <c r="AE8">
        <v>1</v>
      </c>
      <c r="AF8" t="s">
        <v>350</v>
      </c>
      <c r="AG8" t="s">
        <v>964</v>
      </c>
      <c r="AH8" t="s">
        <v>561</v>
      </c>
      <c r="AI8" t="s">
        <v>562</v>
      </c>
      <c r="AJ8" s="59">
        <v>45442</v>
      </c>
      <c r="AK8" t="s">
        <v>965</v>
      </c>
      <c r="AL8" s="95" t="s">
        <v>972</v>
      </c>
      <c r="AM8" t="s">
        <v>962</v>
      </c>
      <c r="AN8" t="s">
        <v>967</v>
      </c>
      <c r="AO8" t="s">
        <v>968</v>
      </c>
      <c r="AP8" s="59">
        <v>45443</v>
      </c>
      <c r="AQ8" t="s">
        <v>563</v>
      </c>
      <c r="AR8" t="s">
        <v>968</v>
      </c>
      <c r="AS8" t="s">
        <v>560</v>
      </c>
      <c r="AT8" t="s">
        <v>969</v>
      </c>
      <c r="AU8" t="s">
        <v>970</v>
      </c>
      <c r="AV8">
        <v>13770</v>
      </c>
      <c r="AW8">
        <v>15300</v>
      </c>
      <c r="AX8">
        <v>13770</v>
      </c>
      <c r="AY8">
        <v>13498</v>
      </c>
      <c r="AZ8">
        <v>272</v>
      </c>
      <c r="BA8">
        <v>0</v>
      </c>
      <c r="BB8">
        <v>0</v>
      </c>
      <c r="BC8" t="s">
        <v>971</v>
      </c>
      <c r="BD8" t="s">
        <v>24</v>
      </c>
      <c r="BE8" t="s">
        <v>1992</v>
      </c>
    </row>
    <row r="9" spans="1:57">
      <c r="A9" s="99" t="str">
        <v>SE205</v>
      </c>
      <c r="G9" s="97">
        <v>121500</v>
      </c>
      <c r="H9" s="97">
        <v>121500</v>
      </c>
      <c r="R9" s="117"/>
      <c r="U9" s="99" t="str">
        <v>투명</v>
      </c>
      <c r="V9" s="99">
        <v>5</v>
      </c>
      <c r="W9" s="109">
        <v>0</v>
      </c>
      <c r="AB9" t="s">
        <v>926</v>
      </c>
      <c r="AC9" t="s">
        <v>927</v>
      </c>
      <c r="AD9" t="s">
        <v>560</v>
      </c>
      <c r="AE9">
        <v>5</v>
      </c>
      <c r="AF9" t="s">
        <v>973</v>
      </c>
      <c r="AG9" t="s">
        <v>974</v>
      </c>
      <c r="AH9" t="s">
        <v>561</v>
      </c>
      <c r="AI9" t="s">
        <v>562</v>
      </c>
      <c r="AJ9" s="59">
        <v>45442</v>
      </c>
      <c r="AK9" t="s">
        <v>975</v>
      </c>
      <c r="AL9" s="95" t="s">
        <v>976</v>
      </c>
      <c r="AM9" t="s">
        <v>926</v>
      </c>
      <c r="AN9" t="s">
        <v>930</v>
      </c>
      <c r="AO9" t="s">
        <v>931</v>
      </c>
      <c r="AP9" s="59">
        <v>45443</v>
      </c>
      <c r="AQ9" t="s">
        <v>563</v>
      </c>
      <c r="AR9" t="s">
        <v>931</v>
      </c>
      <c r="AS9" t="s">
        <v>560</v>
      </c>
      <c r="AT9" t="s">
        <v>932</v>
      </c>
      <c r="AU9" t="s">
        <v>560</v>
      </c>
      <c r="AV9">
        <v>121500</v>
      </c>
      <c r="AW9">
        <v>135000</v>
      </c>
      <c r="AX9">
        <v>121500</v>
      </c>
      <c r="AY9">
        <v>116665</v>
      </c>
      <c r="AZ9">
        <v>4835</v>
      </c>
      <c r="BA9">
        <v>0</v>
      </c>
      <c r="BB9">
        <v>0</v>
      </c>
      <c r="BC9" t="s">
        <v>977</v>
      </c>
      <c r="BD9" t="s">
        <v>36</v>
      </c>
      <c r="BE9" t="s">
        <v>1987</v>
      </c>
    </row>
    <row r="10" spans="1:57">
      <c r="A10" s="99" t="str">
        <v>SE206</v>
      </c>
      <c r="G10" s="97">
        <v>60480</v>
      </c>
      <c r="H10" s="97">
        <v>60480</v>
      </c>
      <c r="R10" s="117"/>
      <c r="U10" s="99" t="str">
        <v>투명</v>
      </c>
      <c r="V10" s="99">
        <v>2</v>
      </c>
      <c r="W10" s="109">
        <v>0</v>
      </c>
      <c r="AB10" t="s">
        <v>978</v>
      </c>
      <c r="AC10" t="s">
        <v>684</v>
      </c>
      <c r="AD10" t="s">
        <v>685</v>
      </c>
      <c r="AE10">
        <v>2</v>
      </c>
      <c r="AF10" t="s">
        <v>564</v>
      </c>
      <c r="AG10" t="s">
        <v>979</v>
      </c>
      <c r="AH10" t="s">
        <v>568</v>
      </c>
      <c r="AI10" t="s">
        <v>673</v>
      </c>
      <c r="AJ10" s="59">
        <v>45442</v>
      </c>
      <c r="AK10" t="s">
        <v>980</v>
      </c>
      <c r="AM10" t="s">
        <v>981</v>
      </c>
      <c r="AN10" t="s">
        <v>982</v>
      </c>
      <c r="AO10" t="s">
        <v>983</v>
      </c>
      <c r="AP10" s="59">
        <v>45443</v>
      </c>
      <c r="AQ10" t="s">
        <v>563</v>
      </c>
      <c r="AR10" t="s">
        <v>983</v>
      </c>
      <c r="AS10" t="s">
        <v>560</v>
      </c>
      <c r="AT10" t="s">
        <v>984</v>
      </c>
      <c r="AU10" t="s">
        <v>569</v>
      </c>
      <c r="AV10">
        <v>60480</v>
      </c>
      <c r="AW10">
        <v>60480</v>
      </c>
      <c r="AX10">
        <v>60480</v>
      </c>
      <c r="BA10">
        <v>0</v>
      </c>
      <c r="BB10">
        <v>0</v>
      </c>
      <c r="BC10" t="s">
        <v>985</v>
      </c>
      <c r="BD10" t="s">
        <v>560</v>
      </c>
      <c r="BE10" t="s">
        <v>1993</v>
      </c>
    </row>
    <row r="11" spans="1:57">
      <c r="A11" s="99" t="str">
        <v>SE101</v>
      </c>
      <c r="G11" s="97">
        <v>10400</v>
      </c>
      <c r="H11" s="97">
        <v>13400</v>
      </c>
      <c r="R11" s="117"/>
      <c r="U11" s="99" t="str">
        <v>투명</v>
      </c>
      <c r="V11" s="99">
        <v>1</v>
      </c>
      <c r="W11" s="109">
        <v>0</v>
      </c>
      <c r="AB11" t="s">
        <v>986</v>
      </c>
      <c r="AC11" t="s">
        <v>692</v>
      </c>
      <c r="AD11" t="s">
        <v>987</v>
      </c>
      <c r="AE11">
        <v>1</v>
      </c>
      <c r="AF11" t="s">
        <v>567</v>
      </c>
      <c r="AG11" t="s">
        <v>988</v>
      </c>
      <c r="AH11" t="s">
        <v>568</v>
      </c>
      <c r="AI11" t="s">
        <v>673</v>
      </c>
      <c r="AJ11" s="59">
        <v>45443</v>
      </c>
      <c r="AK11" t="s">
        <v>989</v>
      </c>
      <c r="AM11" t="s">
        <v>986</v>
      </c>
      <c r="AN11" t="s">
        <v>990</v>
      </c>
      <c r="AO11" t="s">
        <v>991</v>
      </c>
      <c r="AP11" s="59">
        <v>45443</v>
      </c>
      <c r="AQ11" t="s">
        <v>563</v>
      </c>
      <c r="AR11" t="s">
        <v>991</v>
      </c>
      <c r="AS11" t="s">
        <v>560</v>
      </c>
      <c r="AT11" t="s">
        <v>992</v>
      </c>
      <c r="AU11" t="s">
        <v>571</v>
      </c>
      <c r="AV11">
        <v>10400</v>
      </c>
      <c r="AW11">
        <v>10400</v>
      </c>
      <c r="AX11">
        <v>13400</v>
      </c>
      <c r="BA11">
        <v>3000</v>
      </c>
      <c r="BB11">
        <v>0</v>
      </c>
      <c r="BC11" t="s">
        <v>993</v>
      </c>
      <c r="BD11" t="s">
        <v>701</v>
      </c>
      <c r="BE11" t="s">
        <v>1994</v>
      </c>
    </row>
    <row r="12" spans="1:57">
      <c r="A12" s="99" t="str">
        <v>SE101</v>
      </c>
      <c r="G12" s="97">
        <v>17300</v>
      </c>
      <c r="H12" s="97">
        <v>20300</v>
      </c>
      <c r="R12" s="117"/>
      <c r="U12" s="99" t="str">
        <v>투명</v>
      </c>
      <c r="V12" s="99">
        <v>1</v>
      </c>
      <c r="W12" s="109">
        <v>0</v>
      </c>
      <c r="AB12" t="s">
        <v>994</v>
      </c>
      <c r="AC12" t="s">
        <v>692</v>
      </c>
      <c r="AD12" t="s">
        <v>995</v>
      </c>
      <c r="AE12">
        <v>1</v>
      </c>
      <c r="AF12" t="s">
        <v>567</v>
      </c>
      <c r="AG12" t="s">
        <v>996</v>
      </c>
      <c r="AH12" t="s">
        <v>568</v>
      </c>
      <c r="AI12" t="s">
        <v>673</v>
      </c>
      <c r="AJ12" s="59">
        <v>45443</v>
      </c>
      <c r="AK12" t="s">
        <v>997</v>
      </c>
      <c r="AM12" t="s">
        <v>994</v>
      </c>
      <c r="AN12" t="s">
        <v>998</v>
      </c>
      <c r="AO12" t="s">
        <v>999</v>
      </c>
      <c r="AP12" s="59">
        <v>45443</v>
      </c>
      <c r="AQ12" t="s">
        <v>563</v>
      </c>
      <c r="AR12" t="s">
        <v>999</v>
      </c>
      <c r="AS12" t="s">
        <v>560</v>
      </c>
      <c r="AT12" t="s">
        <v>1000</v>
      </c>
      <c r="AU12" t="s">
        <v>571</v>
      </c>
      <c r="AV12">
        <v>17300</v>
      </c>
      <c r="AW12">
        <v>17300</v>
      </c>
      <c r="AX12">
        <v>20300</v>
      </c>
      <c r="BA12">
        <v>3000</v>
      </c>
      <c r="BB12">
        <v>0</v>
      </c>
      <c r="BC12" t="s">
        <v>1001</v>
      </c>
      <c r="BD12" t="s">
        <v>701</v>
      </c>
      <c r="BE12" t="s">
        <v>1995</v>
      </c>
    </row>
    <row r="13" spans="1:57">
      <c r="A13" s="99" t="str">
        <v>SE206</v>
      </c>
      <c r="G13" s="97">
        <v>34020</v>
      </c>
      <c r="H13" s="97">
        <v>37020</v>
      </c>
      <c r="R13" s="117"/>
      <c r="U13" s="99" t="str">
        <v>투명</v>
      </c>
      <c r="V13" s="99">
        <v>1</v>
      </c>
      <c r="W13" s="109">
        <v>0</v>
      </c>
      <c r="AB13" t="s">
        <v>1002</v>
      </c>
      <c r="AC13" t="s">
        <v>737</v>
      </c>
      <c r="AD13" t="s">
        <v>738</v>
      </c>
      <c r="AE13">
        <v>1</v>
      </c>
      <c r="AF13" t="s">
        <v>350</v>
      </c>
      <c r="AG13" t="s">
        <v>1003</v>
      </c>
      <c r="AH13" t="s">
        <v>568</v>
      </c>
      <c r="AI13" t="s">
        <v>562</v>
      </c>
      <c r="AJ13" s="59">
        <v>45442</v>
      </c>
      <c r="AK13" t="s">
        <v>1004</v>
      </c>
      <c r="AM13" t="s">
        <v>1002</v>
      </c>
      <c r="AN13" t="s">
        <v>1005</v>
      </c>
      <c r="AO13" t="s">
        <v>1006</v>
      </c>
      <c r="AP13" s="59">
        <v>45443</v>
      </c>
      <c r="AQ13" t="s">
        <v>563</v>
      </c>
      <c r="AR13" t="s">
        <v>1006</v>
      </c>
      <c r="AS13" t="s">
        <v>560</v>
      </c>
      <c r="AT13" t="s">
        <v>1007</v>
      </c>
      <c r="AU13" t="s">
        <v>571</v>
      </c>
      <c r="AV13">
        <v>34020</v>
      </c>
      <c r="AW13">
        <v>34020</v>
      </c>
      <c r="AX13">
        <v>37020</v>
      </c>
      <c r="BA13">
        <v>3000</v>
      </c>
      <c r="BB13">
        <v>0</v>
      </c>
      <c r="BC13" t="s">
        <v>1008</v>
      </c>
      <c r="BD13" t="s">
        <v>570</v>
      </c>
      <c r="BE13" t="s">
        <v>1996</v>
      </c>
    </row>
    <row r="14" spans="1:57">
      <c r="A14" s="99" t="str">
        <v>SE206</v>
      </c>
      <c r="G14" s="97">
        <v>34020</v>
      </c>
      <c r="H14" s="97">
        <v>37020</v>
      </c>
      <c r="R14" s="117"/>
      <c r="U14" s="99" t="str">
        <v>투명</v>
      </c>
      <c r="V14" s="99">
        <v>1</v>
      </c>
      <c r="W14" s="109">
        <v>0</v>
      </c>
      <c r="AB14" t="s">
        <v>1009</v>
      </c>
      <c r="AC14" t="s">
        <v>737</v>
      </c>
      <c r="AD14" t="s">
        <v>738</v>
      </c>
      <c r="AE14">
        <v>1</v>
      </c>
      <c r="AF14" t="s">
        <v>350</v>
      </c>
      <c r="AG14" t="s">
        <v>1010</v>
      </c>
      <c r="AH14" t="s">
        <v>568</v>
      </c>
      <c r="AI14" t="s">
        <v>562</v>
      </c>
      <c r="AJ14" s="59">
        <v>45443</v>
      </c>
      <c r="AK14" t="s">
        <v>1011</v>
      </c>
      <c r="AM14" t="s">
        <v>1012</v>
      </c>
      <c r="AN14" t="s">
        <v>1013</v>
      </c>
      <c r="AO14" t="s">
        <v>1014</v>
      </c>
      <c r="AP14" s="59">
        <v>45443</v>
      </c>
      <c r="AQ14" t="s">
        <v>563</v>
      </c>
      <c r="AR14" t="s">
        <v>1014</v>
      </c>
      <c r="AS14" t="s">
        <v>560</v>
      </c>
      <c r="AT14" t="s">
        <v>1015</v>
      </c>
      <c r="AU14" t="s">
        <v>1016</v>
      </c>
      <c r="AV14">
        <v>34020</v>
      </c>
      <c r="AW14">
        <v>34020</v>
      </c>
      <c r="AX14">
        <v>37020</v>
      </c>
      <c r="BA14">
        <v>3000</v>
      </c>
      <c r="BB14">
        <v>0</v>
      </c>
      <c r="BC14" t="s">
        <v>1017</v>
      </c>
      <c r="BD14" t="s">
        <v>570</v>
      </c>
      <c r="BE14" t="s">
        <v>1996</v>
      </c>
    </row>
    <row r="15" spans="1:57">
      <c r="A15" s="99" t="str">
        <v>SE206</v>
      </c>
      <c r="G15" s="97">
        <v>34020</v>
      </c>
      <c r="H15" s="97">
        <v>37020</v>
      </c>
      <c r="R15" s="117"/>
      <c r="U15" s="99" t="str">
        <v>투명</v>
      </c>
      <c r="V15" s="99">
        <v>1</v>
      </c>
      <c r="W15" s="109">
        <v>0</v>
      </c>
      <c r="AB15" t="s">
        <v>1018</v>
      </c>
      <c r="AC15" t="s">
        <v>737</v>
      </c>
      <c r="AD15" t="s">
        <v>738</v>
      </c>
      <c r="AE15">
        <v>1</v>
      </c>
      <c r="AF15" t="s">
        <v>350</v>
      </c>
      <c r="AG15" t="s">
        <v>1019</v>
      </c>
      <c r="AH15" t="s">
        <v>568</v>
      </c>
      <c r="AI15" t="s">
        <v>562</v>
      </c>
      <c r="AJ15" s="59">
        <v>45443</v>
      </c>
      <c r="AK15" t="s">
        <v>1020</v>
      </c>
      <c r="AM15" t="s">
        <v>1018</v>
      </c>
      <c r="AN15" t="s">
        <v>1021</v>
      </c>
      <c r="AO15" t="s">
        <v>1022</v>
      </c>
      <c r="AP15" s="59">
        <v>45443</v>
      </c>
      <c r="AQ15" t="s">
        <v>563</v>
      </c>
      <c r="AR15" t="s">
        <v>1022</v>
      </c>
      <c r="AS15" t="s">
        <v>560</v>
      </c>
      <c r="AT15" t="s">
        <v>1023</v>
      </c>
      <c r="AU15" t="s">
        <v>571</v>
      </c>
      <c r="AV15">
        <v>34020</v>
      </c>
      <c r="AW15">
        <v>34020</v>
      </c>
      <c r="AX15">
        <v>37020</v>
      </c>
      <c r="BA15">
        <v>3000</v>
      </c>
      <c r="BB15">
        <v>0</v>
      </c>
      <c r="BC15" t="s">
        <v>1024</v>
      </c>
      <c r="BD15" t="s">
        <v>570</v>
      </c>
      <c r="BE15" t="s">
        <v>1996</v>
      </c>
    </row>
    <row r="16" spans="1:57">
      <c r="A16" s="99" t="str">
        <v>SE105</v>
      </c>
      <c r="G16" s="97">
        <v>7320</v>
      </c>
      <c r="H16" s="97">
        <v>7320</v>
      </c>
      <c r="R16" s="117"/>
      <c r="U16" s="99" t="str">
        <v>투명</v>
      </c>
      <c r="V16" s="99">
        <v>3</v>
      </c>
      <c r="W16" s="109">
        <v>0</v>
      </c>
      <c r="AB16" t="s">
        <v>1025</v>
      </c>
      <c r="AC16" t="s">
        <v>769</v>
      </c>
      <c r="AD16" t="s">
        <v>566</v>
      </c>
      <c r="AE16">
        <v>3</v>
      </c>
      <c r="AF16" t="s">
        <v>567</v>
      </c>
      <c r="AG16" t="s">
        <v>1026</v>
      </c>
      <c r="AH16" t="s">
        <v>568</v>
      </c>
      <c r="AI16" t="s">
        <v>562</v>
      </c>
      <c r="AJ16" s="59">
        <v>45443</v>
      </c>
      <c r="AK16" t="s">
        <v>1027</v>
      </c>
      <c r="AM16" t="s">
        <v>1028</v>
      </c>
      <c r="AN16" t="s">
        <v>1029</v>
      </c>
      <c r="AO16" t="s">
        <v>1030</v>
      </c>
      <c r="AP16" s="59">
        <v>45443</v>
      </c>
      <c r="AQ16" t="s">
        <v>563</v>
      </c>
      <c r="AR16" t="s">
        <v>1030</v>
      </c>
      <c r="AS16" t="s">
        <v>560</v>
      </c>
      <c r="AT16" t="s">
        <v>1031</v>
      </c>
      <c r="AU16" t="s">
        <v>571</v>
      </c>
      <c r="AV16">
        <v>7320</v>
      </c>
      <c r="AW16">
        <v>8640</v>
      </c>
      <c r="AX16">
        <v>7320</v>
      </c>
      <c r="BA16">
        <v>0</v>
      </c>
      <c r="BB16">
        <v>0</v>
      </c>
      <c r="BC16" t="s">
        <v>1032</v>
      </c>
      <c r="BD16" t="s">
        <v>570</v>
      </c>
      <c r="BE16" t="s">
        <v>1997</v>
      </c>
    </row>
    <row r="17" spans="1:57">
      <c r="A17" s="99" t="str">
        <v>SE138</v>
      </c>
      <c r="G17" s="97">
        <v>7620</v>
      </c>
      <c r="H17" s="97">
        <v>7620</v>
      </c>
      <c r="R17" s="117"/>
      <c r="U17" s="99" t="str">
        <v>투명</v>
      </c>
      <c r="V17" s="99">
        <v>3</v>
      </c>
      <c r="W17" s="109">
        <v>0</v>
      </c>
      <c r="AB17" t="s">
        <v>1025</v>
      </c>
      <c r="AC17" t="s">
        <v>727</v>
      </c>
      <c r="AD17" t="s">
        <v>728</v>
      </c>
      <c r="AE17">
        <v>3</v>
      </c>
      <c r="AF17" t="s">
        <v>567</v>
      </c>
      <c r="AG17" t="s">
        <v>1026</v>
      </c>
      <c r="AH17" t="s">
        <v>568</v>
      </c>
      <c r="AI17" t="s">
        <v>562</v>
      </c>
      <c r="AJ17" s="59">
        <v>45443</v>
      </c>
      <c r="AK17" t="s">
        <v>1027</v>
      </c>
      <c r="AM17" t="s">
        <v>1028</v>
      </c>
      <c r="AN17" t="s">
        <v>1029</v>
      </c>
      <c r="AO17" t="s">
        <v>1030</v>
      </c>
      <c r="AP17" s="59">
        <v>45443</v>
      </c>
      <c r="AQ17" t="s">
        <v>563</v>
      </c>
      <c r="AR17" t="s">
        <v>1030</v>
      </c>
      <c r="AS17" t="s">
        <v>560</v>
      </c>
      <c r="AT17" t="s">
        <v>1031</v>
      </c>
      <c r="AU17" t="s">
        <v>571</v>
      </c>
      <c r="AV17">
        <v>7620</v>
      </c>
      <c r="AW17">
        <v>8040</v>
      </c>
      <c r="AX17">
        <v>7620</v>
      </c>
      <c r="BA17">
        <v>0</v>
      </c>
      <c r="BB17">
        <v>0</v>
      </c>
      <c r="BC17" t="s">
        <v>1032</v>
      </c>
      <c r="BD17" t="s">
        <v>570</v>
      </c>
      <c r="BE17" t="s">
        <v>1998</v>
      </c>
    </row>
    <row r="18" spans="1:57">
      <c r="A18" s="99" t="str">
        <v>SE206</v>
      </c>
      <c r="G18" s="97">
        <v>56800</v>
      </c>
      <c r="H18" s="97">
        <v>56800</v>
      </c>
      <c r="R18" s="117"/>
      <c r="U18" s="99" t="str">
        <v>투명</v>
      </c>
      <c r="V18" s="99">
        <v>2</v>
      </c>
      <c r="W18" s="109">
        <v>0</v>
      </c>
      <c r="AB18" t="s">
        <v>1033</v>
      </c>
      <c r="AC18" t="s">
        <v>1034</v>
      </c>
      <c r="AD18" t="s">
        <v>1035</v>
      </c>
      <c r="AE18">
        <v>2</v>
      </c>
      <c r="AF18" t="s">
        <v>564</v>
      </c>
      <c r="AG18" t="s">
        <v>1036</v>
      </c>
      <c r="AH18" t="s">
        <v>561</v>
      </c>
      <c r="AI18" t="s">
        <v>673</v>
      </c>
      <c r="AJ18" s="59">
        <v>45442</v>
      </c>
      <c r="AK18" t="s">
        <v>1037</v>
      </c>
      <c r="AL18" s="95" t="s">
        <v>1038</v>
      </c>
      <c r="AM18" t="s">
        <v>1039</v>
      </c>
      <c r="AN18" t="s">
        <v>1040</v>
      </c>
      <c r="AO18" t="s">
        <v>1041</v>
      </c>
      <c r="AP18" s="59">
        <v>45443</v>
      </c>
      <c r="AQ18" t="s">
        <v>563</v>
      </c>
      <c r="AR18" t="s">
        <v>1041</v>
      </c>
      <c r="AS18" t="s">
        <v>560</v>
      </c>
      <c r="AT18" t="s">
        <v>1042</v>
      </c>
      <c r="AU18" t="s">
        <v>1043</v>
      </c>
      <c r="AV18">
        <v>56800</v>
      </c>
      <c r="AW18">
        <v>56800</v>
      </c>
      <c r="AX18">
        <v>56800</v>
      </c>
      <c r="AY18">
        <v>53946</v>
      </c>
      <c r="AZ18">
        <v>2854</v>
      </c>
      <c r="BA18">
        <v>0</v>
      </c>
      <c r="BB18">
        <v>0</v>
      </c>
      <c r="BC18" t="s">
        <v>1044</v>
      </c>
      <c r="BD18" t="s">
        <v>1045</v>
      </c>
      <c r="BE18" t="s">
        <v>1999</v>
      </c>
    </row>
    <row r="19" spans="1:57">
      <c r="A19" s="99" t="str">
        <v/>
      </c>
      <c r="G19" s="97">
        <v>0</v>
      </c>
      <c r="H19" s="97">
        <v>0</v>
      </c>
      <c r="R19" s="117"/>
      <c r="U19" s="99" t="str">
        <v>투명</v>
      </c>
      <c r="V19" s="99">
        <v>1</v>
      </c>
      <c r="W19" s="109" t="str">
        <v/>
      </c>
      <c r="AB19" t="s">
        <v>1046</v>
      </c>
      <c r="AC19" t="s">
        <v>919</v>
      </c>
      <c r="AD19" t="s">
        <v>560</v>
      </c>
      <c r="AE19">
        <v>1</v>
      </c>
      <c r="AF19" t="s">
        <v>973</v>
      </c>
      <c r="AG19" t="s">
        <v>1047</v>
      </c>
      <c r="AH19" t="s">
        <v>921</v>
      </c>
      <c r="AI19" t="s">
        <v>922</v>
      </c>
      <c r="AJ19" s="59">
        <v>45446</v>
      </c>
      <c r="AK19" t="s">
        <v>1048</v>
      </c>
      <c r="AM19" t="s">
        <v>560</v>
      </c>
      <c r="AN19" t="s">
        <v>560</v>
      </c>
      <c r="AO19" t="s">
        <v>560</v>
      </c>
      <c r="AP19" s="59">
        <v>45446</v>
      </c>
      <c r="AQ19" t="s">
        <v>563</v>
      </c>
      <c r="AR19" t="s">
        <v>1049</v>
      </c>
      <c r="AS19" t="s">
        <v>560</v>
      </c>
      <c r="AT19" t="s">
        <v>1050</v>
      </c>
      <c r="AU19" t="s">
        <v>560</v>
      </c>
      <c r="AV19">
        <v>0</v>
      </c>
      <c r="AW19">
        <v>0</v>
      </c>
      <c r="AX19">
        <v>0</v>
      </c>
      <c r="BA19">
        <v>0</v>
      </c>
      <c r="BB19">
        <v>0</v>
      </c>
      <c r="BD19" t="s">
        <v>560</v>
      </c>
      <c r="BE19" t="s">
        <v>1986</v>
      </c>
    </row>
    <row r="20" spans="1:57">
      <c r="A20" s="99" t="str">
        <v/>
      </c>
      <c r="G20" s="97">
        <v>0</v>
      </c>
      <c r="H20" s="97">
        <v>0</v>
      </c>
      <c r="R20" s="117"/>
      <c r="U20" s="99" t="str">
        <v>투명</v>
      </c>
      <c r="V20" s="99">
        <v>1</v>
      </c>
      <c r="W20" s="109" t="str">
        <v/>
      </c>
      <c r="AB20" t="s">
        <v>1051</v>
      </c>
      <c r="AC20" t="s">
        <v>919</v>
      </c>
      <c r="AD20" t="s">
        <v>560</v>
      </c>
      <c r="AE20">
        <v>1</v>
      </c>
      <c r="AF20" t="s">
        <v>973</v>
      </c>
      <c r="AG20" t="s">
        <v>1052</v>
      </c>
      <c r="AH20" t="s">
        <v>921</v>
      </c>
      <c r="AI20" t="s">
        <v>922</v>
      </c>
      <c r="AJ20" s="59">
        <v>45446</v>
      </c>
      <c r="AK20" t="s">
        <v>1053</v>
      </c>
      <c r="AM20" t="s">
        <v>560</v>
      </c>
      <c r="AN20" t="s">
        <v>560</v>
      </c>
      <c r="AO20" t="s">
        <v>560</v>
      </c>
      <c r="AP20" s="59">
        <v>45446</v>
      </c>
      <c r="AQ20" t="s">
        <v>563</v>
      </c>
      <c r="AR20" t="s">
        <v>1054</v>
      </c>
      <c r="AS20" t="s">
        <v>560</v>
      </c>
      <c r="AT20" t="s">
        <v>1055</v>
      </c>
      <c r="AU20" t="s">
        <v>560</v>
      </c>
      <c r="AV20">
        <v>0</v>
      </c>
      <c r="AW20">
        <v>0</v>
      </c>
      <c r="AX20">
        <v>0</v>
      </c>
      <c r="BA20">
        <v>0</v>
      </c>
      <c r="BB20">
        <v>0</v>
      </c>
      <c r="BD20" t="s">
        <v>560</v>
      </c>
      <c r="BE20" t="s">
        <v>1986</v>
      </c>
    </row>
    <row r="21" spans="1:57">
      <c r="A21" s="99" t="str">
        <v/>
      </c>
      <c r="G21" s="97">
        <v>0</v>
      </c>
      <c r="H21" s="97">
        <v>0</v>
      </c>
      <c r="R21" s="117"/>
      <c r="U21" s="99" t="str">
        <v>투명</v>
      </c>
      <c r="V21" s="99">
        <v>4</v>
      </c>
      <c r="W21" s="109" t="str">
        <v/>
      </c>
      <c r="AB21" t="s">
        <v>1056</v>
      </c>
      <c r="AC21" t="s">
        <v>1057</v>
      </c>
      <c r="AD21" t="s">
        <v>560</v>
      </c>
      <c r="AE21">
        <v>4</v>
      </c>
      <c r="AF21" t="s">
        <v>1058</v>
      </c>
      <c r="AG21" t="s">
        <v>1059</v>
      </c>
      <c r="AH21" t="s">
        <v>921</v>
      </c>
      <c r="AI21" t="s">
        <v>922</v>
      </c>
      <c r="AJ21" s="59">
        <v>45446</v>
      </c>
      <c r="AK21" t="s">
        <v>1060</v>
      </c>
      <c r="AM21" t="s">
        <v>560</v>
      </c>
      <c r="AN21" t="s">
        <v>560</v>
      </c>
      <c r="AO21" t="s">
        <v>560</v>
      </c>
      <c r="AP21" s="59">
        <v>45446</v>
      </c>
      <c r="AQ21" t="s">
        <v>563</v>
      </c>
      <c r="AR21" t="s">
        <v>1061</v>
      </c>
      <c r="AS21" t="s">
        <v>560</v>
      </c>
      <c r="AT21" t="s">
        <v>1062</v>
      </c>
      <c r="AU21" t="s">
        <v>560</v>
      </c>
      <c r="AV21">
        <v>0</v>
      </c>
      <c r="AW21">
        <v>0</v>
      </c>
      <c r="AX21">
        <v>0</v>
      </c>
      <c r="BA21">
        <v>0</v>
      </c>
      <c r="BB21">
        <v>0</v>
      </c>
      <c r="BD21" t="s">
        <v>560</v>
      </c>
      <c r="BE21" t="s">
        <v>2000</v>
      </c>
    </row>
    <row r="22" spans="1:57">
      <c r="A22" s="99" t="str">
        <v>SE201</v>
      </c>
      <c r="G22" s="97">
        <v>14580</v>
      </c>
      <c r="H22" s="97">
        <v>17580</v>
      </c>
      <c r="R22" s="117"/>
      <c r="U22" s="99" t="str">
        <v>투명</v>
      </c>
      <c r="V22" s="99">
        <v>1</v>
      </c>
      <c r="W22" s="109">
        <v>0</v>
      </c>
      <c r="AB22" t="s">
        <v>1063</v>
      </c>
      <c r="AC22" t="s">
        <v>1064</v>
      </c>
      <c r="AD22" t="s">
        <v>560</v>
      </c>
      <c r="AE22">
        <v>1</v>
      </c>
      <c r="AF22" t="s">
        <v>567</v>
      </c>
      <c r="AG22" t="s">
        <v>1065</v>
      </c>
      <c r="AH22" t="s">
        <v>561</v>
      </c>
      <c r="AI22" t="s">
        <v>562</v>
      </c>
      <c r="AJ22" s="59">
        <v>45446</v>
      </c>
      <c r="AK22" t="s">
        <v>1066</v>
      </c>
      <c r="AL22" s="95" t="s">
        <v>1067</v>
      </c>
      <c r="AM22" t="s">
        <v>1063</v>
      </c>
      <c r="AN22" t="s">
        <v>1068</v>
      </c>
      <c r="AO22" t="s">
        <v>1069</v>
      </c>
      <c r="AP22" s="59">
        <v>45446</v>
      </c>
      <c r="AQ22" t="s">
        <v>563</v>
      </c>
      <c r="AR22" t="s">
        <v>1069</v>
      </c>
      <c r="AS22" t="s">
        <v>560</v>
      </c>
      <c r="AT22" t="s">
        <v>1070</v>
      </c>
      <c r="AU22" t="s">
        <v>560</v>
      </c>
      <c r="AV22">
        <v>14580</v>
      </c>
      <c r="AW22">
        <v>16200</v>
      </c>
      <c r="AX22">
        <v>17580</v>
      </c>
      <c r="AY22">
        <v>14001</v>
      </c>
      <c r="AZ22">
        <v>579</v>
      </c>
      <c r="BA22">
        <v>3000</v>
      </c>
      <c r="BB22">
        <v>0</v>
      </c>
      <c r="BC22" t="s">
        <v>1071</v>
      </c>
      <c r="BD22" t="s">
        <v>44</v>
      </c>
      <c r="BE22" t="s">
        <v>2001</v>
      </c>
    </row>
    <row r="23" spans="1:57">
      <c r="A23" s="99" t="str">
        <v>SE201</v>
      </c>
      <c r="G23" s="97">
        <v>14580</v>
      </c>
      <c r="H23" s="97">
        <v>17580</v>
      </c>
      <c r="R23" s="117"/>
      <c r="U23" s="99" t="str">
        <v>투명</v>
      </c>
      <c r="V23" s="99">
        <v>1</v>
      </c>
      <c r="W23" s="109">
        <v>0</v>
      </c>
      <c r="AB23" t="s">
        <v>1072</v>
      </c>
      <c r="AC23" t="s">
        <v>1064</v>
      </c>
      <c r="AD23" t="s">
        <v>560</v>
      </c>
      <c r="AE23">
        <v>1</v>
      </c>
      <c r="AF23" t="s">
        <v>567</v>
      </c>
      <c r="AG23" t="s">
        <v>1073</v>
      </c>
      <c r="AH23" t="s">
        <v>561</v>
      </c>
      <c r="AI23" t="s">
        <v>562</v>
      </c>
      <c r="AJ23" s="59">
        <v>45445</v>
      </c>
      <c r="AK23" t="s">
        <v>1074</v>
      </c>
      <c r="AL23" s="95" t="s">
        <v>1075</v>
      </c>
      <c r="AM23" t="s">
        <v>1072</v>
      </c>
      <c r="AN23" t="s">
        <v>1076</v>
      </c>
      <c r="AO23" t="s">
        <v>1077</v>
      </c>
      <c r="AP23" s="59">
        <v>45446</v>
      </c>
      <c r="AQ23" t="s">
        <v>563</v>
      </c>
      <c r="AR23" t="s">
        <v>1077</v>
      </c>
      <c r="AS23" t="s">
        <v>560</v>
      </c>
      <c r="AT23" t="s">
        <v>1078</v>
      </c>
      <c r="AU23" t="s">
        <v>560</v>
      </c>
      <c r="AV23">
        <v>14580</v>
      </c>
      <c r="AW23">
        <v>16200</v>
      </c>
      <c r="AX23">
        <v>17580</v>
      </c>
      <c r="AY23">
        <v>14292</v>
      </c>
      <c r="AZ23">
        <v>288</v>
      </c>
      <c r="BA23">
        <v>3000</v>
      </c>
      <c r="BB23">
        <v>0</v>
      </c>
      <c r="BC23" t="s">
        <v>1079</v>
      </c>
      <c r="BD23" t="s">
        <v>44</v>
      </c>
      <c r="BE23" t="s">
        <v>2001</v>
      </c>
    </row>
    <row r="24" spans="1:57">
      <c r="A24" s="99" t="str">
        <v>SE206</v>
      </c>
      <c r="G24" s="97">
        <v>57240</v>
      </c>
      <c r="H24" s="97">
        <v>57240</v>
      </c>
      <c r="R24" s="117"/>
      <c r="U24" s="99" t="str">
        <v>투명</v>
      </c>
      <c r="V24" s="99">
        <v>2</v>
      </c>
      <c r="W24" s="109">
        <v>0</v>
      </c>
      <c r="AB24" t="s">
        <v>1080</v>
      </c>
      <c r="AC24" t="s">
        <v>934</v>
      </c>
      <c r="AD24" t="s">
        <v>560</v>
      </c>
      <c r="AE24">
        <v>2</v>
      </c>
      <c r="AF24" t="s">
        <v>564</v>
      </c>
      <c r="AG24" t="s">
        <v>1081</v>
      </c>
      <c r="AH24" t="s">
        <v>561</v>
      </c>
      <c r="AI24" t="s">
        <v>562</v>
      </c>
      <c r="AJ24" s="59">
        <v>45444</v>
      </c>
      <c r="AK24" t="s">
        <v>1082</v>
      </c>
      <c r="AL24" s="95" t="s">
        <v>1083</v>
      </c>
      <c r="AM24" t="s">
        <v>1080</v>
      </c>
      <c r="AN24" t="s">
        <v>1084</v>
      </c>
      <c r="AO24" t="s">
        <v>1085</v>
      </c>
      <c r="AP24" s="59">
        <v>45446</v>
      </c>
      <c r="AQ24" t="s">
        <v>563</v>
      </c>
      <c r="AR24" t="s">
        <v>1086</v>
      </c>
      <c r="AS24" t="s">
        <v>560</v>
      </c>
      <c r="AT24" t="s">
        <v>1087</v>
      </c>
      <c r="AU24" t="s">
        <v>560</v>
      </c>
      <c r="AV24">
        <v>57240</v>
      </c>
      <c r="AW24">
        <v>63600</v>
      </c>
      <c r="AX24">
        <v>57240</v>
      </c>
      <c r="AY24">
        <v>54963</v>
      </c>
      <c r="AZ24">
        <v>2277</v>
      </c>
      <c r="BA24">
        <v>0</v>
      </c>
      <c r="BB24">
        <v>0</v>
      </c>
      <c r="BC24" t="s">
        <v>1088</v>
      </c>
      <c r="BD24" t="s">
        <v>34</v>
      </c>
      <c r="BE24" t="s">
        <v>1988</v>
      </c>
    </row>
    <row r="25" spans="1:57">
      <c r="A25" s="99" t="str">
        <v>SE205</v>
      </c>
      <c r="G25" s="97">
        <v>24000</v>
      </c>
      <c r="H25" s="97">
        <v>27000</v>
      </c>
      <c r="R25" s="117"/>
      <c r="U25" s="99" t="str">
        <v>투명</v>
      </c>
      <c r="V25" s="99">
        <v>1</v>
      </c>
      <c r="W25" s="109">
        <v>0</v>
      </c>
      <c r="AB25" t="s">
        <v>1089</v>
      </c>
      <c r="AC25" t="s">
        <v>1034</v>
      </c>
      <c r="AD25" t="s">
        <v>1090</v>
      </c>
      <c r="AE25">
        <v>1</v>
      </c>
      <c r="AF25" t="s">
        <v>567</v>
      </c>
      <c r="AG25" t="s">
        <v>1091</v>
      </c>
      <c r="AH25" t="s">
        <v>561</v>
      </c>
      <c r="AI25" t="s">
        <v>673</v>
      </c>
      <c r="AJ25" s="59">
        <v>45446</v>
      </c>
      <c r="AK25" t="s">
        <v>1092</v>
      </c>
      <c r="AL25" s="95" t="s">
        <v>1093</v>
      </c>
      <c r="AM25" t="s">
        <v>1089</v>
      </c>
      <c r="AN25" t="s">
        <v>1094</v>
      </c>
      <c r="AO25" t="s">
        <v>1095</v>
      </c>
      <c r="AP25" s="59">
        <v>45446</v>
      </c>
      <c r="AQ25" t="s">
        <v>563</v>
      </c>
      <c r="AR25" t="s">
        <v>1095</v>
      </c>
      <c r="AS25" t="s">
        <v>560</v>
      </c>
      <c r="AT25" t="s">
        <v>1096</v>
      </c>
      <c r="AU25" t="s">
        <v>560</v>
      </c>
      <c r="AV25">
        <v>24000</v>
      </c>
      <c r="AW25">
        <v>24000</v>
      </c>
      <c r="AX25">
        <v>27000</v>
      </c>
      <c r="AY25">
        <v>22794</v>
      </c>
      <c r="AZ25">
        <v>1206</v>
      </c>
      <c r="BA25">
        <v>3000</v>
      </c>
      <c r="BB25">
        <v>0</v>
      </c>
      <c r="BC25" t="s">
        <v>1097</v>
      </c>
      <c r="BD25" t="s">
        <v>1045</v>
      </c>
      <c r="BE25" t="s">
        <v>2002</v>
      </c>
    </row>
    <row r="26" spans="1:57">
      <c r="A26" s="99" t="str">
        <v>SE203</v>
      </c>
      <c r="G26" s="97">
        <v>17600</v>
      </c>
      <c r="H26" s="97">
        <v>20600</v>
      </c>
      <c r="R26" s="117"/>
      <c r="U26" s="99" t="str">
        <v>투명</v>
      </c>
      <c r="V26" s="99">
        <v>1</v>
      </c>
      <c r="W26" s="109">
        <v>0</v>
      </c>
      <c r="AB26" t="s">
        <v>1098</v>
      </c>
      <c r="AC26" t="s">
        <v>1034</v>
      </c>
      <c r="AD26" t="s">
        <v>1099</v>
      </c>
      <c r="AE26">
        <v>1</v>
      </c>
      <c r="AF26" t="s">
        <v>567</v>
      </c>
      <c r="AG26" t="s">
        <v>1100</v>
      </c>
      <c r="AH26" t="s">
        <v>561</v>
      </c>
      <c r="AI26" t="s">
        <v>673</v>
      </c>
      <c r="AJ26" s="59">
        <v>45445</v>
      </c>
      <c r="AK26" t="s">
        <v>1101</v>
      </c>
      <c r="AL26" s="95" t="s">
        <v>1102</v>
      </c>
      <c r="AM26" t="s">
        <v>1098</v>
      </c>
      <c r="AN26" t="s">
        <v>1103</v>
      </c>
      <c r="AO26" t="s">
        <v>1104</v>
      </c>
      <c r="AP26" s="59">
        <v>45446</v>
      </c>
      <c r="AQ26" t="s">
        <v>563</v>
      </c>
      <c r="AR26" t="s">
        <v>1104</v>
      </c>
      <c r="AS26" t="s">
        <v>560</v>
      </c>
      <c r="AT26" t="s">
        <v>1105</v>
      </c>
      <c r="AU26" t="s">
        <v>560</v>
      </c>
      <c r="AV26">
        <v>17600</v>
      </c>
      <c r="AW26">
        <v>17600</v>
      </c>
      <c r="AX26">
        <v>20600</v>
      </c>
      <c r="AY26">
        <v>16716</v>
      </c>
      <c r="AZ26">
        <v>884</v>
      </c>
      <c r="BA26">
        <v>3000</v>
      </c>
      <c r="BB26">
        <v>0</v>
      </c>
      <c r="BC26" t="s">
        <v>1106</v>
      </c>
      <c r="BD26" t="s">
        <v>1045</v>
      </c>
      <c r="BE26" t="s">
        <v>2003</v>
      </c>
    </row>
    <row r="27" spans="1:57">
      <c r="A27" s="99" t="str">
        <v>SE204</v>
      </c>
      <c r="G27" s="97">
        <v>20800</v>
      </c>
      <c r="H27" s="97">
        <v>23800</v>
      </c>
      <c r="R27" s="117"/>
      <c r="U27" s="99" t="str">
        <v>투명</v>
      </c>
      <c r="V27" s="99">
        <v>1</v>
      </c>
      <c r="W27" s="109">
        <v>0</v>
      </c>
      <c r="AB27" t="s">
        <v>1107</v>
      </c>
      <c r="AC27" t="s">
        <v>1034</v>
      </c>
      <c r="AD27" t="s">
        <v>1108</v>
      </c>
      <c r="AE27">
        <v>1</v>
      </c>
      <c r="AF27" t="s">
        <v>350</v>
      </c>
      <c r="AG27" t="s">
        <v>1109</v>
      </c>
      <c r="AH27" t="s">
        <v>561</v>
      </c>
      <c r="AI27" t="s">
        <v>673</v>
      </c>
      <c r="AJ27" s="59">
        <v>45444</v>
      </c>
      <c r="AK27" t="s">
        <v>1110</v>
      </c>
      <c r="AL27" s="95" t="s">
        <v>1111</v>
      </c>
      <c r="AM27" t="s">
        <v>1112</v>
      </c>
      <c r="AN27" t="s">
        <v>1113</v>
      </c>
      <c r="AO27" t="s">
        <v>1114</v>
      </c>
      <c r="AP27" s="59">
        <v>45446</v>
      </c>
      <c r="AQ27" t="s">
        <v>563</v>
      </c>
      <c r="AR27" t="s">
        <v>1114</v>
      </c>
      <c r="AS27" t="s">
        <v>560</v>
      </c>
      <c r="AT27" t="s">
        <v>1115</v>
      </c>
      <c r="AU27" t="s">
        <v>560</v>
      </c>
      <c r="AV27">
        <v>20800</v>
      </c>
      <c r="AW27">
        <v>20800</v>
      </c>
      <c r="AX27">
        <v>23800</v>
      </c>
      <c r="AY27">
        <v>19755</v>
      </c>
      <c r="AZ27">
        <v>1045</v>
      </c>
      <c r="BA27">
        <v>3000</v>
      </c>
      <c r="BB27">
        <v>0</v>
      </c>
      <c r="BC27" t="s">
        <v>1116</v>
      </c>
      <c r="BD27" t="s">
        <v>1045</v>
      </c>
      <c r="BE27" t="s">
        <v>2004</v>
      </c>
    </row>
    <row r="28" spans="1:57">
      <c r="A28" s="99" t="str">
        <v/>
      </c>
      <c r="G28" s="97">
        <v>1770</v>
      </c>
      <c r="H28" s="97">
        <v>1770</v>
      </c>
      <c r="R28" s="117"/>
      <c r="U28" s="99" t="str">
        <v>청백</v>
      </c>
      <c r="V28" s="99">
        <v>1</v>
      </c>
      <c r="W28" s="109">
        <v>0</v>
      </c>
      <c r="AB28" t="s">
        <v>1117</v>
      </c>
      <c r="AC28" t="s">
        <v>1118</v>
      </c>
      <c r="AD28" t="s">
        <v>1119</v>
      </c>
      <c r="AE28">
        <v>1</v>
      </c>
      <c r="AF28" t="s">
        <v>567</v>
      </c>
      <c r="AG28" t="s">
        <v>1120</v>
      </c>
      <c r="AH28" t="s">
        <v>561</v>
      </c>
      <c r="AI28" t="s">
        <v>673</v>
      </c>
      <c r="AJ28" s="59">
        <v>45444</v>
      </c>
      <c r="AK28" t="s">
        <v>1121</v>
      </c>
      <c r="AL28" s="95" t="s">
        <v>1122</v>
      </c>
      <c r="AM28" t="s">
        <v>1123</v>
      </c>
      <c r="AN28" t="s">
        <v>1124</v>
      </c>
      <c r="AO28" t="s">
        <v>1125</v>
      </c>
      <c r="AP28" s="59">
        <v>45446</v>
      </c>
      <c r="AQ28" t="s">
        <v>563</v>
      </c>
      <c r="AR28" t="s">
        <v>1125</v>
      </c>
      <c r="AS28" t="s">
        <v>560</v>
      </c>
      <c r="AT28" t="s">
        <v>1126</v>
      </c>
      <c r="AU28" t="s">
        <v>560</v>
      </c>
      <c r="AV28">
        <v>1770</v>
      </c>
      <c r="AW28">
        <v>3210</v>
      </c>
      <c r="AX28">
        <v>1770</v>
      </c>
      <c r="AY28">
        <v>1682</v>
      </c>
      <c r="AZ28">
        <v>88</v>
      </c>
      <c r="BA28">
        <v>0</v>
      </c>
      <c r="BB28">
        <v>0</v>
      </c>
      <c r="BC28" t="s">
        <v>1127</v>
      </c>
      <c r="BD28" t="s">
        <v>1128</v>
      </c>
      <c r="BE28" t="s">
        <v>2005</v>
      </c>
    </row>
    <row r="29" spans="1:57">
      <c r="A29" s="99" t="str">
        <v/>
      </c>
      <c r="G29" s="97">
        <v>9800</v>
      </c>
      <c r="H29" s="97">
        <v>9800</v>
      </c>
      <c r="R29" s="117"/>
      <c r="U29" s="99" t="str">
        <v>유백</v>
      </c>
      <c r="V29" s="99">
        <v>10</v>
      </c>
      <c r="W29" s="109">
        <v>0</v>
      </c>
      <c r="AB29" t="s">
        <v>1117</v>
      </c>
      <c r="AC29" t="s">
        <v>1118</v>
      </c>
      <c r="AD29" t="s">
        <v>1129</v>
      </c>
      <c r="AE29">
        <v>10</v>
      </c>
      <c r="AF29" t="s">
        <v>567</v>
      </c>
      <c r="AG29" t="s">
        <v>1120</v>
      </c>
      <c r="AH29" t="s">
        <v>561</v>
      </c>
      <c r="AI29" t="s">
        <v>673</v>
      </c>
      <c r="AJ29" s="59">
        <v>45444</v>
      </c>
      <c r="AK29" t="s">
        <v>1121</v>
      </c>
      <c r="AL29" s="95" t="s">
        <v>1130</v>
      </c>
      <c r="AM29" t="s">
        <v>1123</v>
      </c>
      <c r="AN29" t="s">
        <v>1124</v>
      </c>
      <c r="AO29" t="s">
        <v>1125</v>
      </c>
      <c r="AP29" s="59">
        <v>45446</v>
      </c>
      <c r="AQ29" t="s">
        <v>563</v>
      </c>
      <c r="AR29" t="s">
        <v>1125</v>
      </c>
      <c r="AS29" t="s">
        <v>560</v>
      </c>
      <c r="AT29" t="s">
        <v>1126</v>
      </c>
      <c r="AU29" t="s">
        <v>560</v>
      </c>
      <c r="AV29">
        <v>9800</v>
      </c>
      <c r="AW29">
        <v>24200</v>
      </c>
      <c r="AX29">
        <v>9800</v>
      </c>
      <c r="AY29">
        <v>9308</v>
      </c>
      <c r="AZ29">
        <v>492</v>
      </c>
      <c r="BA29">
        <v>0</v>
      </c>
      <c r="BB29">
        <v>0</v>
      </c>
      <c r="BC29" t="s">
        <v>1127</v>
      </c>
      <c r="BD29" t="s">
        <v>1128</v>
      </c>
      <c r="BE29" t="s">
        <v>2006</v>
      </c>
    </row>
    <row r="30" spans="1:57">
      <c r="A30" s="99" t="str">
        <v>SE406</v>
      </c>
      <c r="G30" s="97">
        <v>12600</v>
      </c>
      <c r="H30" s="97">
        <v>12600</v>
      </c>
      <c r="R30" s="117"/>
      <c r="U30" s="99" t="str">
        <v>투명</v>
      </c>
      <c r="V30" s="99">
        <v>1</v>
      </c>
      <c r="W30" s="109">
        <v>0</v>
      </c>
      <c r="AB30" t="s">
        <v>1117</v>
      </c>
      <c r="AC30" t="s">
        <v>1131</v>
      </c>
      <c r="AD30" t="s">
        <v>1132</v>
      </c>
      <c r="AE30">
        <v>1</v>
      </c>
      <c r="AF30" t="s">
        <v>567</v>
      </c>
      <c r="AG30" t="s">
        <v>1120</v>
      </c>
      <c r="AH30" t="s">
        <v>561</v>
      </c>
      <c r="AI30" t="s">
        <v>673</v>
      </c>
      <c r="AJ30" s="59">
        <v>45444</v>
      </c>
      <c r="AK30" t="s">
        <v>1121</v>
      </c>
      <c r="AL30" s="95" t="s">
        <v>1133</v>
      </c>
      <c r="AM30" t="s">
        <v>1123</v>
      </c>
      <c r="AN30" t="s">
        <v>1124</v>
      </c>
      <c r="AO30" t="s">
        <v>1125</v>
      </c>
      <c r="AP30" s="59">
        <v>45446</v>
      </c>
      <c r="AQ30" t="s">
        <v>563</v>
      </c>
      <c r="AR30" t="s">
        <v>1125</v>
      </c>
      <c r="AS30" t="s">
        <v>560</v>
      </c>
      <c r="AT30" t="s">
        <v>1126</v>
      </c>
      <c r="AU30" t="s">
        <v>560</v>
      </c>
      <c r="AV30">
        <v>12600</v>
      </c>
      <c r="AW30">
        <v>12600</v>
      </c>
      <c r="AX30">
        <v>12600</v>
      </c>
      <c r="AY30">
        <v>11967</v>
      </c>
      <c r="AZ30">
        <v>633</v>
      </c>
      <c r="BA30">
        <v>0</v>
      </c>
      <c r="BB30">
        <v>0</v>
      </c>
      <c r="BC30" t="s">
        <v>1127</v>
      </c>
      <c r="BD30" t="s">
        <v>1134</v>
      </c>
      <c r="BE30" t="s">
        <v>2007</v>
      </c>
    </row>
    <row r="31" spans="1:57">
      <c r="A31" s="99" t="str">
        <v>SE204</v>
      </c>
      <c r="G31" s="97">
        <v>20800</v>
      </c>
      <c r="H31" s="97">
        <v>23800</v>
      </c>
      <c r="R31" s="117"/>
      <c r="U31" s="99" t="str">
        <v>투명</v>
      </c>
      <c r="V31" s="99">
        <v>1</v>
      </c>
      <c r="W31" s="109">
        <v>0</v>
      </c>
      <c r="AB31" t="s">
        <v>1135</v>
      </c>
      <c r="AC31" t="s">
        <v>1136</v>
      </c>
      <c r="AD31" t="s">
        <v>560</v>
      </c>
      <c r="AE31">
        <v>1</v>
      </c>
      <c r="AF31" t="s">
        <v>567</v>
      </c>
      <c r="AG31" t="s">
        <v>1137</v>
      </c>
      <c r="AH31" t="s">
        <v>561</v>
      </c>
      <c r="AI31" t="s">
        <v>673</v>
      </c>
      <c r="AJ31" s="59">
        <v>45443</v>
      </c>
      <c r="AK31" t="s">
        <v>1138</v>
      </c>
      <c r="AL31" s="95" t="s">
        <v>1139</v>
      </c>
      <c r="AM31" t="s">
        <v>1135</v>
      </c>
      <c r="AN31" t="s">
        <v>1140</v>
      </c>
      <c r="AO31" t="s">
        <v>1141</v>
      </c>
      <c r="AP31" s="59">
        <v>45446</v>
      </c>
      <c r="AQ31" t="s">
        <v>563</v>
      </c>
      <c r="AR31" t="s">
        <v>1141</v>
      </c>
      <c r="AS31" t="s">
        <v>560</v>
      </c>
      <c r="AT31" t="s">
        <v>1142</v>
      </c>
      <c r="AU31" t="s">
        <v>560</v>
      </c>
      <c r="AV31">
        <v>20800</v>
      </c>
      <c r="AW31">
        <v>20800</v>
      </c>
      <c r="AX31">
        <v>23800</v>
      </c>
      <c r="AY31">
        <v>19755</v>
      </c>
      <c r="AZ31">
        <v>1045</v>
      </c>
      <c r="BA31">
        <v>3000</v>
      </c>
      <c r="BB31">
        <v>0</v>
      </c>
      <c r="BC31" t="s">
        <v>1143</v>
      </c>
      <c r="BD31" t="s">
        <v>38</v>
      </c>
      <c r="BE31" t="s">
        <v>2008</v>
      </c>
    </row>
    <row r="32" spans="1:57">
      <c r="A32" s="99" t="str">
        <v>SE307</v>
      </c>
      <c r="G32" s="97">
        <v>12470</v>
      </c>
      <c r="H32" s="97">
        <v>15470</v>
      </c>
      <c r="R32" s="117"/>
      <c r="U32" s="99" t="str">
        <v>투명</v>
      </c>
      <c r="V32" s="99">
        <v>1</v>
      </c>
      <c r="W32" s="109">
        <v>0</v>
      </c>
      <c r="AB32" t="s">
        <v>1144</v>
      </c>
      <c r="AC32" t="s">
        <v>1145</v>
      </c>
      <c r="AD32" t="s">
        <v>1146</v>
      </c>
      <c r="AE32">
        <v>1</v>
      </c>
      <c r="AF32" t="s">
        <v>567</v>
      </c>
      <c r="AG32" t="s">
        <v>1147</v>
      </c>
      <c r="AH32" t="s">
        <v>568</v>
      </c>
      <c r="AI32" t="s">
        <v>562</v>
      </c>
      <c r="AJ32" s="59">
        <v>45444</v>
      </c>
      <c r="AK32" t="s">
        <v>1148</v>
      </c>
      <c r="AM32" t="s">
        <v>1149</v>
      </c>
      <c r="AN32" t="s">
        <v>1150</v>
      </c>
      <c r="AO32" t="s">
        <v>1151</v>
      </c>
      <c r="AP32" s="59">
        <v>45446</v>
      </c>
      <c r="AQ32" t="s">
        <v>563</v>
      </c>
      <c r="AR32" t="s">
        <v>1151</v>
      </c>
      <c r="AS32" t="s">
        <v>560</v>
      </c>
      <c r="AT32" t="s">
        <v>1152</v>
      </c>
      <c r="AU32" t="s">
        <v>571</v>
      </c>
      <c r="AV32">
        <v>12470</v>
      </c>
      <c r="AW32">
        <v>12470</v>
      </c>
      <c r="AX32">
        <v>15470</v>
      </c>
      <c r="BA32">
        <v>3000</v>
      </c>
      <c r="BB32">
        <v>0</v>
      </c>
      <c r="BC32" t="s">
        <v>1153</v>
      </c>
      <c r="BD32" t="s">
        <v>570</v>
      </c>
      <c r="BE32" t="s">
        <v>2009</v>
      </c>
    </row>
    <row r="33" spans="1:57">
      <c r="A33" s="99" t="str">
        <v>SE206</v>
      </c>
      <c r="G33" s="97">
        <v>34020</v>
      </c>
      <c r="H33" s="97">
        <v>37020</v>
      </c>
      <c r="R33" s="117"/>
      <c r="U33" s="99" t="str">
        <v>투명</v>
      </c>
      <c r="V33" s="99">
        <v>1</v>
      </c>
      <c r="W33" s="109">
        <v>0</v>
      </c>
      <c r="AB33" t="s">
        <v>1154</v>
      </c>
      <c r="AC33" t="s">
        <v>737</v>
      </c>
      <c r="AD33" t="s">
        <v>738</v>
      </c>
      <c r="AE33">
        <v>1</v>
      </c>
      <c r="AF33" t="s">
        <v>350</v>
      </c>
      <c r="AG33" t="s">
        <v>1155</v>
      </c>
      <c r="AH33" t="s">
        <v>568</v>
      </c>
      <c r="AI33" t="s">
        <v>562</v>
      </c>
      <c r="AJ33" s="59">
        <v>45444</v>
      </c>
      <c r="AK33" t="s">
        <v>1156</v>
      </c>
      <c r="AM33" t="s">
        <v>1154</v>
      </c>
      <c r="AN33" t="s">
        <v>982</v>
      </c>
      <c r="AO33" t="s">
        <v>1157</v>
      </c>
      <c r="AP33" s="59">
        <v>45446</v>
      </c>
      <c r="AQ33" t="s">
        <v>563</v>
      </c>
      <c r="AR33" t="s">
        <v>1157</v>
      </c>
      <c r="AS33" t="s">
        <v>560</v>
      </c>
      <c r="AT33" t="s">
        <v>1158</v>
      </c>
      <c r="AU33" t="s">
        <v>571</v>
      </c>
      <c r="AV33">
        <v>34020</v>
      </c>
      <c r="AW33">
        <v>34020</v>
      </c>
      <c r="AX33">
        <v>37020</v>
      </c>
      <c r="BA33">
        <v>3000</v>
      </c>
      <c r="BB33">
        <v>0</v>
      </c>
      <c r="BC33" t="s">
        <v>1159</v>
      </c>
      <c r="BD33" t="s">
        <v>570</v>
      </c>
      <c r="BE33" t="s">
        <v>1996</v>
      </c>
    </row>
    <row r="34" spans="1:57">
      <c r="A34" s="99" t="str">
        <v>SE102</v>
      </c>
      <c r="G34" s="97">
        <v>46000</v>
      </c>
      <c r="H34" s="97">
        <v>46000</v>
      </c>
      <c r="R34" s="117"/>
      <c r="U34" s="99" t="str">
        <v>투명</v>
      </c>
      <c r="V34" s="99">
        <v>40</v>
      </c>
      <c r="W34" s="109">
        <v>0</v>
      </c>
      <c r="AB34" t="s">
        <v>1160</v>
      </c>
      <c r="AC34" t="s">
        <v>719</v>
      </c>
      <c r="AD34" t="s">
        <v>566</v>
      </c>
      <c r="AE34">
        <v>40</v>
      </c>
      <c r="AF34" t="s">
        <v>350</v>
      </c>
      <c r="AG34" t="s">
        <v>1161</v>
      </c>
      <c r="AH34" t="s">
        <v>568</v>
      </c>
      <c r="AI34" t="s">
        <v>562</v>
      </c>
      <c r="AJ34" s="59">
        <v>45444</v>
      </c>
      <c r="AK34" t="s">
        <v>1162</v>
      </c>
      <c r="AM34" t="s">
        <v>1160</v>
      </c>
      <c r="AN34" t="s">
        <v>1163</v>
      </c>
      <c r="AO34" t="s">
        <v>1164</v>
      </c>
      <c r="AP34" s="59">
        <v>45446</v>
      </c>
      <c r="AQ34" t="s">
        <v>563</v>
      </c>
      <c r="AR34" t="s">
        <v>1164</v>
      </c>
      <c r="AS34" t="s">
        <v>560</v>
      </c>
      <c r="AT34" t="s">
        <v>1165</v>
      </c>
      <c r="AU34" t="s">
        <v>569</v>
      </c>
      <c r="AV34">
        <v>46000</v>
      </c>
      <c r="AW34">
        <v>46000</v>
      </c>
      <c r="AX34">
        <v>46000</v>
      </c>
      <c r="BA34">
        <v>0</v>
      </c>
      <c r="BB34">
        <v>0</v>
      </c>
      <c r="BC34" t="s">
        <v>1166</v>
      </c>
      <c r="BD34" t="s">
        <v>570</v>
      </c>
      <c r="BE34" t="s">
        <v>2010</v>
      </c>
    </row>
    <row r="35" spans="1:57">
      <c r="A35" s="99" t="str">
        <v>SE101</v>
      </c>
      <c r="G35" s="97">
        <v>28200</v>
      </c>
      <c r="H35" s="97">
        <v>31200</v>
      </c>
      <c r="R35" s="117"/>
      <c r="U35" s="99" t="str">
        <v>투명</v>
      </c>
      <c r="V35" s="99">
        <v>30</v>
      </c>
      <c r="W35" s="109">
        <v>0</v>
      </c>
      <c r="AB35" t="s">
        <v>1167</v>
      </c>
      <c r="AC35" t="s">
        <v>565</v>
      </c>
      <c r="AD35" t="s">
        <v>566</v>
      </c>
      <c r="AE35">
        <v>30</v>
      </c>
      <c r="AF35" t="s">
        <v>350</v>
      </c>
      <c r="AG35" t="s">
        <v>1168</v>
      </c>
      <c r="AH35" t="s">
        <v>568</v>
      </c>
      <c r="AI35" t="s">
        <v>562</v>
      </c>
      <c r="AJ35" s="59">
        <v>45444</v>
      </c>
      <c r="AK35" t="s">
        <v>1169</v>
      </c>
      <c r="AM35" t="s">
        <v>1167</v>
      </c>
      <c r="AN35" t="s">
        <v>1170</v>
      </c>
      <c r="AO35" t="s">
        <v>1171</v>
      </c>
      <c r="AP35" s="59">
        <v>45446</v>
      </c>
      <c r="AQ35" t="s">
        <v>563</v>
      </c>
      <c r="AR35" t="s">
        <v>1171</v>
      </c>
      <c r="AS35" t="s">
        <v>560</v>
      </c>
      <c r="AT35" t="s">
        <v>1172</v>
      </c>
      <c r="AU35" t="s">
        <v>571</v>
      </c>
      <c r="AV35">
        <v>28200</v>
      </c>
      <c r="AW35">
        <v>28200</v>
      </c>
      <c r="AX35">
        <v>31200</v>
      </c>
      <c r="BA35">
        <v>3000</v>
      </c>
      <c r="BB35">
        <v>0</v>
      </c>
      <c r="BC35" t="s">
        <v>1173</v>
      </c>
      <c r="BD35" t="s">
        <v>570</v>
      </c>
      <c r="BE35" t="s">
        <v>2011</v>
      </c>
    </row>
    <row r="36" spans="1:57">
      <c r="A36" s="99" t="str">
        <v>SE108</v>
      </c>
      <c r="G36" s="97">
        <v>6250</v>
      </c>
      <c r="H36" s="97">
        <v>9250</v>
      </c>
      <c r="R36" s="117"/>
      <c r="U36" s="99" t="str">
        <v>투명</v>
      </c>
      <c r="V36" s="99">
        <v>5</v>
      </c>
      <c r="W36" s="109">
        <v>0</v>
      </c>
      <c r="AB36" t="s">
        <v>1174</v>
      </c>
      <c r="AC36" t="s">
        <v>1175</v>
      </c>
      <c r="AD36" t="s">
        <v>728</v>
      </c>
      <c r="AE36">
        <v>5</v>
      </c>
      <c r="AF36" t="s">
        <v>567</v>
      </c>
      <c r="AG36" t="s">
        <v>1176</v>
      </c>
      <c r="AH36" t="s">
        <v>568</v>
      </c>
      <c r="AI36" t="s">
        <v>562</v>
      </c>
      <c r="AJ36" s="59">
        <v>45445</v>
      </c>
      <c r="AK36" t="s">
        <v>1177</v>
      </c>
      <c r="AM36" t="s">
        <v>1174</v>
      </c>
      <c r="AN36" t="s">
        <v>1178</v>
      </c>
      <c r="AO36" t="s">
        <v>1179</v>
      </c>
      <c r="AP36" s="59">
        <v>45446</v>
      </c>
      <c r="AQ36" t="s">
        <v>563</v>
      </c>
      <c r="AR36" t="s">
        <v>1179</v>
      </c>
      <c r="AS36" t="s">
        <v>560</v>
      </c>
      <c r="AT36" t="s">
        <v>1180</v>
      </c>
      <c r="AU36" t="s">
        <v>571</v>
      </c>
      <c r="AV36">
        <v>6250</v>
      </c>
      <c r="AW36">
        <v>6250</v>
      </c>
      <c r="AX36">
        <v>9250</v>
      </c>
      <c r="BA36">
        <v>3000</v>
      </c>
      <c r="BB36">
        <v>0</v>
      </c>
      <c r="BC36" t="s">
        <v>1181</v>
      </c>
      <c r="BD36" t="s">
        <v>570</v>
      </c>
      <c r="BE36" t="s">
        <v>2012</v>
      </c>
    </row>
    <row r="37" spans="1:57">
      <c r="A37" s="99" t="str">
        <v>SE101</v>
      </c>
      <c r="G37" s="97">
        <v>17300</v>
      </c>
      <c r="H37" s="97">
        <v>20300</v>
      </c>
      <c r="R37" s="117"/>
      <c r="U37" s="99" t="str">
        <v>투명</v>
      </c>
      <c r="V37" s="99">
        <v>1</v>
      </c>
      <c r="W37" s="109">
        <v>0</v>
      </c>
      <c r="AB37" t="s">
        <v>1182</v>
      </c>
      <c r="AC37" t="s">
        <v>692</v>
      </c>
      <c r="AD37" t="s">
        <v>995</v>
      </c>
      <c r="AE37">
        <v>1</v>
      </c>
      <c r="AF37" t="s">
        <v>567</v>
      </c>
      <c r="AG37" t="s">
        <v>1183</v>
      </c>
      <c r="AH37" t="s">
        <v>568</v>
      </c>
      <c r="AI37" t="s">
        <v>673</v>
      </c>
      <c r="AJ37" s="59">
        <v>45444</v>
      </c>
      <c r="AK37" t="s">
        <v>1184</v>
      </c>
      <c r="AM37" t="s">
        <v>1182</v>
      </c>
      <c r="AN37" t="s">
        <v>1185</v>
      </c>
      <c r="AO37" t="s">
        <v>1186</v>
      </c>
      <c r="AP37" s="59">
        <v>45446</v>
      </c>
      <c r="AQ37" t="s">
        <v>563</v>
      </c>
      <c r="AR37" t="s">
        <v>1186</v>
      </c>
      <c r="AS37" t="s">
        <v>560</v>
      </c>
      <c r="AT37" t="s">
        <v>1187</v>
      </c>
      <c r="AU37" t="s">
        <v>571</v>
      </c>
      <c r="AV37">
        <v>17300</v>
      </c>
      <c r="AW37">
        <v>17300</v>
      </c>
      <c r="AX37">
        <v>20300</v>
      </c>
      <c r="BA37">
        <v>3000</v>
      </c>
      <c r="BB37">
        <v>0</v>
      </c>
      <c r="BC37" t="s">
        <v>1188</v>
      </c>
      <c r="BD37" t="s">
        <v>701</v>
      </c>
      <c r="BE37" t="s">
        <v>1995</v>
      </c>
    </row>
    <row r="38" spans="1:57">
      <c r="A38" s="99" t="str">
        <v>SE28</v>
      </c>
      <c r="G38" s="97">
        <v>45360</v>
      </c>
      <c r="H38" s="97">
        <v>45360</v>
      </c>
      <c r="R38" s="117"/>
      <c r="U38" s="99" t="str">
        <v>유백</v>
      </c>
      <c r="V38" s="99">
        <v>6</v>
      </c>
      <c r="W38" s="109">
        <v>0</v>
      </c>
      <c r="AB38" t="s">
        <v>1189</v>
      </c>
      <c r="AC38" t="s">
        <v>1190</v>
      </c>
      <c r="AD38" t="s">
        <v>1191</v>
      </c>
      <c r="AE38">
        <v>6</v>
      </c>
      <c r="AF38" t="s">
        <v>1058</v>
      </c>
      <c r="AG38" t="s">
        <v>1192</v>
      </c>
      <c r="AH38" t="s">
        <v>561</v>
      </c>
      <c r="AI38" t="s">
        <v>562</v>
      </c>
      <c r="AJ38" s="59">
        <v>45447</v>
      </c>
      <c r="AK38" t="s">
        <v>1193</v>
      </c>
      <c r="AM38" t="s">
        <v>1194</v>
      </c>
      <c r="AN38" t="s">
        <v>1195</v>
      </c>
      <c r="AO38" t="s">
        <v>1196</v>
      </c>
      <c r="AP38" s="59">
        <v>45447</v>
      </c>
      <c r="AQ38" t="s">
        <v>563</v>
      </c>
      <c r="AR38" t="s">
        <v>1196</v>
      </c>
      <c r="AS38" t="s">
        <v>560</v>
      </c>
      <c r="AT38" t="s">
        <v>1197</v>
      </c>
      <c r="AU38" t="s">
        <v>1198</v>
      </c>
      <c r="AV38">
        <v>45360</v>
      </c>
      <c r="AW38">
        <v>45360</v>
      </c>
      <c r="AX38">
        <v>45360</v>
      </c>
      <c r="BD38" t="s">
        <v>1199</v>
      </c>
      <c r="BE38" t="s">
        <v>2013</v>
      </c>
    </row>
    <row r="39" spans="1:57">
      <c r="A39" s="99" t="str">
        <v>SE27</v>
      </c>
      <c r="G39" s="97">
        <v>92160</v>
      </c>
      <c r="H39" s="97">
        <v>92160</v>
      </c>
      <c r="R39" s="117"/>
      <c r="U39" s="99" t="str">
        <v>유백</v>
      </c>
      <c r="V39" s="99">
        <v>16</v>
      </c>
      <c r="W39" s="109">
        <v>0</v>
      </c>
      <c r="AB39" t="s">
        <v>1189</v>
      </c>
      <c r="AC39" t="s">
        <v>1200</v>
      </c>
      <c r="AD39" t="s">
        <v>1191</v>
      </c>
      <c r="AE39">
        <v>16</v>
      </c>
      <c r="AF39" t="s">
        <v>973</v>
      </c>
      <c r="AG39" t="s">
        <v>1201</v>
      </c>
      <c r="AH39" t="s">
        <v>561</v>
      </c>
      <c r="AI39" t="s">
        <v>562</v>
      </c>
      <c r="AJ39" s="59">
        <v>45447</v>
      </c>
      <c r="AK39" t="s">
        <v>1202</v>
      </c>
      <c r="AL39" s="95" t="s">
        <v>1203</v>
      </c>
      <c r="AM39" t="s">
        <v>1194</v>
      </c>
      <c r="AN39" t="s">
        <v>1195</v>
      </c>
      <c r="AO39" t="s">
        <v>1196</v>
      </c>
      <c r="AP39" s="59">
        <v>45447</v>
      </c>
      <c r="AQ39" t="s">
        <v>563</v>
      </c>
      <c r="AR39" t="s">
        <v>1196</v>
      </c>
      <c r="AS39" t="s">
        <v>560</v>
      </c>
      <c r="AT39" t="s">
        <v>1197</v>
      </c>
      <c r="AU39" t="s">
        <v>1198</v>
      </c>
      <c r="AV39">
        <v>92160</v>
      </c>
      <c r="AW39">
        <v>92160</v>
      </c>
      <c r="AX39">
        <v>92160</v>
      </c>
      <c r="AY39">
        <v>88493</v>
      </c>
      <c r="AZ39">
        <v>3667</v>
      </c>
      <c r="BA39">
        <v>0</v>
      </c>
      <c r="BB39">
        <v>0</v>
      </c>
      <c r="BC39" t="s">
        <v>1204</v>
      </c>
      <c r="BD39" t="s">
        <v>1205</v>
      </c>
      <c r="BE39" t="s">
        <v>2014</v>
      </c>
    </row>
    <row r="40" spans="1:57">
      <c r="A40" s="99" t="str">
        <v>SE28</v>
      </c>
      <c r="G40" s="97">
        <v>45360</v>
      </c>
      <c r="H40" s="97">
        <v>45360</v>
      </c>
      <c r="R40" s="117"/>
      <c r="U40" s="99" t="str">
        <v>유백</v>
      </c>
      <c r="V40" s="99">
        <v>6</v>
      </c>
      <c r="W40" s="109">
        <v>0</v>
      </c>
      <c r="AB40" t="s">
        <v>1189</v>
      </c>
      <c r="AC40" t="s">
        <v>1190</v>
      </c>
      <c r="AD40" t="s">
        <v>1191</v>
      </c>
      <c r="AE40">
        <v>6</v>
      </c>
      <c r="AF40" t="s">
        <v>973</v>
      </c>
      <c r="AG40" t="s">
        <v>1201</v>
      </c>
      <c r="AH40" t="s">
        <v>561</v>
      </c>
      <c r="AI40" t="s">
        <v>562</v>
      </c>
      <c r="AJ40" s="59">
        <v>45447</v>
      </c>
      <c r="AK40" t="s">
        <v>1206</v>
      </c>
      <c r="AL40" s="95" t="s">
        <v>1207</v>
      </c>
      <c r="AM40" t="s">
        <v>1194</v>
      </c>
      <c r="AN40" t="s">
        <v>1195</v>
      </c>
      <c r="AO40" t="s">
        <v>1196</v>
      </c>
      <c r="AP40" s="59">
        <v>45447</v>
      </c>
      <c r="AQ40" t="s">
        <v>563</v>
      </c>
      <c r="AR40" t="s">
        <v>1196</v>
      </c>
      <c r="AS40" t="s">
        <v>560</v>
      </c>
      <c r="AT40" t="s">
        <v>1197</v>
      </c>
      <c r="AU40" t="s">
        <v>1198</v>
      </c>
      <c r="AV40">
        <v>45360</v>
      </c>
      <c r="AW40">
        <v>45360</v>
      </c>
      <c r="AX40">
        <v>45360</v>
      </c>
      <c r="AY40">
        <v>43555</v>
      </c>
      <c r="AZ40">
        <v>1805</v>
      </c>
      <c r="BA40">
        <v>0</v>
      </c>
      <c r="BB40">
        <v>0</v>
      </c>
      <c r="BC40" t="s">
        <v>1208</v>
      </c>
      <c r="BD40" t="s">
        <v>1199</v>
      </c>
      <c r="BE40" t="s">
        <v>2013</v>
      </c>
    </row>
    <row r="41" spans="1:57">
      <c r="A41" s="99" t="str">
        <v>SE105</v>
      </c>
      <c r="G41" s="97">
        <v>27800</v>
      </c>
      <c r="H41" s="97">
        <v>30800</v>
      </c>
      <c r="R41" s="117"/>
      <c r="U41" s="99" t="str">
        <v>투명</v>
      </c>
      <c r="V41" s="99">
        <v>10</v>
      </c>
      <c r="W41" s="109">
        <v>0</v>
      </c>
      <c r="AB41" t="s">
        <v>1209</v>
      </c>
      <c r="AC41" t="s">
        <v>779</v>
      </c>
      <c r="AD41" t="s">
        <v>560</v>
      </c>
      <c r="AE41">
        <v>10</v>
      </c>
      <c r="AF41" t="s">
        <v>350</v>
      </c>
      <c r="AG41" t="s">
        <v>1210</v>
      </c>
      <c r="AH41" t="s">
        <v>561</v>
      </c>
      <c r="AI41" t="s">
        <v>562</v>
      </c>
      <c r="AJ41" s="59">
        <v>45447</v>
      </c>
      <c r="AK41" t="s">
        <v>1211</v>
      </c>
      <c r="AL41" s="95" t="s">
        <v>1212</v>
      </c>
      <c r="AM41" t="s">
        <v>1209</v>
      </c>
      <c r="AN41" t="s">
        <v>1213</v>
      </c>
      <c r="AO41" t="s">
        <v>1214</v>
      </c>
      <c r="AP41" s="59">
        <v>45447</v>
      </c>
      <c r="AQ41" t="s">
        <v>563</v>
      </c>
      <c r="AR41" t="s">
        <v>1214</v>
      </c>
      <c r="AS41" t="s">
        <v>1215</v>
      </c>
      <c r="AT41" t="s">
        <v>1216</v>
      </c>
      <c r="AU41" t="s">
        <v>560</v>
      </c>
      <c r="AV41">
        <v>27800</v>
      </c>
      <c r="AW41">
        <v>27800</v>
      </c>
      <c r="AX41">
        <v>30800</v>
      </c>
      <c r="AY41">
        <v>26694</v>
      </c>
      <c r="AZ41">
        <v>1106</v>
      </c>
      <c r="BA41">
        <v>3000</v>
      </c>
      <c r="BB41">
        <v>0</v>
      </c>
      <c r="BC41" t="s">
        <v>1217</v>
      </c>
      <c r="BD41" t="s">
        <v>788</v>
      </c>
      <c r="BE41" t="s">
        <v>2015</v>
      </c>
    </row>
    <row r="42" spans="1:57">
      <c r="A42" s="99" t="str">
        <v>SE306</v>
      </c>
      <c r="G42" s="97">
        <v>28500</v>
      </c>
      <c r="H42" s="97">
        <v>31500</v>
      </c>
      <c r="R42" s="117"/>
      <c r="U42" s="99" t="str">
        <v>투명</v>
      </c>
      <c r="V42" s="99">
        <v>2</v>
      </c>
      <c r="W42" s="109">
        <v>0</v>
      </c>
      <c r="AB42" t="s">
        <v>1218</v>
      </c>
      <c r="AC42" t="s">
        <v>1219</v>
      </c>
      <c r="AD42" t="s">
        <v>560</v>
      </c>
      <c r="AE42">
        <v>2</v>
      </c>
      <c r="AF42" t="s">
        <v>350</v>
      </c>
      <c r="AG42" t="s">
        <v>1220</v>
      </c>
      <c r="AH42" t="s">
        <v>561</v>
      </c>
      <c r="AI42" t="s">
        <v>562</v>
      </c>
      <c r="AJ42" s="59">
        <v>45446</v>
      </c>
      <c r="AK42" t="s">
        <v>1221</v>
      </c>
      <c r="AL42" s="95" t="s">
        <v>1222</v>
      </c>
      <c r="AM42" t="s">
        <v>1218</v>
      </c>
      <c r="AN42" t="s">
        <v>1223</v>
      </c>
      <c r="AO42" t="s">
        <v>1224</v>
      </c>
      <c r="AP42" s="59">
        <v>45447</v>
      </c>
      <c r="AQ42" t="s">
        <v>563</v>
      </c>
      <c r="AR42" t="s">
        <v>1224</v>
      </c>
      <c r="AS42" t="s">
        <v>1224</v>
      </c>
      <c r="AT42" t="s">
        <v>1225</v>
      </c>
      <c r="AU42" t="s">
        <v>1226</v>
      </c>
      <c r="AV42">
        <v>28500</v>
      </c>
      <c r="AW42">
        <v>31680</v>
      </c>
      <c r="AX42">
        <v>31500</v>
      </c>
      <c r="AY42">
        <v>27366</v>
      </c>
      <c r="AZ42">
        <v>1134</v>
      </c>
      <c r="BA42">
        <v>3000</v>
      </c>
      <c r="BB42">
        <v>0</v>
      </c>
      <c r="BC42" t="s">
        <v>1227</v>
      </c>
      <c r="BD42" t="s">
        <v>20</v>
      </c>
      <c r="BE42" t="s">
        <v>2016</v>
      </c>
    </row>
    <row r="43" spans="1:57">
      <c r="A43" s="99" t="str">
        <v>SE307</v>
      </c>
      <c r="G43" s="97">
        <v>12470</v>
      </c>
      <c r="H43" s="97">
        <v>15470</v>
      </c>
      <c r="R43" s="117"/>
      <c r="U43" s="99" t="str">
        <v>투명</v>
      </c>
      <c r="V43" s="99">
        <v>1</v>
      </c>
      <c r="W43" s="109">
        <v>0</v>
      </c>
      <c r="AB43" t="s">
        <v>1228</v>
      </c>
      <c r="AC43" t="s">
        <v>1145</v>
      </c>
      <c r="AD43" t="s">
        <v>1146</v>
      </c>
      <c r="AE43">
        <v>1</v>
      </c>
      <c r="AF43" t="s">
        <v>567</v>
      </c>
      <c r="AG43" t="s">
        <v>1229</v>
      </c>
      <c r="AH43" t="s">
        <v>568</v>
      </c>
      <c r="AI43" t="s">
        <v>562</v>
      </c>
      <c r="AJ43" s="59">
        <v>45446</v>
      </c>
      <c r="AK43" t="s">
        <v>1230</v>
      </c>
      <c r="AM43" t="s">
        <v>1231</v>
      </c>
      <c r="AN43" t="s">
        <v>1232</v>
      </c>
      <c r="AO43" t="s">
        <v>1233</v>
      </c>
      <c r="AP43" s="59">
        <v>45447</v>
      </c>
      <c r="AQ43" t="s">
        <v>563</v>
      </c>
      <c r="AR43" t="s">
        <v>1233</v>
      </c>
      <c r="AS43" t="s">
        <v>560</v>
      </c>
      <c r="AT43" t="s">
        <v>1234</v>
      </c>
      <c r="AU43" t="s">
        <v>1235</v>
      </c>
      <c r="AV43">
        <v>12470</v>
      </c>
      <c r="AW43">
        <v>12470</v>
      </c>
      <c r="AX43">
        <v>15470</v>
      </c>
      <c r="BA43">
        <v>3000</v>
      </c>
      <c r="BB43">
        <v>0</v>
      </c>
      <c r="BC43" t="s">
        <v>1236</v>
      </c>
      <c r="BD43" t="s">
        <v>570</v>
      </c>
      <c r="BE43" t="s">
        <v>2009</v>
      </c>
    </row>
    <row r="44" spans="1:57">
      <c r="A44" s="99" t="str">
        <v>SE102</v>
      </c>
      <c r="G44" s="97">
        <v>1150</v>
      </c>
      <c r="H44" s="97">
        <v>4150</v>
      </c>
      <c r="R44" s="117"/>
      <c r="U44" s="99" t="str">
        <v>투명</v>
      </c>
      <c r="V44" s="99">
        <v>1</v>
      </c>
      <c r="W44" s="109">
        <v>0</v>
      </c>
      <c r="AB44" t="s">
        <v>1237</v>
      </c>
      <c r="AC44" t="s">
        <v>719</v>
      </c>
      <c r="AD44" t="s">
        <v>566</v>
      </c>
      <c r="AE44">
        <v>1</v>
      </c>
      <c r="AF44" t="s">
        <v>567</v>
      </c>
      <c r="AG44" t="s">
        <v>1238</v>
      </c>
      <c r="AH44" t="s">
        <v>568</v>
      </c>
      <c r="AI44" t="s">
        <v>562</v>
      </c>
      <c r="AJ44" s="59">
        <v>45447</v>
      </c>
      <c r="AK44" t="s">
        <v>1239</v>
      </c>
      <c r="AM44" t="s">
        <v>1237</v>
      </c>
      <c r="AN44" t="s">
        <v>1240</v>
      </c>
      <c r="AO44" t="s">
        <v>1241</v>
      </c>
      <c r="AP44" s="59">
        <v>45447</v>
      </c>
      <c r="AQ44" t="s">
        <v>563</v>
      </c>
      <c r="AR44" t="s">
        <v>1241</v>
      </c>
      <c r="AS44" t="s">
        <v>560</v>
      </c>
      <c r="AT44" t="s">
        <v>1242</v>
      </c>
      <c r="AU44" t="s">
        <v>571</v>
      </c>
      <c r="AV44">
        <v>1150</v>
      </c>
      <c r="AW44">
        <v>1150</v>
      </c>
      <c r="AX44">
        <v>4150</v>
      </c>
      <c r="BA44">
        <v>3000</v>
      </c>
      <c r="BB44">
        <v>0</v>
      </c>
      <c r="BC44" t="s">
        <v>1243</v>
      </c>
      <c r="BD44" t="s">
        <v>570</v>
      </c>
      <c r="BE44" t="s">
        <v>2010</v>
      </c>
    </row>
    <row r="45" spans="1:57">
      <c r="A45" s="99" t="str">
        <v>SE206</v>
      </c>
      <c r="G45" s="97">
        <v>34020</v>
      </c>
      <c r="H45" s="97">
        <v>37020</v>
      </c>
      <c r="R45" s="117"/>
      <c r="U45" s="99" t="str">
        <v>투명</v>
      </c>
      <c r="V45" s="99">
        <v>1</v>
      </c>
      <c r="W45" s="109">
        <v>0</v>
      </c>
      <c r="AB45" t="s">
        <v>1244</v>
      </c>
      <c r="AC45" t="s">
        <v>737</v>
      </c>
      <c r="AD45" t="s">
        <v>738</v>
      </c>
      <c r="AE45">
        <v>1</v>
      </c>
      <c r="AF45" t="s">
        <v>350</v>
      </c>
      <c r="AG45" t="s">
        <v>1245</v>
      </c>
      <c r="AH45" t="s">
        <v>568</v>
      </c>
      <c r="AI45" t="s">
        <v>562</v>
      </c>
      <c r="AJ45" s="59">
        <v>45447</v>
      </c>
      <c r="AK45" t="s">
        <v>1246</v>
      </c>
      <c r="AM45" t="s">
        <v>1247</v>
      </c>
      <c r="AN45" t="s">
        <v>1248</v>
      </c>
      <c r="AO45" t="s">
        <v>1249</v>
      </c>
      <c r="AP45" s="59">
        <v>45447</v>
      </c>
      <c r="AQ45" t="s">
        <v>563</v>
      </c>
      <c r="AR45" t="s">
        <v>1249</v>
      </c>
      <c r="AS45" t="s">
        <v>560</v>
      </c>
      <c r="AT45" t="s">
        <v>1250</v>
      </c>
      <c r="AU45" t="s">
        <v>571</v>
      </c>
      <c r="AV45">
        <v>34020</v>
      </c>
      <c r="AW45">
        <v>34020</v>
      </c>
      <c r="AX45">
        <v>37020</v>
      </c>
      <c r="BA45">
        <v>3000</v>
      </c>
      <c r="BB45">
        <v>0</v>
      </c>
      <c r="BC45" t="s">
        <v>1251</v>
      </c>
      <c r="BD45" t="s">
        <v>570</v>
      </c>
      <c r="BE45" t="s">
        <v>1996</v>
      </c>
    </row>
    <row r="46" spans="1:57">
      <c r="A46" s="99" t="str">
        <v>SE106</v>
      </c>
      <c r="G46" s="97">
        <v>29700</v>
      </c>
      <c r="H46" s="97">
        <v>29700</v>
      </c>
      <c r="R46" s="117"/>
      <c r="U46" s="99" t="str">
        <v>투명</v>
      </c>
      <c r="V46" s="99">
        <v>10</v>
      </c>
      <c r="W46" s="109">
        <v>0</v>
      </c>
      <c r="AB46" t="s">
        <v>1252</v>
      </c>
      <c r="AC46" t="s">
        <v>1253</v>
      </c>
      <c r="AD46" t="s">
        <v>1254</v>
      </c>
      <c r="AE46">
        <v>10</v>
      </c>
      <c r="AF46" t="s">
        <v>350</v>
      </c>
      <c r="AG46" t="s">
        <v>1255</v>
      </c>
      <c r="AH46" t="s">
        <v>561</v>
      </c>
      <c r="AI46" t="s">
        <v>673</v>
      </c>
      <c r="AJ46" s="59">
        <v>45447</v>
      </c>
      <c r="AK46" t="s">
        <v>1256</v>
      </c>
      <c r="AL46" s="95" t="s">
        <v>1257</v>
      </c>
      <c r="AM46" t="s">
        <v>1252</v>
      </c>
      <c r="AN46" t="s">
        <v>1258</v>
      </c>
      <c r="AO46" t="s">
        <v>1259</v>
      </c>
      <c r="AP46" s="59">
        <v>45447</v>
      </c>
      <c r="AQ46" t="s">
        <v>563</v>
      </c>
      <c r="AR46" t="s">
        <v>1259</v>
      </c>
      <c r="AS46" t="s">
        <v>560</v>
      </c>
      <c r="AT46" t="s">
        <v>1260</v>
      </c>
      <c r="AU46" t="s">
        <v>1261</v>
      </c>
      <c r="AV46">
        <v>29700</v>
      </c>
      <c r="AW46">
        <v>42600</v>
      </c>
      <c r="AX46">
        <v>29700</v>
      </c>
      <c r="AY46">
        <v>28208</v>
      </c>
      <c r="AZ46">
        <v>1492</v>
      </c>
      <c r="BA46">
        <v>0</v>
      </c>
      <c r="BB46">
        <v>0</v>
      </c>
      <c r="BC46" t="s">
        <v>1262</v>
      </c>
      <c r="BD46" t="s">
        <v>1263</v>
      </c>
      <c r="BE46" t="s">
        <v>2017</v>
      </c>
    </row>
    <row r="47" spans="1:57">
      <c r="A47" s="99" t="str">
        <v>SE204</v>
      </c>
      <c r="G47" s="97">
        <v>20800</v>
      </c>
      <c r="H47" s="97">
        <v>23800</v>
      </c>
      <c r="R47" s="117"/>
      <c r="U47" s="99" t="str">
        <v>투명</v>
      </c>
      <c r="V47" s="99">
        <v>1</v>
      </c>
      <c r="W47" s="109">
        <v>0</v>
      </c>
      <c r="AB47" t="s">
        <v>1264</v>
      </c>
      <c r="AC47" t="s">
        <v>1034</v>
      </c>
      <c r="AD47" t="s">
        <v>1108</v>
      </c>
      <c r="AE47">
        <v>1</v>
      </c>
      <c r="AF47" t="s">
        <v>567</v>
      </c>
      <c r="AG47" t="s">
        <v>1265</v>
      </c>
      <c r="AH47" t="s">
        <v>561</v>
      </c>
      <c r="AI47" t="s">
        <v>673</v>
      </c>
      <c r="AJ47" s="59">
        <v>45446</v>
      </c>
      <c r="AK47" t="s">
        <v>1266</v>
      </c>
      <c r="AL47" s="95" t="s">
        <v>1267</v>
      </c>
      <c r="AM47" t="s">
        <v>1264</v>
      </c>
      <c r="AN47" t="s">
        <v>1268</v>
      </c>
      <c r="AO47" t="s">
        <v>1269</v>
      </c>
      <c r="AP47" s="59">
        <v>45447</v>
      </c>
      <c r="AQ47" t="s">
        <v>563</v>
      </c>
      <c r="AR47" t="s">
        <v>1269</v>
      </c>
      <c r="AS47" t="s">
        <v>560</v>
      </c>
      <c r="AT47" t="s">
        <v>1270</v>
      </c>
      <c r="AU47" t="s">
        <v>560</v>
      </c>
      <c r="AV47">
        <v>20800</v>
      </c>
      <c r="AW47">
        <v>20800</v>
      </c>
      <c r="AX47">
        <v>23800</v>
      </c>
      <c r="AY47">
        <v>19755</v>
      </c>
      <c r="AZ47">
        <v>1045</v>
      </c>
      <c r="BA47">
        <v>3000</v>
      </c>
      <c r="BB47">
        <v>0</v>
      </c>
      <c r="BC47" t="s">
        <v>1271</v>
      </c>
      <c r="BD47" t="s">
        <v>1045</v>
      </c>
      <c r="BE47" t="s">
        <v>2004</v>
      </c>
    </row>
    <row r="48" spans="1:57">
      <c r="A48" s="99" t="str">
        <v>SE204</v>
      </c>
      <c r="G48" s="97">
        <v>20800</v>
      </c>
      <c r="H48" s="97">
        <v>23800</v>
      </c>
      <c r="R48" s="117"/>
      <c r="U48" s="99" t="str">
        <v>투명</v>
      </c>
      <c r="V48" s="99">
        <v>1</v>
      </c>
      <c r="W48" s="109">
        <v>0</v>
      </c>
      <c r="AB48" t="s">
        <v>1272</v>
      </c>
      <c r="AC48" t="s">
        <v>1034</v>
      </c>
      <c r="AD48" t="s">
        <v>1108</v>
      </c>
      <c r="AE48">
        <v>1</v>
      </c>
      <c r="AF48" t="s">
        <v>567</v>
      </c>
      <c r="AG48" t="s">
        <v>1273</v>
      </c>
      <c r="AH48" t="s">
        <v>561</v>
      </c>
      <c r="AI48" t="s">
        <v>673</v>
      </c>
      <c r="AJ48" s="59">
        <v>45446</v>
      </c>
      <c r="AK48" t="s">
        <v>1274</v>
      </c>
      <c r="AL48" s="95" t="s">
        <v>1275</v>
      </c>
      <c r="AM48" t="s">
        <v>1272</v>
      </c>
      <c r="AN48" t="s">
        <v>1276</v>
      </c>
      <c r="AO48" t="s">
        <v>1277</v>
      </c>
      <c r="AP48" s="59">
        <v>45447</v>
      </c>
      <c r="AQ48" t="s">
        <v>563</v>
      </c>
      <c r="AR48" t="s">
        <v>1277</v>
      </c>
      <c r="AS48" t="s">
        <v>560</v>
      </c>
      <c r="AT48" t="s">
        <v>1278</v>
      </c>
      <c r="AU48" t="s">
        <v>560</v>
      </c>
      <c r="AV48">
        <v>20800</v>
      </c>
      <c r="AW48">
        <v>20800</v>
      </c>
      <c r="AX48">
        <v>23800</v>
      </c>
      <c r="AY48">
        <v>19755</v>
      </c>
      <c r="AZ48">
        <v>1045</v>
      </c>
      <c r="BA48">
        <v>3000</v>
      </c>
      <c r="BB48">
        <v>0</v>
      </c>
      <c r="BC48" t="s">
        <v>1279</v>
      </c>
      <c r="BD48" t="s">
        <v>1045</v>
      </c>
      <c r="BE48" t="s">
        <v>2004</v>
      </c>
    </row>
    <row r="49" spans="1:57">
      <c r="A49" s="99" t="str">
        <v/>
      </c>
      <c r="G49" s="97">
        <v>0</v>
      </c>
      <c r="H49" s="97">
        <v>0</v>
      </c>
      <c r="R49" s="117"/>
      <c r="U49" s="99" t="str">
        <v>투명</v>
      </c>
      <c r="V49" s="99">
        <v>1</v>
      </c>
      <c r="W49" s="109" t="str">
        <v/>
      </c>
      <c r="AB49" t="s">
        <v>1280</v>
      </c>
      <c r="AC49" t="s">
        <v>1281</v>
      </c>
      <c r="AD49" t="s">
        <v>560</v>
      </c>
      <c r="AE49">
        <v>1</v>
      </c>
      <c r="AF49" t="s">
        <v>973</v>
      </c>
      <c r="AG49" t="s">
        <v>1282</v>
      </c>
      <c r="AH49" t="s">
        <v>921</v>
      </c>
      <c r="AI49" t="s">
        <v>922</v>
      </c>
      <c r="AJ49" s="59">
        <v>45447</v>
      </c>
      <c r="AK49" t="s">
        <v>1283</v>
      </c>
      <c r="AM49" t="s">
        <v>560</v>
      </c>
      <c r="AN49" t="s">
        <v>560</v>
      </c>
      <c r="AO49" t="s">
        <v>560</v>
      </c>
      <c r="AP49" s="59">
        <v>45447</v>
      </c>
      <c r="AQ49" t="s">
        <v>563</v>
      </c>
      <c r="AR49" t="s">
        <v>1284</v>
      </c>
      <c r="AS49" t="s">
        <v>560</v>
      </c>
      <c r="AT49" t="s">
        <v>1285</v>
      </c>
      <c r="AU49" t="s">
        <v>560</v>
      </c>
      <c r="AV49">
        <v>0</v>
      </c>
      <c r="AW49">
        <v>0</v>
      </c>
      <c r="AX49">
        <v>0</v>
      </c>
      <c r="BA49">
        <v>0</v>
      </c>
      <c r="BB49">
        <v>0</v>
      </c>
      <c r="BD49" t="s">
        <v>560</v>
      </c>
      <c r="BE49" t="s">
        <v>2018</v>
      </c>
    </row>
    <row r="50" spans="1:57">
      <c r="A50" s="99" t="str">
        <v/>
      </c>
      <c r="G50" s="97">
        <v>0</v>
      </c>
      <c r="H50" s="97">
        <v>0</v>
      </c>
      <c r="R50" s="117"/>
      <c r="U50" s="99" t="str">
        <v>투명</v>
      </c>
      <c r="V50" s="99">
        <v>1</v>
      </c>
      <c r="W50" s="109" t="str">
        <v/>
      </c>
      <c r="AB50" t="s">
        <v>1280</v>
      </c>
      <c r="AC50" t="s">
        <v>1286</v>
      </c>
      <c r="AD50" t="s">
        <v>560</v>
      </c>
      <c r="AE50">
        <v>1</v>
      </c>
      <c r="AF50" t="s">
        <v>973</v>
      </c>
      <c r="AG50" t="s">
        <v>1287</v>
      </c>
      <c r="AH50" t="s">
        <v>921</v>
      </c>
      <c r="AI50" t="s">
        <v>922</v>
      </c>
      <c r="AJ50" s="59">
        <v>45447</v>
      </c>
      <c r="AK50" t="s">
        <v>1288</v>
      </c>
      <c r="AM50" t="s">
        <v>560</v>
      </c>
      <c r="AN50" t="s">
        <v>560</v>
      </c>
      <c r="AO50" t="s">
        <v>560</v>
      </c>
      <c r="AP50" s="59">
        <v>45447</v>
      </c>
      <c r="AQ50" t="s">
        <v>563</v>
      </c>
      <c r="AR50" t="s">
        <v>1284</v>
      </c>
      <c r="AS50" t="s">
        <v>560</v>
      </c>
      <c r="AT50" t="s">
        <v>1285</v>
      </c>
      <c r="AU50" t="s">
        <v>560</v>
      </c>
      <c r="AV50">
        <v>0</v>
      </c>
      <c r="AW50">
        <v>0</v>
      </c>
      <c r="AX50">
        <v>0</v>
      </c>
      <c r="BA50">
        <v>0</v>
      </c>
      <c r="BB50">
        <v>0</v>
      </c>
      <c r="BD50" t="s">
        <v>560</v>
      </c>
      <c r="BE50" t="s">
        <v>2019</v>
      </c>
    </row>
    <row r="51" spans="1:57">
      <c r="A51" s="99" t="str">
        <v/>
      </c>
      <c r="G51" s="97">
        <v>0</v>
      </c>
      <c r="H51" s="97">
        <v>0</v>
      </c>
      <c r="R51" s="117"/>
      <c r="U51" s="99" t="str">
        <v>투명</v>
      </c>
      <c r="V51" s="99">
        <v>1</v>
      </c>
      <c r="W51" s="109" t="str">
        <v/>
      </c>
      <c r="AB51" t="s">
        <v>1280</v>
      </c>
      <c r="AC51" t="s">
        <v>1289</v>
      </c>
      <c r="AD51" t="s">
        <v>560</v>
      </c>
      <c r="AE51">
        <v>1</v>
      </c>
      <c r="AF51" t="s">
        <v>1058</v>
      </c>
      <c r="AG51" t="s">
        <v>1290</v>
      </c>
      <c r="AH51" t="s">
        <v>921</v>
      </c>
      <c r="AI51" t="s">
        <v>922</v>
      </c>
      <c r="AJ51" s="59">
        <v>45447</v>
      </c>
      <c r="AM51" t="s">
        <v>560</v>
      </c>
      <c r="AN51" t="s">
        <v>560</v>
      </c>
      <c r="AO51" t="s">
        <v>560</v>
      </c>
      <c r="AP51" s="59">
        <v>45447</v>
      </c>
      <c r="AQ51" t="s">
        <v>563</v>
      </c>
      <c r="AR51" t="s">
        <v>1284</v>
      </c>
      <c r="AS51" t="s">
        <v>560</v>
      </c>
      <c r="AT51" t="s">
        <v>1285</v>
      </c>
      <c r="AU51" t="s">
        <v>560</v>
      </c>
      <c r="AV51">
        <v>0</v>
      </c>
      <c r="AW51">
        <v>0</v>
      </c>
      <c r="AX51">
        <v>0</v>
      </c>
      <c r="BA51">
        <v>0</v>
      </c>
      <c r="BB51">
        <v>0</v>
      </c>
      <c r="BD51" t="s">
        <v>560</v>
      </c>
      <c r="BE51" t="s">
        <v>2020</v>
      </c>
    </row>
    <row r="52" spans="1:57">
      <c r="A52" s="99" t="str">
        <v/>
      </c>
      <c r="G52" s="97">
        <v>0</v>
      </c>
      <c r="H52" s="97">
        <v>0</v>
      </c>
      <c r="R52" s="117"/>
      <c r="U52" s="99" t="str">
        <v>투명</v>
      </c>
      <c r="V52" s="99">
        <v>1</v>
      </c>
      <c r="W52" s="109" t="str">
        <v/>
      </c>
      <c r="AB52" t="s">
        <v>1291</v>
      </c>
      <c r="AC52" t="s">
        <v>1292</v>
      </c>
      <c r="AD52" t="s">
        <v>560</v>
      </c>
      <c r="AE52">
        <v>1</v>
      </c>
      <c r="AF52" t="s">
        <v>567</v>
      </c>
      <c r="AG52" t="s">
        <v>1293</v>
      </c>
      <c r="AH52" t="s">
        <v>921</v>
      </c>
      <c r="AI52" t="s">
        <v>1294</v>
      </c>
      <c r="AJ52" s="59">
        <v>45447</v>
      </c>
      <c r="AK52" t="s">
        <v>1295</v>
      </c>
      <c r="AM52" t="s">
        <v>560</v>
      </c>
      <c r="AN52" t="s">
        <v>560</v>
      </c>
      <c r="AO52" t="s">
        <v>560</v>
      </c>
      <c r="AP52" s="59">
        <v>45447</v>
      </c>
      <c r="AQ52" t="s">
        <v>563</v>
      </c>
      <c r="AR52" t="s">
        <v>1296</v>
      </c>
      <c r="AS52" t="s">
        <v>560</v>
      </c>
      <c r="AT52" t="s">
        <v>1297</v>
      </c>
      <c r="AU52" t="s">
        <v>560</v>
      </c>
      <c r="AV52">
        <v>0</v>
      </c>
      <c r="AW52">
        <v>0</v>
      </c>
      <c r="AX52">
        <v>0</v>
      </c>
      <c r="BA52">
        <v>0</v>
      </c>
      <c r="BB52">
        <v>0</v>
      </c>
      <c r="BD52" t="s">
        <v>560</v>
      </c>
      <c r="BE52" t="s">
        <v>2021</v>
      </c>
    </row>
    <row r="53" spans="1:57">
      <c r="A53" s="99" t="str">
        <v/>
      </c>
      <c r="G53" s="97">
        <v>0</v>
      </c>
      <c r="H53" s="97">
        <v>0</v>
      </c>
      <c r="R53" s="117"/>
      <c r="U53" s="99" t="str">
        <v>투명</v>
      </c>
      <c r="V53" s="99">
        <v>1</v>
      </c>
      <c r="W53" s="109" t="str">
        <v/>
      </c>
      <c r="AB53" t="s">
        <v>1298</v>
      </c>
      <c r="AC53" t="s">
        <v>1299</v>
      </c>
      <c r="AD53" t="s">
        <v>560</v>
      </c>
      <c r="AE53">
        <v>1</v>
      </c>
      <c r="AF53" t="s">
        <v>567</v>
      </c>
      <c r="AG53" t="s">
        <v>1300</v>
      </c>
      <c r="AH53" t="s">
        <v>921</v>
      </c>
      <c r="AI53" t="s">
        <v>1294</v>
      </c>
      <c r="AJ53" s="59">
        <v>45447</v>
      </c>
      <c r="AK53" t="s">
        <v>1301</v>
      </c>
      <c r="AM53" t="s">
        <v>560</v>
      </c>
      <c r="AN53" t="s">
        <v>560</v>
      </c>
      <c r="AO53" t="s">
        <v>560</v>
      </c>
      <c r="AP53" s="59">
        <v>45447</v>
      </c>
      <c r="AQ53" t="s">
        <v>563</v>
      </c>
      <c r="AR53" t="s">
        <v>1302</v>
      </c>
      <c r="AS53" t="s">
        <v>560</v>
      </c>
      <c r="AT53" t="s">
        <v>1303</v>
      </c>
      <c r="AU53" t="s">
        <v>560</v>
      </c>
      <c r="AV53">
        <v>0</v>
      </c>
      <c r="AW53">
        <v>0</v>
      </c>
      <c r="AX53">
        <v>0</v>
      </c>
      <c r="BA53">
        <v>0</v>
      </c>
      <c r="BB53">
        <v>0</v>
      </c>
      <c r="BD53" t="s">
        <v>560</v>
      </c>
      <c r="BE53" t="s">
        <v>2022</v>
      </c>
    </row>
    <row r="54" spans="1:57">
      <c r="A54" s="99" t="str">
        <v/>
      </c>
      <c r="G54" s="97">
        <v>25200</v>
      </c>
      <c r="H54" s="97">
        <v>28200</v>
      </c>
      <c r="R54" s="117"/>
      <c r="U54" s="99" t="str">
        <v>투명</v>
      </c>
      <c r="V54" s="99">
        <v>1</v>
      </c>
      <c r="W54" s="109">
        <v>0</v>
      </c>
      <c r="AB54" t="s">
        <v>1304</v>
      </c>
      <c r="AC54" t="s">
        <v>1305</v>
      </c>
      <c r="AD54" t="s">
        <v>1306</v>
      </c>
      <c r="AE54">
        <v>1</v>
      </c>
      <c r="AF54" t="s">
        <v>567</v>
      </c>
      <c r="AG54" t="s">
        <v>1307</v>
      </c>
      <c r="AH54" t="s">
        <v>568</v>
      </c>
      <c r="AI54" t="s">
        <v>673</v>
      </c>
      <c r="AJ54" s="59">
        <v>45446</v>
      </c>
      <c r="AK54" t="s">
        <v>1308</v>
      </c>
      <c r="AM54" t="s">
        <v>1304</v>
      </c>
      <c r="AN54" t="s">
        <v>1309</v>
      </c>
      <c r="AO54" t="s">
        <v>1310</v>
      </c>
      <c r="AP54" s="59">
        <v>45447</v>
      </c>
      <c r="AQ54" t="s">
        <v>563</v>
      </c>
      <c r="AR54" t="s">
        <v>1310</v>
      </c>
      <c r="AS54" t="s">
        <v>560</v>
      </c>
      <c r="AT54" t="s">
        <v>1311</v>
      </c>
      <c r="AU54" t="s">
        <v>569</v>
      </c>
      <c r="AV54">
        <v>25200</v>
      </c>
      <c r="AW54">
        <v>25200</v>
      </c>
      <c r="AX54">
        <v>28200</v>
      </c>
      <c r="BA54">
        <v>3000</v>
      </c>
      <c r="BB54">
        <v>0</v>
      </c>
      <c r="BC54" t="s">
        <v>1312</v>
      </c>
      <c r="BD54" t="s">
        <v>560</v>
      </c>
      <c r="BE54" t="s">
        <v>2023</v>
      </c>
    </row>
    <row r="55" spans="1:57">
      <c r="A55" s="99" t="str">
        <v/>
      </c>
      <c r="G55" s="97">
        <v>15120</v>
      </c>
      <c r="H55" s="97">
        <v>18120</v>
      </c>
      <c r="R55" s="117"/>
      <c r="U55" s="99" t="str">
        <v>투명</v>
      </c>
      <c r="V55" s="99">
        <v>1</v>
      </c>
      <c r="W55" s="109">
        <v>0</v>
      </c>
      <c r="AB55" t="s">
        <v>1313</v>
      </c>
      <c r="AC55" t="s">
        <v>1305</v>
      </c>
      <c r="AD55" t="s">
        <v>1314</v>
      </c>
      <c r="AE55">
        <v>1</v>
      </c>
      <c r="AF55" t="s">
        <v>567</v>
      </c>
      <c r="AG55" t="s">
        <v>1315</v>
      </c>
      <c r="AH55" t="s">
        <v>568</v>
      </c>
      <c r="AI55" t="s">
        <v>673</v>
      </c>
      <c r="AJ55" s="59">
        <v>45446</v>
      </c>
      <c r="AK55" t="s">
        <v>1316</v>
      </c>
      <c r="AM55" t="s">
        <v>1317</v>
      </c>
      <c r="AN55" t="s">
        <v>1318</v>
      </c>
      <c r="AO55" t="s">
        <v>1319</v>
      </c>
      <c r="AP55" s="59">
        <v>45447</v>
      </c>
      <c r="AQ55" t="s">
        <v>563</v>
      </c>
      <c r="AR55" t="s">
        <v>1319</v>
      </c>
      <c r="AS55" t="s">
        <v>560</v>
      </c>
      <c r="AT55" t="s">
        <v>1320</v>
      </c>
      <c r="AU55" t="s">
        <v>569</v>
      </c>
      <c r="AV55">
        <v>15120</v>
      </c>
      <c r="AW55">
        <v>15120</v>
      </c>
      <c r="AX55">
        <v>18120</v>
      </c>
      <c r="BA55">
        <v>3000</v>
      </c>
      <c r="BB55">
        <v>0</v>
      </c>
      <c r="BC55" t="s">
        <v>1321</v>
      </c>
      <c r="BD55" t="s">
        <v>560</v>
      </c>
      <c r="BE55" t="s">
        <v>2024</v>
      </c>
    </row>
    <row r="56" spans="1:57">
      <c r="A56" s="99" t="str">
        <v/>
      </c>
      <c r="G56" s="97">
        <v>0</v>
      </c>
      <c r="H56" s="97">
        <v>0</v>
      </c>
      <c r="R56" s="117"/>
      <c r="U56" s="99" t="str">
        <v>투명</v>
      </c>
      <c r="V56" s="99">
        <v>3</v>
      </c>
      <c r="W56" s="109" t="str">
        <v/>
      </c>
      <c r="AB56" t="s">
        <v>1322</v>
      </c>
      <c r="AC56" t="s">
        <v>1323</v>
      </c>
      <c r="AD56" t="s">
        <v>560</v>
      </c>
      <c r="AE56">
        <v>3</v>
      </c>
      <c r="AF56" t="s">
        <v>1058</v>
      </c>
      <c r="AG56" t="s">
        <v>1324</v>
      </c>
      <c r="AH56" t="s">
        <v>921</v>
      </c>
      <c r="AI56" t="s">
        <v>922</v>
      </c>
      <c r="AJ56" s="59">
        <v>45448</v>
      </c>
      <c r="AK56" t="s">
        <v>1325</v>
      </c>
      <c r="AM56" t="s">
        <v>560</v>
      </c>
      <c r="AN56" t="s">
        <v>560</v>
      </c>
      <c r="AO56" t="s">
        <v>560</v>
      </c>
      <c r="AP56" s="59">
        <v>45448</v>
      </c>
      <c r="AQ56" t="s">
        <v>563</v>
      </c>
      <c r="AR56" t="s">
        <v>1326</v>
      </c>
      <c r="AS56" t="s">
        <v>560</v>
      </c>
      <c r="AT56" t="s">
        <v>1327</v>
      </c>
      <c r="AU56" t="s">
        <v>560</v>
      </c>
      <c r="AV56">
        <v>0</v>
      </c>
      <c r="AW56">
        <v>0</v>
      </c>
      <c r="AX56">
        <v>0</v>
      </c>
      <c r="BA56">
        <v>0</v>
      </c>
      <c r="BB56">
        <v>0</v>
      </c>
      <c r="BD56" t="s">
        <v>560</v>
      </c>
      <c r="BE56" t="s">
        <v>2025</v>
      </c>
    </row>
    <row r="57" spans="1:57">
      <c r="A57" s="99" t="str">
        <v/>
      </c>
      <c r="G57" s="97">
        <v>0</v>
      </c>
      <c r="H57" s="97">
        <v>0</v>
      </c>
      <c r="R57" s="117"/>
      <c r="U57" s="99" t="str">
        <v>투명</v>
      </c>
      <c r="V57" s="99">
        <v>3</v>
      </c>
      <c r="W57" s="109" t="str">
        <v/>
      </c>
      <c r="AB57" t="s">
        <v>1322</v>
      </c>
      <c r="AC57" t="s">
        <v>1323</v>
      </c>
      <c r="AD57" t="s">
        <v>560</v>
      </c>
      <c r="AE57">
        <v>3</v>
      </c>
      <c r="AF57" t="s">
        <v>1058</v>
      </c>
      <c r="AG57" t="s">
        <v>1328</v>
      </c>
      <c r="AH57" t="s">
        <v>921</v>
      </c>
      <c r="AI57" t="s">
        <v>922</v>
      </c>
      <c r="AJ57" s="59">
        <v>45448</v>
      </c>
      <c r="AK57" t="s">
        <v>1329</v>
      </c>
      <c r="AM57" t="s">
        <v>560</v>
      </c>
      <c r="AN57" t="s">
        <v>560</v>
      </c>
      <c r="AO57" t="s">
        <v>560</v>
      </c>
      <c r="AP57" s="59">
        <v>45448</v>
      </c>
      <c r="AQ57" t="s">
        <v>563</v>
      </c>
      <c r="AR57" t="s">
        <v>1326</v>
      </c>
      <c r="AS57" t="s">
        <v>560</v>
      </c>
      <c r="AT57" t="s">
        <v>1327</v>
      </c>
      <c r="AU57" t="s">
        <v>560</v>
      </c>
      <c r="AV57">
        <v>0</v>
      </c>
      <c r="AW57">
        <v>0</v>
      </c>
      <c r="AX57">
        <v>0</v>
      </c>
      <c r="BA57">
        <v>0</v>
      </c>
      <c r="BB57">
        <v>0</v>
      </c>
      <c r="BD57" t="s">
        <v>560</v>
      </c>
      <c r="BE57" t="s">
        <v>2025</v>
      </c>
    </row>
    <row r="58" spans="1:57">
      <c r="A58" s="99" t="str">
        <v/>
      </c>
      <c r="G58" s="97">
        <v>0</v>
      </c>
      <c r="H58" s="97">
        <v>0</v>
      </c>
      <c r="R58" s="117"/>
      <c r="U58" s="99" t="str">
        <v>투명</v>
      </c>
      <c r="V58" s="99">
        <v>1</v>
      </c>
      <c r="W58" s="109" t="str">
        <v/>
      </c>
      <c r="AB58" t="s">
        <v>1330</v>
      </c>
      <c r="AC58" t="s">
        <v>919</v>
      </c>
      <c r="AD58" t="s">
        <v>560</v>
      </c>
      <c r="AE58">
        <v>1</v>
      </c>
      <c r="AF58" t="s">
        <v>973</v>
      </c>
      <c r="AG58" t="s">
        <v>1331</v>
      </c>
      <c r="AH58" t="s">
        <v>921</v>
      </c>
      <c r="AI58" t="s">
        <v>922</v>
      </c>
      <c r="AJ58" s="59">
        <v>45448</v>
      </c>
      <c r="AK58" t="s">
        <v>1332</v>
      </c>
      <c r="AM58" t="s">
        <v>560</v>
      </c>
      <c r="AN58" t="s">
        <v>560</v>
      </c>
      <c r="AO58" t="s">
        <v>560</v>
      </c>
      <c r="AP58" s="59">
        <v>45448</v>
      </c>
      <c r="AQ58" t="s">
        <v>563</v>
      </c>
      <c r="AR58" t="s">
        <v>1333</v>
      </c>
      <c r="AS58" t="s">
        <v>560</v>
      </c>
      <c r="AT58" t="s">
        <v>1334</v>
      </c>
      <c r="AU58" t="s">
        <v>560</v>
      </c>
      <c r="AV58">
        <v>0</v>
      </c>
      <c r="AW58">
        <v>0</v>
      </c>
      <c r="AX58">
        <v>0</v>
      </c>
      <c r="BA58">
        <v>0</v>
      </c>
      <c r="BB58">
        <v>0</v>
      </c>
      <c r="BD58" t="s">
        <v>560</v>
      </c>
      <c r="BE58" t="s">
        <v>1986</v>
      </c>
    </row>
    <row r="59" spans="1:57">
      <c r="A59" s="99" t="str">
        <v>SE201</v>
      </c>
      <c r="G59" s="97">
        <v>14580</v>
      </c>
      <c r="H59" s="97">
        <v>17580</v>
      </c>
      <c r="R59" s="117"/>
      <c r="U59" s="99" t="str">
        <v>투명</v>
      </c>
      <c r="V59" s="99">
        <v>1</v>
      </c>
      <c r="W59" s="109">
        <v>0</v>
      </c>
      <c r="AB59" t="s">
        <v>1335</v>
      </c>
      <c r="AC59" t="s">
        <v>1064</v>
      </c>
      <c r="AD59" t="s">
        <v>560</v>
      </c>
      <c r="AE59">
        <v>1</v>
      </c>
      <c r="AF59" t="s">
        <v>567</v>
      </c>
      <c r="AG59" t="s">
        <v>1336</v>
      </c>
      <c r="AH59" t="s">
        <v>561</v>
      </c>
      <c r="AI59" t="s">
        <v>562</v>
      </c>
      <c r="AJ59" s="59">
        <v>45448</v>
      </c>
      <c r="AK59" t="s">
        <v>1337</v>
      </c>
      <c r="AL59" s="95" t="s">
        <v>1338</v>
      </c>
      <c r="AM59" t="s">
        <v>1339</v>
      </c>
      <c r="AN59" t="s">
        <v>1340</v>
      </c>
      <c r="AO59" t="s">
        <v>1341</v>
      </c>
      <c r="AP59" s="59">
        <v>45448</v>
      </c>
      <c r="AQ59" t="s">
        <v>563</v>
      </c>
      <c r="AR59" t="s">
        <v>1341</v>
      </c>
      <c r="AS59" t="s">
        <v>560</v>
      </c>
      <c r="AT59" t="s">
        <v>1342</v>
      </c>
      <c r="AU59" t="s">
        <v>560</v>
      </c>
      <c r="AV59">
        <v>14580</v>
      </c>
      <c r="AW59">
        <v>16200</v>
      </c>
      <c r="AX59">
        <v>17580</v>
      </c>
      <c r="AY59">
        <v>14001</v>
      </c>
      <c r="AZ59">
        <v>579</v>
      </c>
      <c r="BA59">
        <v>3000</v>
      </c>
      <c r="BB59">
        <v>0</v>
      </c>
      <c r="BC59" t="s">
        <v>1343</v>
      </c>
      <c r="BD59" t="s">
        <v>44</v>
      </c>
      <c r="BE59" t="s">
        <v>2001</v>
      </c>
    </row>
    <row r="60" spans="1:57">
      <c r="A60" s="99" t="str">
        <v>SE204</v>
      </c>
      <c r="G60" s="97">
        <v>42120</v>
      </c>
      <c r="H60" s="97">
        <v>42120</v>
      </c>
      <c r="R60" s="117"/>
      <c r="U60" s="99" t="str">
        <v>투명</v>
      </c>
      <c r="V60" s="99">
        <v>2</v>
      </c>
      <c r="W60" s="109">
        <v>0</v>
      </c>
      <c r="AB60" t="s">
        <v>1344</v>
      </c>
      <c r="AC60" t="s">
        <v>1345</v>
      </c>
      <c r="AD60" t="s">
        <v>560</v>
      </c>
      <c r="AE60">
        <v>2</v>
      </c>
      <c r="AF60" t="s">
        <v>564</v>
      </c>
      <c r="AG60" t="s">
        <v>1346</v>
      </c>
      <c r="AH60" t="s">
        <v>561</v>
      </c>
      <c r="AI60" t="s">
        <v>562</v>
      </c>
      <c r="AJ60" s="59">
        <v>45448</v>
      </c>
      <c r="AK60" t="s">
        <v>1347</v>
      </c>
      <c r="AL60" s="95" t="s">
        <v>1348</v>
      </c>
      <c r="AM60" t="s">
        <v>1349</v>
      </c>
      <c r="AN60" t="s">
        <v>1350</v>
      </c>
      <c r="AO60" t="s">
        <v>1351</v>
      </c>
      <c r="AP60" s="59">
        <v>45448</v>
      </c>
      <c r="AQ60" t="s">
        <v>563</v>
      </c>
      <c r="AR60" t="s">
        <v>1351</v>
      </c>
      <c r="AS60" t="s">
        <v>1352</v>
      </c>
      <c r="AT60" t="s">
        <v>1353</v>
      </c>
      <c r="AU60" t="s">
        <v>1354</v>
      </c>
      <c r="AV60">
        <v>42120</v>
      </c>
      <c r="AW60">
        <v>46800</v>
      </c>
      <c r="AX60">
        <v>42120</v>
      </c>
      <c r="AY60">
        <v>40445</v>
      </c>
      <c r="AZ60">
        <v>1675</v>
      </c>
      <c r="BA60">
        <v>0</v>
      </c>
      <c r="BB60">
        <v>0</v>
      </c>
      <c r="BC60" t="s">
        <v>1355</v>
      </c>
      <c r="BD60" t="s">
        <v>38</v>
      </c>
      <c r="BE60" t="s">
        <v>2026</v>
      </c>
    </row>
    <row r="61" spans="1:57">
      <c r="A61" s="99" t="str">
        <v>SE22</v>
      </c>
      <c r="G61" s="97">
        <v>15480</v>
      </c>
      <c r="H61" s="97">
        <v>18480</v>
      </c>
      <c r="R61" s="117"/>
      <c r="U61" s="99" t="str">
        <v>검정</v>
      </c>
      <c r="V61" s="99">
        <v>4</v>
      </c>
      <c r="W61" s="109">
        <v>0</v>
      </c>
      <c r="AB61" t="s">
        <v>1356</v>
      </c>
      <c r="AC61" t="s">
        <v>1357</v>
      </c>
      <c r="AD61" t="s">
        <v>1358</v>
      </c>
      <c r="AE61">
        <v>4</v>
      </c>
      <c r="AF61" t="s">
        <v>567</v>
      </c>
      <c r="AG61" t="s">
        <v>1359</v>
      </c>
      <c r="AH61" t="s">
        <v>561</v>
      </c>
      <c r="AI61" t="s">
        <v>562</v>
      </c>
      <c r="AJ61" s="59">
        <v>45447</v>
      </c>
      <c r="AK61" t="s">
        <v>1360</v>
      </c>
      <c r="AL61" s="95" t="s">
        <v>1361</v>
      </c>
      <c r="AM61" t="s">
        <v>1356</v>
      </c>
      <c r="AN61" t="s">
        <v>1362</v>
      </c>
      <c r="AO61" t="s">
        <v>1363</v>
      </c>
      <c r="AP61" s="59">
        <v>45448</v>
      </c>
      <c r="AQ61" t="s">
        <v>563</v>
      </c>
      <c r="AR61" t="s">
        <v>1363</v>
      </c>
      <c r="AS61" t="s">
        <v>560</v>
      </c>
      <c r="AT61" t="s">
        <v>1364</v>
      </c>
      <c r="AU61" t="s">
        <v>560</v>
      </c>
      <c r="AV61">
        <v>15480</v>
      </c>
      <c r="AW61">
        <v>15480</v>
      </c>
      <c r="AX61">
        <v>18480</v>
      </c>
      <c r="AY61">
        <v>14865</v>
      </c>
      <c r="AZ61">
        <v>615</v>
      </c>
      <c r="BA61">
        <v>3000</v>
      </c>
      <c r="BB61">
        <v>0</v>
      </c>
      <c r="BC61" t="s">
        <v>1365</v>
      </c>
      <c r="BD61" t="s">
        <v>1366</v>
      </c>
      <c r="BE61" t="s">
        <v>2027</v>
      </c>
    </row>
    <row r="62" spans="1:57">
      <c r="A62" s="99" t="str">
        <v>SE303</v>
      </c>
      <c r="G62" s="97">
        <v>22190</v>
      </c>
      <c r="H62" s="97">
        <v>25190</v>
      </c>
      <c r="R62" s="117"/>
      <c r="U62" s="99" t="str">
        <v>투명</v>
      </c>
      <c r="V62" s="99">
        <v>1</v>
      </c>
      <c r="W62" s="109">
        <v>0</v>
      </c>
      <c r="AB62" t="s">
        <v>1367</v>
      </c>
      <c r="AC62" t="s">
        <v>1368</v>
      </c>
      <c r="AD62" t="s">
        <v>560</v>
      </c>
      <c r="AE62">
        <v>1</v>
      </c>
      <c r="AF62" t="s">
        <v>567</v>
      </c>
      <c r="AG62" t="s">
        <v>1369</v>
      </c>
      <c r="AH62" t="s">
        <v>561</v>
      </c>
      <c r="AI62" t="s">
        <v>562</v>
      </c>
      <c r="AJ62" s="59">
        <v>45447</v>
      </c>
      <c r="AK62" t="s">
        <v>1370</v>
      </c>
      <c r="AL62" s="95" t="s">
        <v>1371</v>
      </c>
      <c r="AM62" t="s">
        <v>1367</v>
      </c>
      <c r="AN62" t="s">
        <v>1372</v>
      </c>
      <c r="AO62" t="s">
        <v>1373</v>
      </c>
      <c r="AP62" s="59">
        <v>45448</v>
      </c>
      <c r="AQ62" t="s">
        <v>563</v>
      </c>
      <c r="AR62" t="s">
        <v>1373</v>
      </c>
      <c r="AS62" t="s">
        <v>560</v>
      </c>
      <c r="AT62" t="s">
        <v>1374</v>
      </c>
      <c r="AU62" t="s">
        <v>560</v>
      </c>
      <c r="AV62">
        <v>22190</v>
      </c>
      <c r="AW62">
        <v>24660</v>
      </c>
      <c r="AX62">
        <v>25190</v>
      </c>
      <c r="AY62">
        <v>21309</v>
      </c>
      <c r="AZ62">
        <v>881</v>
      </c>
      <c r="BA62">
        <v>3000</v>
      </c>
      <c r="BB62">
        <v>0</v>
      </c>
      <c r="BC62" t="s">
        <v>1375</v>
      </c>
      <c r="BD62" t="s">
        <v>26</v>
      </c>
      <c r="BE62" t="s">
        <v>2028</v>
      </c>
    </row>
    <row r="63" spans="1:57">
      <c r="A63" s="99" t="str">
        <v>SE206</v>
      </c>
      <c r="G63" s="97">
        <v>85200</v>
      </c>
      <c r="H63" s="97">
        <v>85200</v>
      </c>
      <c r="R63" s="117"/>
      <c r="U63" s="99" t="str">
        <v>투명</v>
      </c>
      <c r="V63" s="99">
        <v>3</v>
      </c>
      <c r="W63" s="109">
        <v>0</v>
      </c>
      <c r="AB63" t="s">
        <v>1376</v>
      </c>
      <c r="AC63" t="s">
        <v>1034</v>
      </c>
      <c r="AD63" t="s">
        <v>1035</v>
      </c>
      <c r="AE63">
        <v>3</v>
      </c>
      <c r="AF63" t="s">
        <v>973</v>
      </c>
      <c r="AG63" t="s">
        <v>1377</v>
      </c>
      <c r="AH63" t="s">
        <v>561</v>
      </c>
      <c r="AI63" t="s">
        <v>673</v>
      </c>
      <c r="AJ63" s="59">
        <v>45448</v>
      </c>
      <c r="AK63" t="s">
        <v>1378</v>
      </c>
      <c r="AL63" s="95" t="s">
        <v>1379</v>
      </c>
      <c r="AM63" t="s">
        <v>1376</v>
      </c>
      <c r="AN63" t="s">
        <v>1380</v>
      </c>
      <c r="AO63" t="s">
        <v>1381</v>
      </c>
      <c r="AP63" s="59">
        <v>45448</v>
      </c>
      <c r="AQ63" t="s">
        <v>563</v>
      </c>
      <c r="AR63" t="s">
        <v>1381</v>
      </c>
      <c r="AS63" t="s">
        <v>1382</v>
      </c>
      <c r="AT63" t="s">
        <v>1383</v>
      </c>
      <c r="AU63" t="s">
        <v>560</v>
      </c>
      <c r="AV63">
        <v>85200</v>
      </c>
      <c r="AW63">
        <v>85200</v>
      </c>
      <c r="AX63">
        <v>85200</v>
      </c>
      <c r="AY63">
        <v>80919</v>
      </c>
      <c r="AZ63">
        <v>4281</v>
      </c>
      <c r="BA63">
        <v>0</v>
      </c>
      <c r="BB63">
        <v>0</v>
      </c>
      <c r="BC63" t="s">
        <v>1384</v>
      </c>
      <c r="BD63" t="s">
        <v>1045</v>
      </c>
      <c r="BE63" t="s">
        <v>1999</v>
      </c>
    </row>
    <row r="64" spans="1:57">
      <c r="A64" s="99" t="str">
        <v>SE204</v>
      </c>
      <c r="G64" s="97">
        <v>20800</v>
      </c>
      <c r="H64" s="97">
        <v>23800</v>
      </c>
      <c r="R64" s="117"/>
      <c r="U64" s="99" t="str">
        <v>투명</v>
      </c>
      <c r="V64" s="99">
        <v>1</v>
      </c>
      <c r="W64" s="109">
        <v>0</v>
      </c>
      <c r="AB64" t="s">
        <v>1385</v>
      </c>
      <c r="AC64" t="s">
        <v>1034</v>
      </c>
      <c r="AD64" t="s">
        <v>1108</v>
      </c>
      <c r="AE64">
        <v>1</v>
      </c>
      <c r="AF64" t="s">
        <v>567</v>
      </c>
      <c r="AG64" t="s">
        <v>1386</v>
      </c>
      <c r="AH64" t="s">
        <v>561</v>
      </c>
      <c r="AI64" t="s">
        <v>673</v>
      </c>
      <c r="AJ64" s="59">
        <v>45448</v>
      </c>
      <c r="AK64" t="s">
        <v>1387</v>
      </c>
      <c r="AL64" s="95" t="s">
        <v>1388</v>
      </c>
      <c r="AM64" t="s">
        <v>1385</v>
      </c>
      <c r="AN64" t="s">
        <v>1389</v>
      </c>
      <c r="AO64" t="s">
        <v>1390</v>
      </c>
      <c r="AP64" s="59">
        <v>45448</v>
      </c>
      <c r="AQ64" t="s">
        <v>563</v>
      </c>
      <c r="AR64" t="s">
        <v>1390</v>
      </c>
      <c r="AS64" t="s">
        <v>560</v>
      </c>
      <c r="AT64" t="s">
        <v>1391</v>
      </c>
      <c r="AU64" t="s">
        <v>1392</v>
      </c>
      <c r="AV64">
        <v>20800</v>
      </c>
      <c r="AW64">
        <v>20800</v>
      </c>
      <c r="AX64">
        <v>23800</v>
      </c>
      <c r="AY64">
        <v>19755</v>
      </c>
      <c r="AZ64">
        <v>1045</v>
      </c>
      <c r="BA64">
        <v>3000</v>
      </c>
      <c r="BB64">
        <v>0</v>
      </c>
      <c r="BC64" t="s">
        <v>1393</v>
      </c>
      <c r="BD64" t="s">
        <v>1045</v>
      </c>
      <c r="BE64" t="s">
        <v>2004</v>
      </c>
    </row>
    <row r="65" spans="1:57">
      <c r="A65" s="99" t="str">
        <v>SE307</v>
      </c>
      <c r="G65" s="97">
        <v>110900</v>
      </c>
      <c r="H65" s="97">
        <v>110900</v>
      </c>
      <c r="R65" s="117"/>
      <c r="U65" s="99" t="str">
        <v>투명</v>
      </c>
      <c r="V65" s="99">
        <v>10</v>
      </c>
      <c r="W65" s="109">
        <v>0</v>
      </c>
      <c r="AB65" t="s">
        <v>1394</v>
      </c>
      <c r="AC65" t="s">
        <v>1395</v>
      </c>
      <c r="AD65" t="s">
        <v>704</v>
      </c>
      <c r="AE65">
        <v>10</v>
      </c>
      <c r="AF65" t="s">
        <v>973</v>
      </c>
      <c r="AG65" t="s">
        <v>1396</v>
      </c>
      <c r="AH65" t="s">
        <v>568</v>
      </c>
      <c r="AI65" t="s">
        <v>673</v>
      </c>
      <c r="AJ65" s="59">
        <v>45447</v>
      </c>
      <c r="AK65" t="s">
        <v>1397</v>
      </c>
      <c r="AM65" t="s">
        <v>1398</v>
      </c>
      <c r="AN65" t="s">
        <v>1399</v>
      </c>
      <c r="AO65" t="s">
        <v>1400</v>
      </c>
      <c r="AP65" s="59">
        <v>45448</v>
      </c>
      <c r="AQ65" t="s">
        <v>563</v>
      </c>
      <c r="AR65" t="s">
        <v>1400</v>
      </c>
      <c r="AS65" t="s">
        <v>560</v>
      </c>
      <c r="AT65" t="s">
        <v>1401</v>
      </c>
      <c r="AU65" t="s">
        <v>571</v>
      </c>
      <c r="AV65">
        <v>110900</v>
      </c>
      <c r="AW65">
        <v>110900</v>
      </c>
      <c r="AX65">
        <v>110900</v>
      </c>
      <c r="BA65">
        <v>0</v>
      </c>
      <c r="BB65">
        <v>0</v>
      </c>
      <c r="BC65" t="s">
        <v>1402</v>
      </c>
      <c r="BD65" t="s">
        <v>560</v>
      </c>
      <c r="BE65" t="s">
        <v>2029</v>
      </c>
    </row>
    <row r="66" spans="1:57">
      <c r="A66" s="99" t="str">
        <v>SE102</v>
      </c>
      <c r="G66" s="97">
        <v>11500</v>
      </c>
      <c r="H66" s="97">
        <v>14500</v>
      </c>
      <c r="R66" s="117"/>
      <c r="U66" s="99" t="str">
        <v>투명</v>
      </c>
      <c r="V66" s="99">
        <v>10</v>
      </c>
      <c r="W66" s="109">
        <v>0</v>
      </c>
      <c r="AB66" t="s">
        <v>1403</v>
      </c>
      <c r="AC66" t="s">
        <v>719</v>
      </c>
      <c r="AD66" t="s">
        <v>566</v>
      </c>
      <c r="AE66">
        <v>10</v>
      </c>
      <c r="AF66" t="s">
        <v>567</v>
      </c>
      <c r="AG66" t="s">
        <v>1404</v>
      </c>
      <c r="AH66" t="s">
        <v>568</v>
      </c>
      <c r="AI66" t="s">
        <v>562</v>
      </c>
      <c r="AJ66" s="59">
        <v>45447</v>
      </c>
      <c r="AK66" t="s">
        <v>1405</v>
      </c>
      <c r="AM66" t="s">
        <v>1403</v>
      </c>
      <c r="AN66" t="s">
        <v>1406</v>
      </c>
      <c r="AO66" t="s">
        <v>1407</v>
      </c>
      <c r="AP66" s="59">
        <v>45448</v>
      </c>
      <c r="AQ66" t="s">
        <v>563</v>
      </c>
      <c r="AR66" t="s">
        <v>1407</v>
      </c>
      <c r="AS66" t="s">
        <v>560</v>
      </c>
      <c r="AT66" t="s">
        <v>1408</v>
      </c>
      <c r="AU66" t="s">
        <v>571</v>
      </c>
      <c r="AV66">
        <v>11500</v>
      </c>
      <c r="AW66">
        <v>11500</v>
      </c>
      <c r="AX66">
        <v>14500</v>
      </c>
      <c r="BA66">
        <v>3000</v>
      </c>
      <c r="BB66">
        <v>0</v>
      </c>
      <c r="BC66" t="s">
        <v>1409</v>
      </c>
      <c r="BD66" t="s">
        <v>570</v>
      </c>
      <c r="BE66" t="s">
        <v>2010</v>
      </c>
    </row>
    <row r="67" spans="1:57">
      <c r="A67" s="99" t="str">
        <v>SE307</v>
      </c>
      <c r="G67" s="97">
        <v>12470</v>
      </c>
      <c r="H67" s="97">
        <v>15470</v>
      </c>
      <c r="R67" s="117"/>
      <c r="U67" s="99" t="str">
        <v>투명</v>
      </c>
      <c r="V67" s="99">
        <v>1</v>
      </c>
      <c r="W67" s="109">
        <v>0</v>
      </c>
      <c r="AB67" t="s">
        <v>1410</v>
      </c>
      <c r="AC67" t="s">
        <v>1145</v>
      </c>
      <c r="AD67" t="s">
        <v>1146</v>
      </c>
      <c r="AE67">
        <v>1</v>
      </c>
      <c r="AF67" t="s">
        <v>567</v>
      </c>
      <c r="AG67" t="s">
        <v>1411</v>
      </c>
      <c r="AH67" t="s">
        <v>568</v>
      </c>
      <c r="AI67" t="s">
        <v>562</v>
      </c>
      <c r="AJ67" s="59">
        <v>45447</v>
      </c>
      <c r="AK67" t="s">
        <v>1412</v>
      </c>
      <c r="AM67" t="s">
        <v>1413</v>
      </c>
      <c r="AN67" t="s">
        <v>1414</v>
      </c>
      <c r="AO67" t="s">
        <v>1415</v>
      </c>
      <c r="AP67" s="59">
        <v>45448</v>
      </c>
      <c r="AQ67" t="s">
        <v>563</v>
      </c>
      <c r="AR67" t="s">
        <v>1415</v>
      </c>
      <c r="AS67" t="s">
        <v>560</v>
      </c>
      <c r="AT67" t="s">
        <v>1416</v>
      </c>
      <c r="AU67" t="s">
        <v>571</v>
      </c>
      <c r="AV67">
        <v>12470</v>
      </c>
      <c r="AW67">
        <v>12470</v>
      </c>
      <c r="AX67">
        <v>15470</v>
      </c>
      <c r="BA67">
        <v>3000</v>
      </c>
      <c r="BB67">
        <v>0</v>
      </c>
      <c r="BC67" t="s">
        <v>1417</v>
      </c>
      <c r="BD67" t="s">
        <v>570</v>
      </c>
      <c r="BE67" t="s">
        <v>2009</v>
      </c>
    </row>
    <row r="68" spans="1:57">
      <c r="A68" s="99" t="str">
        <v/>
      </c>
      <c r="G68" s="97">
        <v>0</v>
      </c>
      <c r="H68" s="97">
        <v>0</v>
      </c>
      <c r="R68" s="117"/>
      <c r="U68" s="99" t="str">
        <v>투명</v>
      </c>
      <c r="V68" s="99">
        <v>1</v>
      </c>
      <c r="W68" s="109" t="str">
        <v/>
      </c>
      <c r="AB68" t="s">
        <v>1418</v>
      </c>
      <c r="AC68" t="s">
        <v>499</v>
      </c>
      <c r="AD68" t="s">
        <v>560</v>
      </c>
      <c r="AE68">
        <v>1</v>
      </c>
      <c r="AF68" t="s">
        <v>1058</v>
      </c>
      <c r="AG68" t="s">
        <v>1419</v>
      </c>
      <c r="AH68" t="s">
        <v>921</v>
      </c>
      <c r="AI68" t="s">
        <v>922</v>
      </c>
      <c r="AJ68" s="59">
        <v>45450</v>
      </c>
      <c r="AK68" t="s">
        <v>1420</v>
      </c>
      <c r="AM68" t="s">
        <v>560</v>
      </c>
      <c r="AN68" t="s">
        <v>560</v>
      </c>
      <c r="AO68" t="s">
        <v>560</v>
      </c>
      <c r="AP68" s="59">
        <v>45450</v>
      </c>
      <c r="AQ68" t="s">
        <v>563</v>
      </c>
      <c r="AR68" t="s">
        <v>1421</v>
      </c>
      <c r="AS68" t="s">
        <v>560</v>
      </c>
      <c r="AT68" t="s">
        <v>1422</v>
      </c>
      <c r="AU68" t="s">
        <v>560</v>
      </c>
      <c r="AV68">
        <v>0</v>
      </c>
      <c r="AW68">
        <v>0</v>
      </c>
      <c r="AX68">
        <v>0</v>
      </c>
      <c r="BA68">
        <v>0</v>
      </c>
      <c r="BB68">
        <v>0</v>
      </c>
      <c r="BD68" t="s">
        <v>560</v>
      </c>
      <c r="BE68" t="s">
        <v>2030</v>
      </c>
    </row>
    <row r="69" spans="1:57">
      <c r="A69" s="99" t="str">
        <v/>
      </c>
      <c r="G69" s="97">
        <v>0</v>
      </c>
      <c r="H69" s="97">
        <v>0</v>
      </c>
      <c r="R69" s="117"/>
      <c r="U69" s="99" t="str">
        <v>투명</v>
      </c>
      <c r="V69" s="99">
        <v>1</v>
      </c>
      <c r="W69" s="109" t="str">
        <v/>
      </c>
      <c r="AB69" t="s">
        <v>1418</v>
      </c>
      <c r="AC69" t="s">
        <v>499</v>
      </c>
      <c r="AD69" t="s">
        <v>560</v>
      </c>
      <c r="AE69">
        <v>1</v>
      </c>
      <c r="AF69" t="s">
        <v>973</v>
      </c>
      <c r="AG69" t="s">
        <v>1423</v>
      </c>
      <c r="AH69" t="s">
        <v>921</v>
      </c>
      <c r="AI69" t="s">
        <v>922</v>
      </c>
      <c r="AJ69" s="59">
        <v>45450</v>
      </c>
      <c r="AK69" t="s">
        <v>1424</v>
      </c>
      <c r="AM69" t="s">
        <v>560</v>
      </c>
      <c r="AN69" t="s">
        <v>560</v>
      </c>
      <c r="AO69" t="s">
        <v>560</v>
      </c>
      <c r="AP69" s="59">
        <v>45450</v>
      </c>
      <c r="AQ69" t="s">
        <v>563</v>
      </c>
      <c r="AR69" t="s">
        <v>1421</v>
      </c>
      <c r="AS69" t="s">
        <v>560</v>
      </c>
      <c r="AT69" t="s">
        <v>1422</v>
      </c>
      <c r="AU69" t="s">
        <v>560</v>
      </c>
      <c r="AV69">
        <v>0</v>
      </c>
      <c r="AW69">
        <v>0</v>
      </c>
      <c r="AX69">
        <v>0</v>
      </c>
      <c r="BA69">
        <v>0</v>
      </c>
      <c r="BB69">
        <v>0</v>
      </c>
      <c r="BD69" t="s">
        <v>560</v>
      </c>
      <c r="BE69" t="s">
        <v>2030</v>
      </c>
    </row>
    <row r="70" spans="1:57">
      <c r="A70" s="99" t="str">
        <v/>
      </c>
      <c r="G70" s="97">
        <v>0</v>
      </c>
      <c r="H70" s="97">
        <v>0</v>
      </c>
      <c r="R70" s="117"/>
      <c r="U70" s="99" t="str">
        <v>투명</v>
      </c>
      <c r="V70" s="99">
        <v>1</v>
      </c>
      <c r="W70" s="109" t="str">
        <v/>
      </c>
      <c r="AB70" t="s">
        <v>1425</v>
      </c>
      <c r="AC70" t="s">
        <v>919</v>
      </c>
      <c r="AD70" t="s">
        <v>560</v>
      </c>
      <c r="AE70">
        <v>1</v>
      </c>
      <c r="AF70" t="s">
        <v>567</v>
      </c>
      <c r="AG70" t="s">
        <v>1426</v>
      </c>
      <c r="AH70" t="s">
        <v>921</v>
      </c>
      <c r="AI70" t="s">
        <v>922</v>
      </c>
      <c r="AJ70" s="59">
        <v>45450</v>
      </c>
      <c r="AK70" t="s">
        <v>1427</v>
      </c>
      <c r="AM70" t="s">
        <v>560</v>
      </c>
      <c r="AN70" t="s">
        <v>560</v>
      </c>
      <c r="AO70" t="s">
        <v>560</v>
      </c>
      <c r="AP70" s="59">
        <v>45450</v>
      </c>
      <c r="AQ70" t="s">
        <v>563</v>
      </c>
      <c r="AR70" t="s">
        <v>1428</v>
      </c>
      <c r="AS70" t="s">
        <v>560</v>
      </c>
      <c r="AT70" t="s">
        <v>1429</v>
      </c>
      <c r="AU70" t="s">
        <v>560</v>
      </c>
      <c r="AV70">
        <v>0</v>
      </c>
      <c r="AW70">
        <v>0</v>
      </c>
      <c r="AX70">
        <v>0</v>
      </c>
      <c r="BA70">
        <v>0</v>
      </c>
      <c r="BB70">
        <v>0</v>
      </c>
      <c r="BD70" t="s">
        <v>560</v>
      </c>
      <c r="BE70" t="s">
        <v>1986</v>
      </c>
    </row>
    <row r="71" spans="1:57">
      <c r="A71" s="99" t="str">
        <v/>
      </c>
      <c r="G71" s="97">
        <v>0</v>
      </c>
      <c r="H71" s="97">
        <v>0</v>
      </c>
      <c r="R71" s="117"/>
      <c r="U71" s="99" t="str">
        <v>투명</v>
      </c>
      <c r="V71" s="99">
        <v>1</v>
      </c>
      <c r="W71" s="109" t="str">
        <v/>
      </c>
      <c r="AB71" t="s">
        <v>1418</v>
      </c>
      <c r="AC71" t="s">
        <v>499</v>
      </c>
      <c r="AD71" t="s">
        <v>560</v>
      </c>
      <c r="AE71">
        <v>1</v>
      </c>
      <c r="AF71" t="s">
        <v>973</v>
      </c>
      <c r="AG71" t="s">
        <v>1430</v>
      </c>
      <c r="AH71" t="s">
        <v>921</v>
      </c>
      <c r="AI71" t="s">
        <v>922</v>
      </c>
      <c r="AJ71" s="59">
        <v>45450</v>
      </c>
      <c r="AK71" t="s">
        <v>1431</v>
      </c>
      <c r="AM71" t="s">
        <v>560</v>
      </c>
      <c r="AN71" t="s">
        <v>560</v>
      </c>
      <c r="AO71" t="s">
        <v>560</v>
      </c>
      <c r="AP71" s="59">
        <v>45450</v>
      </c>
      <c r="AQ71" t="s">
        <v>563</v>
      </c>
      <c r="AR71" t="s">
        <v>1421</v>
      </c>
      <c r="AS71" t="s">
        <v>560</v>
      </c>
      <c r="AT71" t="s">
        <v>1422</v>
      </c>
      <c r="AU71" t="s">
        <v>560</v>
      </c>
      <c r="AV71">
        <v>0</v>
      </c>
      <c r="AW71">
        <v>0</v>
      </c>
      <c r="AX71">
        <v>0</v>
      </c>
      <c r="BA71">
        <v>0</v>
      </c>
      <c r="BB71">
        <v>0</v>
      </c>
      <c r="BD71" t="s">
        <v>560</v>
      </c>
      <c r="BE71" t="s">
        <v>2030</v>
      </c>
    </row>
    <row r="72" spans="1:57">
      <c r="A72" s="99" t="str">
        <v>SE206</v>
      </c>
      <c r="G72" s="97">
        <v>28400</v>
      </c>
      <c r="H72" s="97">
        <v>31400</v>
      </c>
      <c r="R72" s="117"/>
      <c r="U72" s="99" t="str">
        <v>투명</v>
      </c>
      <c r="V72" s="99">
        <v>1</v>
      </c>
      <c r="W72" s="109">
        <v>0</v>
      </c>
      <c r="AB72" t="s">
        <v>1432</v>
      </c>
      <c r="AC72" t="s">
        <v>1034</v>
      </c>
      <c r="AD72" t="s">
        <v>1035</v>
      </c>
      <c r="AE72">
        <v>1</v>
      </c>
      <c r="AF72" t="s">
        <v>567</v>
      </c>
      <c r="AG72" t="s">
        <v>1433</v>
      </c>
      <c r="AH72" t="s">
        <v>561</v>
      </c>
      <c r="AI72" t="s">
        <v>673</v>
      </c>
      <c r="AJ72" s="59">
        <v>45450</v>
      </c>
      <c r="AK72" t="s">
        <v>1434</v>
      </c>
      <c r="AL72" s="95" t="s">
        <v>1435</v>
      </c>
      <c r="AM72" t="s">
        <v>1432</v>
      </c>
      <c r="AN72" t="s">
        <v>1436</v>
      </c>
      <c r="AO72" t="s">
        <v>1437</v>
      </c>
      <c r="AP72" s="59">
        <v>45450</v>
      </c>
      <c r="AQ72" t="s">
        <v>563</v>
      </c>
      <c r="AR72" t="s">
        <v>1438</v>
      </c>
      <c r="AS72" t="s">
        <v>560</v>
      </c>
      <c r="AT72" t="s">
        <v>1439</v>
      </c>
      <c r="AU72" t="s">
        <v>560</v>
      </c>
      <c r="AV72">
        <v>28400</v>
      </c>
      <c r="AW72">
        <v>28400</v>
      </c>
      <c r="AX72">
        <v>31400</v>
      </c>
      <c r="AY72">
        <v>26973</v>
      </c>
      <c r="AZ72">
        <v>1427</v>
      </c>
      <c r="BA72">
        <v>3000</v>
      </c>
      <c r="BB72">
        <v>0</v>
      </c>
      <c r="BC72" t="s">
        <v>1440</v>
      </c>
      <c r="BD72" t="s">
        <v>1045</v>
      </c>
      <c r="BE72" t="s">
        <v>1999</v>
      </c>
    </row>
    <row r="73" spans="1:57">
      <c r="A73" s="99" t="str">
        <v>SE307</v>
      </c>
      <c r="G73" s="97">
        <v>21120</v>
      </c>
      <c r="H73" s="97">
        <v>21120</v>
      </c>
      <c r="R73" s="117"/>
      <c r="U73" s="99" t="str">
        <v>투명</v>
      </c>
      <c r="V73" s="99">
        <v>2</v>
      </c>
      <c r="W73" s="109">
        <v>0</v>
      </c>
      <c r="AB73" t="s">
        <v>1441</v>
      </c>
      <c r="AC73" t="s">
        <v>671</v>
      </c>
      <c r="AD73" t="s">
        <v>560</v>
      </c>
      <c r="AE73">
        <v>2</v>
      </c>
      <c r="AF73" t="s">
        <v>350</v>
      </c>
      <c r="AG73" t="s">
        <v>1442</v>
      </c>
      <c r="AH73" t="s">
        <v>561</v>
      </c>
      <c r="AI73" t="s">
        <v>673</v>
      </c>
      <c r="AJ73" s="59">
        <v>45449</v>
      </c>
      <c r="AK73" t="s">
        <v>1443</v>
      </c>
      <c r="AL73" s="95" t="s">
        <v>1444</v>
      </c>
      <c r="AM73" t="s">
        <v>1445</v>
      </c>
      <c r="AN73" t="s">
        <v>1446</v>
      </c>
      <c r="AO73" t="s">
        <v>1447</v>
      </c>
      <c r="AP73" s="59">
        <v>45450</v>
      </c>
      <c r="AQ73" t="s">
        <v>563</v>
      </c>
      <c r="AR73" t="s">
        <v>1447</v>
      </c>
      <c r="AS73" t="s">
        <v>1448</v>
      </c>
      <c r="AT73" t="s">
        <v>1449</v>
      </c>
      <c r="AU73" t="s">
        <v>560</v>
      </c>
      <c r="AV73">
        <v>21120</v>
      </c>
      <c r="AW73">
        <v>21120</v>
      </c>
      <c r="AX73">
        <v>21120</v>
      </c>
      <c r="AY73">
        <v>20060</v>
      </c>
      <c r="AZ73">
        <v>1060</v>
      </c>
      <c r="BA73">
        <v>0</v>
      </c>
      <c r="BB73">
        <v>0</v>
      </c>
      <c r="BC73" t="s">
        <v>1450</v>
      </c>
      <c r="BD73" t="s">
        <v>18</v>
      </c>
      <c r="BE73" t="s">
        <v>2031</v>
      </c>
    </row>
    <row r="74" spans="1:57">
      <c r="A74" s="99" t="str">
        <v/>
      </c>
      <c r="G74" s="97">
        <v>7150</v>
      </c>
      <c r="H74" s="97">
        <v>7150</v>
      </c>
      <c r="R74" s="117"/>
      <c r="U74" s="99" t="str">
        <v>검정</v>
      </c>
      <c r="V74" s="99">
        <v>5</v>
      </c>
      <c r="W74" s="109">
        <v>0</v>
      </c>
      <c r="AB74" t="s">
        <v>1441</v>
      </c>
      <c r="AC74" t="s">
        <v>1118</v>
      </c>
      <c r="AD74" t="s">
        <v>1451</v>
      </c>
      <c r="AE74">
        <v>5</v>
      </c>
      <c r="AF74" t="s">
        <v>350</v>
      </c>
      <c r="AG74" t="s">
        <v>1442</v>
      </c>
      <c r="AH74" t="s">
        <v>561</v>
      </c>
      <c r="AI74" t="s">
        <v>673</v>
      </c>
      <c r="AJ74" s="59">
        <v>45449</v>
      </c>
      <c r="AK74" t="s">
        <v>1443</v>
      </c>
      <c r="AL74" s="95" t="s">
        <v>1452</v>
      </c>
      <c r="AM74" t="s">
        <v>1445</v>
      </c>
      <c r="AN74" t="s">
        <v>1446</v>
      </c>
      <c r="AO74" t="s">
        <v>1447</v>
      </c>
      <c r="AP74" s="59">
        <v>45450</v>
      </c>
      <c r="AQ74" t="s">
        <v>563</v>
      </c>
      <c r="AR74" t="s">
        <v>1447</v>
      </c>
      <c r="AS74" t="s">
        <v>1448</v>
      </c>
      <c r="AT74" t="s">
        <v>1449</v>
      </c>
      <c r="AU74" t="s">
        <v>560</v>
      </c>
      <c r="AV74">
        <v>7150</v>
      </c>
      <c r="AW74">
        <v>14350</v>
      </c>
      <c r="AX74">
        <v>7150</v>
      </c>
      <c r="AY74">
        <v>6791</v>
      </c>
      <c r="AZ74">
        <v>359</v>
      </c>
      <c r="BA74">
        <v>0</v>
      </c>
      <c r="BB74">
        <v>0</v>
      </c>
      <c r="BC74" t="s">
        <v>1450</v>
      </c>
      <c r="BD74" t="s">
        <v>1128</v>
      </c>
      <c r="BE74" t="s">
        <v>2032</v>
      </c>
    </row>
    <row r="75" spans="1:57">
      <c r="A75" s="99" t="str">
        <v>SE107</v>
      </c>
      <c r="G75" s="97">
        <v>9720</v>
      </c>
      <c r="H75" s="97">
        <v>9720</v>
      </c>
      <c r="R75" s="117"/>
      <c r="U75" s="99" t="str">
        <v>투명</v>
      </c>
      <c r="V75" s="99">
        <v>3</v>
      </c>
      <c r="W75" s="109">
        <v>0</v>
      </c>
      <c r="AB75" t="s">
        <v>1441</v>
      </c>
      <c r="AC75" t="s">
        <v>1253</v>
      </c>
      <c r="AD75" t="s">
        <v>1453</v>
      </c>
      <c r="AE75">
        <v>3</v>
      </c>
      <c r="AF75" t="s">
        <v>350</v>
      </c>
      <c r="AG75" t="s">
        <v>1442</v>
      </c>
      <c r="AH75" t="s">
        <v>561</v>
      </c>
      <c r="AI75" t="s">
        <v>673</v>
      </c>
      <c r="AJ75" s="59">
        <v>45449</v>
      </c>
      <c r="AK75" t="s">
        <v>1443</v>
      </c>
      <c r="AL75" s="95" t="s">
        <v>1454</v>
      </c>
      <c r="AM75" t="s">
        <v>1445</v>
      </c>
      <c r="AN75" t="s">
        <v>1446</v>
      </c>
      <c r="AO75" t="s">
        <v>1447</v>
      </c>
      <c r="AP75" s="59">
        <v>45450</v>
      </c>
      <c r="AQ75" t="s">
        <v>563</v>
      </c>
      <c r="AR75" t="s">
        <v>1447</v>
      </c>
      <c r="AS75" t="s">
        <v>1448</v>
      </c>
      <c r="AT75" t="s">
        <v>1449</v>
      </c>
      <c r="AU75" t="s">
        <v>560</v>
      </c>
      <c r="AV75">
        <v>9720</v>
      </c>
      <c r="AW75">
        <v>13590</v>
      </c>
      <c r="AX75">
        <v>9720</v>
      </c>
      <c r="AY75">
        <v>9232</v>
      </c>
      <c r="AZ75">
        <v>488</v>
      </c>
      <c r="BA75">
        <v>0</v>
      </c>
      <c r="BB75">
        <v>0</v>
      </c>
      <c r="BC75" t="s">
        <v>1450</v>
      </c>
      <c r="BD75" t="s">
        <v>1263</v>
      </c>
      <c r="BE75" t="s">
        <v>2033</v>
      </c>
    </row>
    <row r="76" spans="1:57">
      <c r="A76" s="99" t="str">
        <v>SE21</v>
      </c>
      <c r="G76" s="97">
        <v>18900</v>
      </c>
      <c r="H76" s="97">
        <v>21900</v>
      </c>
      <c r="R76" s="117"/>
      <c r="U76" s="99" t="str">
        <v>유백</v>
      </c>
      <c r="V76" s="99">
        <v>5</v>
      </c>
      <c r="W76" s="109">
        <v>0</v>
      </c>
      <c r="AB76" t="s">
        <v>1455</v>
      </c>
      <c r="AC76" t="s">
        <v>1456</v>
      </c>
      <c r="AD76" t="s">
        <v>1191</v>
      </c>
      <c r="AE76">
        <v>5</v>
      </c>
      <c r="AF76" t="s">
        <v>567</v>
      </c>
      <c r="AG76" t="s">
        <v>1457</v>
      </c>
      <c r="AH76" t="s">
        <v>561</v>
      </c>
      <c r="AI76" t="s">
        <v>562</v>
      </c>
      <c r="AJ76" s="59">
        <v>45450</v>
      </c>
      <c r="AK76" t="s">
        <v>1458</v>
      </c>
      <c r="AL76" s="95" t="s">
        <v>1459</v>
      </c>
      <c r="AM76" t="s">
        <v>1460</v>
      </c>
      <c r="AN76" t="s">
        <v>1461</v>
      </c>
      <c r="AO76" t="s">
        <v>1462</v>
      </c>
      <c r="AP76" s="59">
        <v>45450</v>
      </c>
      <c r="AQ76" t="s">
        <v>563</v>
      </c>
      <c r="AR76" t="s">
        <v>1463</v>
      </c>
      <c r="AS76" t="s">
        <v>560</v>
      </c>
      <c r="AT76" t="s">
        <v>1464</v>
      </c>
      <c r="AU76" t="s">
        <v>560</v>
      </c>
      <c r="AV76">
        <v>18900</v>
      </c>
      <c r="AW76">
        <v>18900</v>
      </c>
      <c r="AX76">
        <v>21900</v>
      </c>
      <c r="AY76">
        <v>18148</v>
      </c>
      <c r="AZ76">
        <v>752</v>
      </c>
      <c r="BA76">
        <v>3000</v>
      </c>
      <c r="BB76">
        <v>0</v>
      </c>
      <c r="BC76" t="s">
        <v>1465</v>
      </c>
      <c r="BD76" t="s">
        <v>1466</v>
      </c>
      <c r="BE76" t="s">
        <v>2034</v>
      </c>
    </row>
    <row r="77" spans="1:57">
      <c r="A77" s="99" t="str">
        <v>SE206</v>
      </c>
      <c r="G77" s="97">
        <v>28620</v>
      </c>
      <c r="H77" s="97">
        <v>31620</v>
      </c>
      <c r="R77" s="117"/>
      <c r="U77" s="99" t="str">
        <v>투명</v>
      </c>
      <c r="V77" s="99">
        <v>1</v>
      </c>
      <c r="W77" s="109">
        <v>0</v>
      </c>
      <c r="AB77" t="s">
        <v>1467</v>
      </c>
      <c r="AC77" t="s">
        <v>934</v>
      </c>
      <c r="AD77" t="s">
        <v>560</v>
      </c>
      <c r="AE77">
        <v>1</v>
      </c>
      <c r="AF77" t="s">
        <v>350</v>
      </c>
      <c r="AG77" t="s">
        <v>1468</v>
      </c>
      <c r="AH77" t="s">
        <v>561</v>
      </c>
      <c r="AI77" t="s">
        <v>562</v>
      </c>
      <c r="AJ77" s="59">
        <v>45450</v>
      </c>
      <c r="AK77" t="s">
        <v>1469</v>
      </c>
      <c r="AL77" s="95" t="s">
        <v>1470</v>
      </c>
      <c r="AM77" t="s">
        <v>1467</v>
      </c>
      <c r="AN77" t="s">
        <v>1471</v>
      </c>
      <c r="AO77" t="s">
        <v>1472</v>
      </c>
      <c r="AP77" s="59">
        <v>45450</v>
      </c>
      <c r="AQ77" t="s">
        <v>563</v>
      </c>
      <c r="AR77" t="s">
        <v>1472</v>
      </c>
      <c r="AS77" t="s">
        <v>560</v>
      </c>
      <c r="AT77" t="s">
        <v>1473</v>
      </c>
      <c r="AU77" t="s">
        <v>560</v>
      </c>
      <c r="AV77">
        <v>28620</v>
      </c>
      <c r="AW77">
        <v>31800</v>
      </c>
      <c r="AX77">
        <v>31620</v>
      </c>
      <c r="AY77">
        <v>27482</v>
      </c>
      <c r="AZ77">
        <v>1138</v>
      </c>
      <c r="BA77">
        <v>3000</v>
      </c>
      <c r="BB77">
        <v>0</v>
      </c>
      <c r="BC77" t="s">
        <v>1474</v>
      </c>
      <c r="BD77" t="s">
        <v>34</v>
      </c>
      <c r="BE77" t="s">
        <v>1988</v>
      </c>
    </row>
    <row r="78" spans="1:57">
      <c r="A78" s="99" t="str">
        <v>SE18</v>
      </c>
      <c r="G78" s="97">
        <v>8480</v>
      </c>
      <c r="H78" s="97">
        <v>11480</v>
      </c>
      <c r="R78" s="117"/>
      <c r="U78" s="99" t="str">
        <v>청백</v>
      </c>
      <c r="V78" s="99">
        <v>4</v>
      </c>
      <c r="W78" s="109">
        <v>0</v>
      </c>
      <c r="AB78" t="s">
        <v>1475</v>
      </c>
      <c r="AC78" t="s">
        <v>1476</v>
      </c>
      <c r="AD78" t="s">
        <v>1477</v>
      </c>
      <c r="AE78">
        <v>4</v>
      </c>
      <c r="AF78" t="s">
        <v>567</v>
      </c>
      <c r="AG78" t="s">
        <v>1478</v>
      </c>
      <c r="AH78" t="s">
        <v>561</v>
      </c>
      <c r="AI78" t="s">
        <v>562</v>
      </c>
      <c r="AJ78" s="59">
        <v>45449</v>
      </c>
      <c r="AK78" t="s">
        <v>1479</v>
      </c>
      <c r="AL78" s="95" t="s">
        <v>1480</v>
      </c>
      <c r="AM78" t="s">
        <v>1475</v>
      </c>
      <c r="AN78" t="s">
        <v>1481</v>
      </c>
      <c r="AO78" t="s">
        <v>1482</v>
      </c>
      <c r="AP78" s="59">
        <v>45450</v>
      </c>
      <c r="AQ78" t="s">
        <v>563</v>
      </c>
      <c r="AR78" t="s">
        <v>1482</v>
      </c>
      <c r="AS78" t="s">
        <v>560</v>
      </c>
      <c r="AT78" t="s">
        <v>1483</v>
      </c>
      <c r="AU78" t="s">
        <v>560</v>
      </c>
      <c r="AV78">
        <v>8480</v>
      </c>
      <c r="AW78">
        <v>8480</v>
      </c>
      <c r="AX78">
        <v>11480</v>
      </c>
      <c r="AY78">
        <v>8144</v>
      </c>
      <c r="AZ78">
        <v>336</v>
      </c>
      <c r="BA78">
        <v>3000</v>
      </c>
      <c r="BB78">
        <v>0</v>
      </c>
      <c r="BC78" t="s">
        <v>1484</v>
      </c>
      <c r="BD78" t="s">
        <v>1485</v>
      </c>
      <c r="BE78" t="s">
        <v>2035</v>
      </c>
    </row>
    <row r="79" spans="1:57">
      <c r="A79" s="99" t="str">
        <v>SE105</v>
      </c>
      <c r="G79" s="97">
        <v>2780</v>
      </c>
      <c r="H79" s="97">
        <v>2780</v>
      </c>
      <c r="R79" s="117"/>
      <c r="U79" s="99" t="str">
        <v>투명</v>
      </c>
      <c r="V79" s="99">
        <v>1</v>
      </c>
      <c r="W79" s="109">
        <v>0</v>
      </c>
      <c r="AB79" t="s">
        <v>1486</v>
      </c>
      <c r="AC79" t="s">
        <v>779</v>
      </c>
      <c r="AD79" t="s">
        <v>560</v>
      </c>
      <c r="AE79">
        <v>1</v>
      </c>
      <c r="AF79" t="s">
        <v>567</v>
      </c>
      <c r="AG79" t="s">
        <v>1487</v>
      </c>
      <c r="AH79" t="s">
        <v>561</v>
      </c>
      <c r="AI79" t="s">
        <v>562</v>
      </c>
      <c r="AJ79" s="59">
        <v>45448</v>
      </c>
      <c r="AK79" t="s">
        <v>1488</v>
      </c>
      <c r="AL79" s="95" t="s">
        <v>1489</v>
      </c>
      <c r="AM79" t="s">
        <v>1486</v>
      </c>
      <c r="AN79" t="s">
        <v>1490</v>
      </c>
      <c r="AO79" t="s">
        <v>1491</v>
      </c>
      <c r="AP79" s="59">
        <v>45450</v>
      </c>
      <c r="AQ79" t="s">
        <v>563</v>
      </c>
      <c r="AR79" t="s">
        <v>1492</v>
      </c>
      <c r="AS79" t="s">
        <v>560</v>
      </c>
      <c r="AT79" t="s">
        <v>1493</v>
      </c>
      <c r="AU79" t="s">
        <v>560</v>
      </c>
      <c r="AV79">
        <v>2780</v>
      </c>
      <c r="AW79">
        <v>2780</v>
      </c>
      <c r="AX79">
        <v>2780</v>
      </c>
      <c r="AY79">
        <v>2670</v>
      </c>
      <c r="AZ79">
        <v>110</v>
      </c>
      <c r="BA79">
        <v>3000</v>
      </c>
      <c r="BB79">
        <v>0</v>
      </c>
      <c r="BC79" t="s">
        <v>1494</v>
      </c>
      <c r="BD79" t="s">
        <v>788</v>
      </c>
      <c r="BE79" t="s">
        <v>2015</v>
      </c>
    </row>
    <row r="80" spans="1:57">
      <c r="A80" s="99" t="str">
        <v>SE107</v>
      </c>
      <c r="G80" s="97">
        <v>3330</v>
      </c>
      <c r="H80" s="97">
        <v>3330</v>
      </c>
      <c r="R80" s="117"/>
      <c r="U80" s="99" t="str">
        <v>투명</v>
      </c>
      <c r="V80" s="99">
        <v>1</v>
      </c>
      <c r="W80" s="109">
        <v>0</v>
      </c>
      <c r="AB80" t="s">
        <v>1486</v>
      </c>
      <c r="AC80" t="s">
        <v>1495</v>
      </c>
      <c r="AD80" t="s">
        <v>560</v>
      </c>
      <c r="AE80">
        <v>1</v>
      </c>
      <c r="AF80" t="s">
        <v>567</v>
      </c>
      <c r="AG80" t="s">
        <v>1487</v>
      </c>
      <c r="AH80" t="s">
        <v>561</v>
      </c>
      <c r="AI80" t="s">
        <v>562</v>
      </c>
      <c r="AJ80" s="59">
        <v>45448</v>
      </c>
      <c r="AK80" t="s">
        <v>1488</v>
      </c>
      <c r="AL80" s="95" t="s">
        <v>1496</v>
      </c>
      <c r="AM80" t="s">
        <v>1486</v>
      </c>
      <c r="AN80" t="s">
        <v>1490</v>
      </c>
      <c r="AO80" t="s">
        <v>1491</v>
      </c>
      <c r="AP80" s="59">
        <v>45450</v>
      </c>
      <c r="AQ80" t="s">
        <v>563</v>
      </c>
      <c r="AR80" t="s">
        <v>1492</v>
      </c>
      <c r="AS80" t="s">
        <v>560</v>
      </c>
      <c r="AT80" t="s">
        <v>1493</v>
      </c>
      <c r="AU80" t="s">
        <v>560</v>
      </c>
      <c r="AV80">
        <v>3330</v>
      </c>
      <c r="AW80">
        <v>3330</v>
      </c>
      <c r="AX80">
        <v>3330</v>
      </c>
      <c r="AY80">
        <v>3199</v>
      </c>
      <c r="AZ80">
        <v>131</v>
      </c>
      <c r="BA80">
        <v>3000</v>
      </c>
      <c r="BB80">
        <v>0</v>
      </c>
      <c r="BC80" t="s">
        <v>1494</v>
      </c>
      <c r="BD80" t="s">
        <v>1497</v>
      </c>
      <c r="BE80" t="s">
        <v>2036</v>
      </c>
    </row>
    <row r="81" spans="1:57">
      <c r="A81" s="99" t="str">
        <v>SE108</v>
      </c>
      <c r="G81" s="97">
        <v>1640</v>
      </c>
      <c r="H81" s="97">
        <v>1640</v>
      </c>
      <c r="R81" s="117"/>
      <c r="U81" s="99" t="str">
        <v>투명</v>
      </c>
      <c r="V81" s="99">
        <v>1</v>
      </c>
      <c r="W81" s="109">
        <v>0</v>
      </c>
      <c r="AB81" t="s">
        <v>1486</v>
      </c>
      <c r="AC81" t="s">
        <v>1498</v>
      </c>
      <c r="AD81" t="s">
        <v>560</v>
      </c>
      <c r="AE81">
        <v>1</v>
      </c>
      <c r="AF81" t="s">
        <v>567</v>
      </c>
      <c r="AG81" t="s">
        <v>1487</v>
      </c>
      <c r="AH81" t="s">
        <v>561</v>
      </c>
      <c r="AI81" t="s">
        <v>562</v>
      </c>
      <c r="AJ81" s="59">
        <v>45448</v>
      </c>
      <c r="AK81" t="s">
        <v>1488</v>
      </c>
      <c r="AL81" s="95" t="s">
        <v>1499</v>
      </c>
      <c r="AM81" t="s">
        <v>1486</v>
      </c>
      <c r="AN81" t="s">
        <v>1490</v>
      </c>
      <c r="AO81" t="s">
        <v>1491</v>
      </c>
      <c r="AP81" s="59">
        <v>45450</v>
      </c>
      <c r="AQ81" t="s">
        <v>563</v>
      </c>
      <c r="AR81" t="s">
        <v>1492</v>
      </c>
      <c r="AS81" t="s">
        <v>560</v>
      </c>
      <c r="AT81" t="s">
        <v>1493</v>
      </c>
      <c r="AU81" t="s">
        <v>560</v>
      </c>
      <c r="AV81">
        <v>1640</v>
      </c>
      <c r="AW81">
        <v>1640</v>
      </c>
      <c r="AX81">
        <v>1640</v>
      </c>
      <c r="AY81">
        <v>1576</v>
      </c>
      <c r="AZ81">
        <v>64</v>
      </c>
      <c r="BA81">
        <v>3000</v>
      </c>
      <c r="BB81">
        <v>0</v>
      </c>
      <c r="BC81" t="s">
        <v>1494</v>
      </c>
      <c r="BD81" t="s">
        <v>1500</v>
      </c>
      <c r="BE81" t="s">
        <v>2037</v>
      </c>
    </row>
    <row r="82" spans="1:57">
      <c r="A82" s="99" t="str">
        <v>SE103</v>
      </c>
      <c r="G82" s="97">
        <v>1800</v>
      </c>
      <c r="H82" s="97">
        <v>4800</v>
      </c>
      <c r="R82" s="117"/>
      <c r="U82" s="99" t="str">
        <v>투명</v>
      </c>
      <c r="V82" s="99">
        <v>1</v>
      </c>
      <c r="W82" s="109">
        <v>0</v>
      </c>
      <c r="AB82" t="s">
        <v>1486</v>
      </c>
      <c r="AC82" t="s">
        <v>1501</v>
      </c>
      <c r="AD82" t="s">
        <v>560</v>
      </c>
      <c r="AE82">
        <v>1</v>
      </c>
      <c r="AF82" t="s">
        <v>567</v>
      </c>
      <c r="AG82" t="s">
        <v>1487</v>
      </c>
      <c r="AH82" t="s">
        <v>561</v>
      </c>
      <c r="AI82" t="s">
        <v>562</v>
      </c>
      <c r="AJ82" s="59">
        <v>45448</v>
      </c>
      <c r="AK82" t="s">
        <v>1488</v>
      </c>
      <c r="AL82" s="95" t="s">
        <v>1502</v>
      </c>
      <c r="AM82" t="s">
        <v>1486</v>
      </c>
      <c r="AN82" t="s">
        <v>1490</v>
      </c>
      <c r="AO82" t="s">
        <v>1491</v>
      </c>
      <c r="AP82" s="59">
        <v>45450</v>
      </c>
      <c r="AQ82" t="s">
        <v>563</v>
      </c>
      <c r="AR82" t="s">
        <v>1492</v>
      </c>
      <c r="AS82" t="s">
        <v>560</v>
      </c>
      <c r="AT82" t="s">
        <v>1493</v>
      </c>
      <c r="AU82" t="s">
        <v>560</v>
      </c>
      <c r="AV82">
        <v>1800</v>
      </c>
      <c r="AW82">
        <v>1800</v>
      </c>
      <c r="AX82">
        <v>4800</v>
      </c>
      <c r="AY82">
        <v>1729</v>
      </c>
      <c r="AZ82">
        <v>71</v>
      </c>
      <c r="BA82">
        <v>3000</v>
      </c>
      <c r="BB82">
        <v>0</v>
      </c>
      <c r="BC82" t="s">
        <v>1494</v>
      </c>
      <c r="BD82" t="s">
        <v>1503</v>
      </c>
      <c r="BE82" t="s">
        <v>2038</v>
      </c>
    </row>
    <row r="83" spans="1:57">
      <c r="A83" s="99" t="str">
        <v>SE205</v>
      </c>
      <c r="G83" s="97">
        <v>25200</v>
      </c>
      <c r="H83" s="97">
        <v>28200</v>
      </c>
      <c r="R83" s="117"/>
      <c r="U83" s="99" t="str">
        <v>투명</v>
      </c>
      <c r="V83" s="99">
        <v>1</v>
      </c>
      <c r="W83" s="109">
        <v>0</v>
      </c>
      <c r="AB83" t="s">
        <v>1504</v>
      </c>
      <c r="AC83" t="s">
        <v>1505</v>
      </c>
      <c r="AD83" t="s">
        <v>685</v>
      </c>
      <c r="AE83">
        <v>1</v>
      </c>
      <c r="AF83" t="s">
        <v>350</v>
      </c>
      <c r="AG83" t="s">
        <v>1506</v>
      </c>
      <c r="AH83" t="s">
        <v>568</v>
      </c>
      <c r="AI83" t="s">
        <v>673</v>
      </c>
      <c r="AJ83" s="59">
        <v>45448</v>
      </c>
      <c r="AK83" t="s">
        <v>1507</v>
      </c>
      <c r="AM83" t="s">
        <v>1504</v>
      </c>
      <c r="AN83" t="s">
        <v>1508</v>
      </c>
      <c r="AO83" t="s">
        <v>1509</v>
      </c>
      <c r="AP83" s="59">
        <v>45450</v>
      </c>
      <c r="AQ83" t="s">
        <v>563</v>
      </c>
      <c r="AR83" t="s">
        <v>1509</v>
      </c>
      <c r="AS83" t="s">
        <v>560</v>
      </c>
      <c r="AT83" t="s">
        <v>1510</v>
      </c>
      <c r="AU83" t="s">
        <v>569</v>
      </c>
      <c r="AV83">
        <v>25200</v>
      </c>
      <c r="AW83">
        <v>25200</v>
      </c>
      <c r="AX83">
        <v>28200</v>
      </c>
      <c r="BA83">
        <v>3000</v>
      </c>
      <c r="BB83">
        <v>0</v>
      </c>
      <c r="BC83" t="s">
        <v>1511</v>
      </c>
      <c r="BD83" t="s">
        <v>560</v>
      </c>
      <c r="BE83" t="s">
        <v>2039</v>
      </c>
    </row>
    <row r="84" spans="1:57">
      <c r="A84" s="99" t="str">
        <v>SE206</v>
      </c>
      <c r="G84" s="97">
        <v>30240</v>
      </c>
      <c r="H84" s="97">
        <v>33240</v>
      </c>
      <c r="R84" s="117"/>
      <c r="U84" s="99" t="str">
        <v>투명</v>
      </c>
      <c r="V84" s="99">
        <v>1</v>
      </c>
      <c r="W84" s="109">
        <v>0</v>
      </c>
      <c r="AB84" t="s">
        <v>1512</v>
      </c>
      <c r="AC84" t="s">
        <v>684</v>
      </c>
      <c r="AD84" t="s">
        <v>685</v>
      </c>
      <c r="AE84">
        <v>1</v>
      </c>
      <c r="AF84" t="s">
        <v>350</v>
      </c>
      <c r="AG84" t="s">
        <v>1513</v>
      </c>
      <c r="AH84" t="s">
        <v>568</v>
      </c>
      <c r="AI84" t="s">
        <v>673</v>
      </c>
      <c r="AJ84" s="59">
        <v>45449</v>
      </c>
      <c r="AK84" t="s">
        <v>1514</v>
      </c>
      <c r="AM84" t="s">
        <v>1512</v>
      </c>
      <c r="AN84" t="s">
        <v>1005</v>
      </c>
      <c r="AO84" t="s">
        <v>1515</v>
      </c>
      <c r="AP84" s="59">
        <v>45450</v>
      </c>
      <c r="AQ84" t="s">
        <v>563</v>
      </c>
      <c r="AR84" t="s">
        <v>1515</v>
      </c>
      <c r="AS84" t="s">
        <v>560</v>
      </c>
      <c r="AT84" t="s">
        <v>1516</v>
      </c>
      <c r="AU84" t="s">
        <v>571</v>
      </c>
      <c r="AV84">
        <v>30240</v>
      </c>
      <c r="AW84">
        <v>30240</v>
      </c>
      <c r="AX84">
        <v>33240</v>
      </c>
      <c r="BA84">
        <v>3000</v>
      </c>
      <c r="BB84">
        <v>0</v>
      </c>
      <c r="BC84" t="s">
        <v>1517</v>
      </c>
      <c r="BD84" t="s">
        <v>560</v>
      </c>
      <c r="BE84" t="s">
        <v>1993</v>
      </c>
    </row>
    <row r="85" spans="1:57">
      <c r="A85" s="99" t="str">
        <v>SE206</v>
      </c>
      <c r="G85" s="97">
        <v>34020</v>
      </c>
      <c r="H85" s="97">
        <v>37020</v>
      </c>
      <c r="R85" s="117"/>
      <c r="U85" s="99" t="str">
        <v>투명</v>
      </c>
      <c r="V85" s="99">
        <v>1</v>
      </c>
      <c r="W85" s="109">
        <v>0</v>
      </c>
      <c r="AB85" t="s">
        <v>1518</v>
      </c>
      <c r="AC85" t="s">
        <v>737</v>
      </c>
      <c r="AD85" t="s">
        <v>738</v>
      </c>
      <c r="AE85">
        <v>1</v>
      </c>
      <c r="AF85" t="s">
        <v>350</v>
      </c>
      <c r="AG85" t="s">
        <v>1519</v>
      </c>
      <c r="AH85" t="s">
        <v>568</v>
      </c>
      <c r="AI85" t="s">
        <v>562</v>
      </c>
      <c r="AJ85" s="59">
        <v>45448</v>
      </c>
      <c r="AK85" t="s">
        <v>1520</v>
      </c>
      <c r="AM85" t="s">
        <v>1521</v>
      </c>
      <c r="AN85" t="s">
        <v>1522</v>
      </c>
      <c r="AO85" t="s">
        <v>1523</v>
      </c>
      <c r="AP85" s="59">
        <v>45450</v>
      </c>
      <c r="AQ85" t="s">
        <v>563</v>
      </c>
      <c r="AR85" t="s">
        <v>1523</v>
      </c>
      <c r="AS85" t="s">
        <v>560</v>
      </c>
      <c r="AT85" t="s">
        <v>1524</v>
      </c>
      <c r="AU85" t="s">
        <v>1525</v>
      </c>
      <c r="AV85">
        <v>34020</v>
      </c>
      <c r="AW85">
        <v>34020</v>
      </c>
      <c r="AX85">
        <v>37020</v>
      </c>
      <c r="BA85">
        <v>3000</v>
      </c>
      <c r="BB85">
        <v>0</v>
      </c>
      <c r="BC85" t="s">
        <v>1526</v>
      </c>
      <c r="BD85" t="s">
        <v>570</v>
      </c>
      <c r="BE85" t="s">
        <v>1996</v>
      </c>
    </row>
    <row r="86" spans="1:57">
      <c r="A86" s="99" t="str">
        <v>SE305</v>
      </c>
      <c r="G86" s="97">
        <v>43480</v>
      </c>
      <c r="H86" s="97">
        <v>43480</v>
      </c>
      <c r="R86" s="117"/>
      <c r="U86" s="99" t="str">
        <v>투명</v>
      </c>
      <c r="V86" s="99">
        <v>2</v>
      </c>
      <c r="W86" s="109">
        <v>0</v>
      </c>
      <c r="AB86" t="s">
        <v>1527</v>
      </c>
      <c r="AC86" t="s">
        <v>1528</v>
      </c>
      <c r="AD86" t="s">
        <v>1146</v>
      </c>
      <c r="AE86">
        <v>2</v>
      </c>
      <c r="AF86" t="s">
        <v>350</v>
      </c>
      <c r="AG86" t="s">
        <v>1529</v>
      </c>
      <c r="AH86" t="s">
        <v>568</v>
      </c>
      <c r="AI86" t="s">
        <v>562</v>
      </c>
      <c r="AJ86" s="59">
        <v>45448</v>
      </c>
      <c r="AK86" t="s">
        <v>1530</v>
      </c>
      <c r="AM86" t="s">
        <v>1527</v>
      </c>
      <c r="AN86" t="s">
        <v>1531</v>
      </c>
      <c r="AO86" t="s">
        <v>1532</v>
      </c>
      <c r="AP86" s="59">
        <v>45450</v>
      </c>
      <c r="AQ86" t="s">
        <v>563</v>
      </c>
      <c r="AR86" t="s">
        <v>1532</v>
      </c>
      <c r="AS86" t="s">
        <v>560</v>
      </c>
      <c r="AT86" t="s">
        <v>1533</v>
      </c>
      <c r="AU86" t="s">
        <v>571</v>
      </c>
      <c r="AV86">
        <v>43480</v>
      </c>
      <c r="AW86">
        <v>43480</v>
      </c>
      <c r="AX86">
        <v>43480</v>
      </c>
      <c r="BA86">
        <v>0</v>
      </c>
      <c r="BB86">
        <v>0</v>
      </c>
      <c r="BC86" t="s">
        <v>1534</v>
      </c>
      <c r="BD86" t="s">
        <v>570</v>
      </c>
      <c r="BE86" t="s">
        <v>2040</v>
      </c>
    </row>
    <row r="87" spans="1:57">
      <c r="A87" s="99" t="str">
        <v/>
      </c>
      <c r="G87" s="97">
        <v>0</v>
      </c>
      <c r="H87" s="97">
        <v>0</v>
      </c>
      <c r="R87" s="117"/>
      <c r="U87" s="99" t="str">
        <v>투명</v>
      </c>
      <c r="V87" s="99">
        <v>1</v>
      </c>
      <c r="W87" s="109" t="str">
        <v/>
      </c>
      <c r="AB87" t="s">
        <v>1535</v>
      </c>
      <c r="AC87" t="s">
        <v>919</v>
      </c>
      <c r="AD87" t="s">
        <v>560</v>
      </c>
      <c r="AE87">
        <v>1</v>
      </c>
      <c r="AF87" t="s">
        <v>1058</v>
      </c>
      <c r="AG87" t="s">
        <v>1536</v>
      </c>
      <c r="AH87" t="s">
        <v>921</v>
      </c>
      <c r="AI87" t="s">
        <v>922</v>
      </c>
      <c r="AJ87" s="59">
        <v>45453</v>
      </c>
      <c r="AK87" t="s">
        <v>1537</v>
      </c>
      <c r="AM87" t="s">
        <v>560</v>
      </c>
      <c r="AN87" t="s">
        <v>560</v>
      </c>
      <c r="AO87" t="s">
        <v>560</v>
      </c>
      <c r="AP87" s="59">
        <v>45453</v>
      </c>
      <c r="AQ87" t="s">
        <v>563</v>
      </c>
      <c r="AR87" t="s">
        <v>1538</v>
      </c>
      <c r="AS87" t="s">
        <v>560</v>
      </c>
      <c r="AT87" t="s">
        <v>1539</v>
      </c>
      <c r="AU87" t="s">
        <v>560</v>
      </c>
      <c r="AV87">
        <v>0</v>
      </c>
      <c r="AW87">
        <v>0</v>
      </c>
      <c r="AX87">
        <v>0</v>
      </c>
      <c r="BA87">
        <v>0</v>
      </c>
      <c r="BB87">
        <v>0</v>
      </c>
      <c r="BD87" t="s">
        <v>560</v>
      </c>
      <c r="BE87" t="s">
        <v>1986</v>
      </c>
    </row>
    <row r="88" spans="1:57">
      <c r="A88" s="99" t="str">
        <v/>
      </c>
      <c r="G88" s="97">
        <v>0</v>
      </c>
      <c r="H88" s="97">
        <v>0</v>
      </c>
      <c r="R88" s="117"/>
      <c r="U88" s="99" t="str">
        <v>투명</v>
      </c>
      <c r="V88" s="99">
        <v>1</v>
      </c>
      <c r="W88" s="109" t="str">
        <v/>
      </c>
      <c r="AB88" t="s">
        <v>1535</v>
      </c>
      <c r="AC88" t="s">
        <v>919</v>
      </c>
      <c r="AD88" t="s">
        <v>560</v>
      </c>
      <c r="AE88">
        <v>1</v>
      </c>
      <c r="AF88" t="s">
        <v>1058</v>
      </c>
      <c r="AG88" t="s">
        <v>1540</v>
      </c>
      <c r="AH88" t="s">
        <v>921</v>
      </c>
      <c r="AI88" t="s">
        <v>922</v>
      </c>
      <c r="AJ88" s="59">
        <v>45453</v>
      </c>
      <c r="AK88" t="s">
        <v>1541</v>
      </c>
      <c r="AM88" t="s">
        <v>560</v>
      </c>
      <c r="AN88" t="s">
        <v>560</v>
      </c>
      <c r="AO88" t="s">
        <v>560</v>
      </c>
      <c r="AP88" s="59">
        <v>45453</v>
      </c>
      <c r="AQ88" t="s">
        <v>563</v>
      </c>
      <c r="AR88" t="s">
        <v>1538</v>
      </c>
      <c r="AS88" t="s">
        <v>560</v>
      </c>
      <c r="AT88" t="s">
        <v>1539</v>
      </c>
      <c r="AU88" t="s">
        <v>560</v>
      </c>
      <c r="AV88">
        <v>0</v>
      </c>
      <c r="AW88">
        <v>0</v>
      </c>
      <c r="AX88">
        <v>0</v>
      </c>
      <c r="BA88">
        <v>0</v>
      </c>
      <c r="BB88">
        <v>0</v>
      </c>
      <c r="BD88" t="s">
        <v>560</v>
      </c>
      <c r="BE88" t="s">
        <v>1986</v>
      </c>
    </row>
    <row r="89" spans="1:57">
      <c r="A89" s="99" t="str">
        <v>SE204</v>
      </c>
      <c r="G89" s="97">
        <v>24570</v>
      </c>
      <c r="H89" s="97">
        <v>24570</v>
      </c>
      <c r="R89" s="117"/>
      <c r="U89" s="99" t="str">
        <v>투명</v>
      </c>
      <c r="V89" s="99">
        <v>1</v>
      </c>
      <c r="W89" s="109">
        <v>0</v>
      </c>
      <c r="AB89" t="s">
        <v>1542</v>
      </c>
      <c r="AC89" t="s">
        <v>1543</v>
      </c>
      <c r="AD89" t="s">
        <v>1544</v>
      </c>
      <c r="AE89">
        <v>1</v>
      </c>
      <c r="AF89" t="s">
        <v>564</v>
      </c>
      <c r="AG89" t="s">
        <v>1545</v>
      </c>
      <c r="AH89" t="s">
        <v>568</v>
      </c>
      <c r="AI89" t="s">
        <v>562</v>
      </c>
      <c r="AJ89" s="59">
        <v>45450</v>
      </c>
      <c r="AK89" t="s">
        <v>1546</v>
      </c>
      <c r="AM89" t="s">
        <v>1542</v>
      </c>
      <c r="AN89" t="s">
        <v>1547</v>
      </c>
      <c r="AO89" t="s">
        <v>1548</v>
      </c>
      <c r="AP89" s="59">
        <v>45453</v>
      </c>
      <c r="AQ89" t="s">
        <v>563</v>
      </c>
      <c r="AR89" t="s">
        <v>1548</v>
      </c>
      <c r="AS89" t="s">
        <v>560</v>
      </c>
      <c r="AT89" t="s">
        <v>1549</v>
      </c>
      <c r="AU89" t="s">
        <v>1550</v>
      </c>
      <c r="AV89">
        <v>24570</v>
      </c>
      <c r="AW89">
        <v>24570</v>
      </c>
      <c r="AX89">
        <v>24570</v>
      </c>
      <c r="BA89">
        <v>0</v>
      </c>
      <c r="BB89">
        <v>0</v>
      </c>
      <c r="BC89" t="s">
        <v>1551</v>
      </c>
      <c r="BD89" t="s">
        <v>570</v>
      </c>
      <c r="BE89" t="s">
        <v>2041</v>
      </c>
    </row>
    <row r="90" spans="1:57">
      <c r="A90" s="99" t="str">
        <v>SE205</v>
      </c>
      <c r="G90" s="97">
        <v>28350</v>
      </c>
      <c r="H90" s="97">
        <v>28350</v>
      </c>
      <c r="R90" s="117"/>
      <c r="U90" s="99" t="str">
        <v>투명</v>
      </c>
      <c r="V90" s="99">
        <v>1</v>
      </c>
      <c r="W90" s="109">
        <v>0</v>
      </c>
      <c r="AB90" t="s">
        <v>1542</v>
      </c>
      <c r="AC90" t="s">
        <v>1552</v>
      </c>
      <c r="AD90" t="s">
        <v>1553</v>
      </c>
      <c r="AE90">
        <v>1</v>
      </c>
      <c r="AF90" t="s">
        <v>564</v>
      </c>
      <c r="AG90" t="s">
        <v>1545</v>
      </c>
      <c r="AH90" t="s">
        <v>568</v>
      </c>
      <c r="AI90" t="s">
        <v>562</v>
      </c>
      <c r="AJ90" s="59">
        <v>45450</v>
      </c>
      <c r="AK90" t="s">
        <v>1546</v>
      </c>
      <c r="AM90" t="s">
        <v>1542</v>
      </c>
      <c r="AN90" t="s">
        <v>1547</v>
      </c>
      <c r="AO90" t="s">
        <v>1548</v>
      </c>
      <c r="AP90" s="59">
        <v>45453</v>
      </c>
      <c r="AQ90" t="s">
        <v>563</v>
      </c>
      <c r="AR90" t="s">
        <v>1548</v>
      </c>
      <c r="AS90" t="s">
        <v>560</v>
      </c>
      <c r="AT90" t="s">
        <v>1549</v>
      </c>
      <c r="AU90" t="s">
        <v>1550</v>
      </c>
      <c r="AV90">
        <v>28350</v>
      </c>
      <c r="AW90">
        <v>28350</v>
      </c>
      <c r="AX90">
        <v>28350</v>
      </c>
      <c r="BA90">
        <v>0</v>
      </c>
      <c r="BB90">
        <v>0</v>
      </c>
      <c r="BC90" t="s">
        <v>1551</v>
      </c>
      <c r="BD90" t="s">
        <v>570</v>
      </c>
      <c r="BE90" t="s">
        <v>2042</v>
      </c>
    </row>
    <row r="91" spans="1:57">
      <c r="A91" s="99" t="str">
        <v>SE206</v>
      </c>
      <c r="G91" s="97">
        <v>34020</v>
      </c>
      <c r="H91" s="97">
        <v>37020</v>
      </c>
      <c r="R91" s="117"/>
      <c r="U91" s="99" t="str">
        <v>투명</v>
      </c>
      <c r="V91" s="99">
        <v>1</v>
      </c>
      <c r="W91" s="109">
        <v>0</v>
      </c>
      <c r="AB91" t="s">
        <v>1554</v>
      </c>
      <c r="AC91" t="s">
        <v>737</v>
      </c>
      <c r="AD91" t="s">
        <v>738</v>
      </c>
      <c r="AE91">
        <v>1</v>
      </c>
      <c r="AF91" t="s">
        <v>350</v>
      </c>
      <c r="AG91" t="s">
        <v>1555</v>
      </c>
      <c r="AH91" t="s">
        <v>568</v>
      </c>
      <c r="AI91" t="s">
        <v>562</v>
      </c>
      <c r="AJ91" s="59">
        <v>45450</v>
      </c>
      <c r="AK91" t="s">
        <v>1556</v>
      </c>
      <c r="AM91" t="s">
        <v>1554</v>
      </c>
      <c r="AN91" t="s">
        <v>1557</v>
      </c>
      <c r="AO91" t="s">
        <v>1558</v>
      </c>
      <c r="AP91" s="59">
        <v>45453</v>
      </c>
      <c r="AQ91" t="s">
        <v>563</v>
      </c>
      <c r="AR91" t="s">
        <v>1558</v>
      </c>
      <c r="AS91" t="s">
        <v>560</v>
      </c>
      <c r="AT91" t="s">
        <v>1559</v>
      </c>
      <c r="AU91" t="s">
        <v>569</v>
      </c>
      <c r="AV91">
        <v>34020</v>
      </c>
      <c r="AW91">
        <v>34020</v>
      </c>
      <c r="AX91">
        <v>37020</v>
      </c>
      <c r="BA91">
        <v>3000</v>
      </c>
      <c r="BB91">
        <v>0</v>
      </c>
      <c r="BC91" t="s">
        <v>1560</v>
      </c>
      <c r="BD91" t="s">
        <v>570</v>
      </c>
      <c r="BE91" t="s">
        <v>1996</v>
      </c>
    </row>
    <row r="92" spans="1:57">
      <c r="A92" s="99" t="str">
        <v>SE307</v>
      </c>
      <c r="G92" s="97">
        <v>12470</v>
      </c>
      <c r="H92" s="97">
        <v>15470</v>
      </c>
      <c r="R92" s="117"/>
      <c r="U92" s="99" t="str">
        <v>투명</v>
      </c>
      <c r="V92" s="99">
        <v>1</v>
      </c>
      <c r="W92" s="109">
        <v>0</v>
      </c>
      <c r="AB92" t="s">
        <v>1561</v>
      </c>
      <c r="AC92" t="s">
        <v>1145</v>
      </c>
      <c r="AD92" t="s">
        <v>1146</v>
      </c>
      <c r="AE92">
        <v>1</v>
      </c>
      <c r="AF92" t="s">
        <v>567</v>
      </c>
      <c r="AG92" t="s">
        <v>1562</v>
      </c>
      <c r="AH92" t="s">
        <v>568</v>
      </c>
      <c r="AI92" t="s">
        <v>562</v>
      </c>
      <c r="AJ92" s="59">
        <v>45450</v>
      </c>
      <c r="AK92" t="s">
        <v>1563</v>
      </c>
      <c r="AM92" t="s">
        <v>1564</v>
      </c>
      <c r="AN92" t="s">
        <v>1565</v>
      </c>
      <c r="AO92" t="s">
        <v>1566</v>
      </c>
      <c r="AP92" s="59">
        <v>45453</v>
      </c>
      <c r="AQ92" t="s">
        <v>563</v>
      </c>
      <c r="AR92" t="s">
        <v>1566</v>
      </c>
      <c r="AS92" t="s">
        <v>560</v>
      </c>
      <c r="AT92" t="s">
        <v>1567</v>
      </c>
      <c r="AU92" t="s">
        <v>571</v>
      </c>
      <c r="AV92">
        <v>12470</v>
      </c>
      <c r="AW92">
        <v>12470</v>
      </c>
      <c r="AX92">
        <v>15470</v>
      </c>
      <c r="BA92">
        <v>3000</v>
      </c>
      <c r="BB92">
        <v>0</v>
      </c>
      <c r="BC92" t="s">
        <v>1568</v>
      </c>
      <c r="BD92" t="s">
        <v>570</v>
      </c>
      <c r="BE92" t="s">
        <v>2009</v>
      </c>
    </row>
    <row r="93" spans="1:57">
      <c r="A93" s="99" t="str">
        <v>SE102</v>
      </c>
      <c r="G93" s="97">
        <v>1150</v>
      </c>
      <c r="H93" s="97">
        <v>4150</v>
      </c>
      <c r="R93" s="117"/>
      <c r="U93" s="99" t="str">
        <v>투명</v>
      </c>
      <c r="V93" s="99">
        <v>1</v>
      </c>
      <c r="W93" s="109">
        <v>0</v>
      </c>
      <c r="AB93" t="s">
        <v>1569</v>
      </c>
      <c r="AC93" t="s">
        <v>719</v>
      </c>
      <c r="AD93" t="s">
        <v>566</v>
      </c>
      <c r="AE93">
        <v>1</v>
      </c>
      <c r="AF93" t="s">
        <v>567</v>
      </c>
      <c r="AG93" t="s">
        <v>1570</v>
      </c>
      <c r="AH93" t="s">
        <v>568</v>
      </c>
      <c r="AI93" t="s">
        <v>562</v>
      </c>
      <c r="AJ93" s="59">
        <v>45451</v>
      </c>
      <c r="AK93" t="s">
        <v>1571</v>
      </c>
      <c r="AM93" t="s">
        <v>1572</v>
      </c>
      <c r="AN93" t="s">
        <v>1573</v>
      </c>
      <c r="AO93" t="s">
        <v>1574</v>
      </c>
      <c r="AP93" s="59">
        <v>45453</v>
      </c>
      <c r="AQ93" t="s">
        <v>563</v>
      </c>
      <c r="AR93" t="s">
        <v>1574</v>
      </c>
      <c r="AS93" t="s">
        <v>560</v>
      </c>
      <c r="AT93" t="s">
        <v>1575</v>
      </c>
      <c r="AU93" t="s">
        <v>571</v>
      </c>
      <c r="AV93">
        <v>1150</v>
      </c>
      <c r="AW93">
        <v>1150</v>
      </c>
      <c r="AX93">
        <v>4150</v>
      </c>
      <c r="BA93">
        <v>3000</v>
      </c>
      <c r="BB93">
        <v>0</v>
      </c>
      <c r="BC93" t="s">
        <v>1576</v>
      </c>
      <c r="BD93" t="s">
        <v>570</v>
      </c>
      <c r="BE93" t="s">
        <v>2010</v>
      </c>
    </row>
    <row r="94" spans="1:57">
      <c r="A94" s="99" t="str">
        <v>SE306</v>
      </c>
      <c r="G94" s="97">
        <v>16630</v>
      </c>
      <c r="H94" s="97">
        <v>19630</v>
      </c>
      <c r="R94" s="117"/>
      <c r="U94" s="99" t="str">
        <v>투명</v>
      </c>
      <c r="V94" s="99">
        <v>1</v>
      </c>
      <c r="W94" s="109">
        <v>0</v>
      </c>
      <c r="AB94" t="s">
        <v>1577</v>
      </c>
      <c r="AC94" t="s">
        <v>1578</v>
      </c>
      <c r="AD94" t="s">
        <v>728</v>
      </c>
      <c r="AE94">
        <v>1</v>
      </c>
      <c r="AF94" t="s">
        <v>567</v>
      </c>
      <c r="AG94" t="s">
        <v>1579</v>
      </c>
      <c r="AH94" t="s">
        <v>568</v>
      </c>
      <c r="AI94" t="s">
        <v>562</v>
      </c>
      <c r="AJ94" s="59">
        <v>45451</v>
      </c>
      <c r="AK94" t="s">
        <v>1580</v>
      </c>
      <c r="AM94" t="s">
        <v>1577</v>
      </c>
      <c r="AN94" t="s">
        <v>1581</v>
      </c>
      <c r="AO94" t="s">
        <v>1582</v>
      </c>
      <c r="AP94" s="59">
        <v>45453</v>
      </c>
      <c r="AQ94" t="s">
        <v>563</v>
      </c>
      <c r="AR94" t="s">
        <v>1582</v>
      </c>
      <c r="AS94" t="s">
        <v>560</v>
      </c>
      <c r="AT94" t="s">
        <v>1583</v>
      </c>
      <c r="AU94" t="s">
        <v>569</v>
      </c>
      <c r="AV94">
        <v>16630</v>
      </c>
      <c r="AW94">
        <v>16630</v>
      </c>
      <c r="AX94">
        <v>19630</v>
      </c>
      <c r="BA94">
        <v>3000</v>
      </c>
      <c r="BB94">
        <v>0</v>
      </c>
      <c r="BC94" t="s">
        <v>1584</v>
      </c>
      <c r="BD94" t="s">
        <v>570</v>
      </c>
      <c r="BE94" t="s">
        <v>2043</v>
      </c>
    </row>
    <row r="95" spans="1:57">
      <c r="A95" s="99" t="str">
        <v>SE111</v>
      </c>
      <c r="G95" s="97">
        <v>7700</v>
      </c>
      <c r="H95" s="97">
        <v>7700</v>
      </c>
      <c r="R95" s="117"/>
      <c r="U95" s="99" t="str">
        <v>투명</v>
      </c>
      <c r="V95" s="99">
        <v>2</v>
      </c>
      <c r="W95" s="109">
        <v>0</v>
      </c>
      <c r="AB95" t="s">
        <v>1585</v>
      </c>
      <c r="AC95" t="s">
        <v>1586</v>
      </c>
      <c r="AD95" t="s">
        <v>728</v>
      </c>
      <c r="AE95">
        <v>2</v>
      </c>
      <c r="AF95" t="s">
        <v>350</v>
      </c>
      <c r="AG95" t="s">
        <v>1587</v>
      </c>
      <c r="AH95" t="s">
        <v>568</v>
      </c>
      <c r="AI95" t="s">
        <v>562</v>
      </c>
      <c r="AJ95" s="59">
        <v>45451</v>
      </c>
      <c r="AK95" t="s">
        <v>1588</v>
      </c>
      <c r="AM95" t="s">
        <v>1585</v>
      </c>
      <c r="AN95" t="s">
        <v>1399</v>
      </c>
      <c r="AO95" t="s">
        <v>1589</v>
      </c>
      <c r="AP95" s="59">
        <v>45453</v>
      </c>
      <c r="AQ95" t="s">
        <v>563</v>
      </c>
      <c r="AR95" t="s">
        <v>1589</v>
      </c>
      <c r="AS95" t="s">
        <v>560</v>
      </c>
      <c r="AT95" t="s">
        <v>1590</v>
      </c>
      <c r="AU95" t="s">
        <v>571</v>
      </c>
      <c r="AV95">
        <v>7700</v>
      </c>
      <c r="AW95">
        <v>7700</v>
      </c>
      <c r="AX95">
        <v>7700</v>
      </c>
      <c r="BA95">
        <v>0</v>
      </c>
      <c r="BB95">
        <v>0</v>
      </c>
      <c r="BC95" t="s">
        <v>1591</v>
      </c>
      <c r="BD95" t="s">
        <v>570</v>
      </c>
      <c r="BE95" t="s">
        <v>2044</v>
      </c>
    </row>
    <row r="96" spans="1:57">
      <c r="A96" s="99" t="str">
        <v>SE114</v>
      </c>
      <c r="G96" s="97">
        <v>12240</v>
      </c>
      <c r="H96" s="97">
        <v>12240</v>
      </c>
      <c r="R96" s="117"/>
      <c r="U96" s="99" t="str">
        <v>투명</v>
      </c>
      <c r="V96" s="99">
        <v>2</v>
      </c>
      <c r="W96" s="109">
        <v>0</v>
      </c>
      <c r="AB96" t="s">
        <v>1585</v>
      </c>
      <c r="AC96" t="s">
        <v>1592</v>
      </c>
      <c r="AD96" t="s">
        <v>566</v>
      </c>
      <c r="AE96">
        <v>2</v>
      </c>
      <c r="AF96" t="s">
        <v>350</v>
      </c>
      <c r="AG96" t="s">
        <v>1587</v>
      </c>
      <c r="AH96" t="s">
        <v>568</v>
      </c>
      <c r="AI96" t="s">
        <v>562</v>
      </c>
      <c r="AJ96" s="59">
        <v>45451</v>
      </c>
      <c r="AK96" t="s">
        <v>1588</v>
      </c>
      <c r="AM96" t="s">
        <v>1585</v>
      </c>
      <c r="AN96" t="s">
        <v>1399</v>
      </c>
      <c r="AO96" t="s">
        <v>1589</v>
      </c>
      <c r="AP96" s="59">
        <v>45453</v>
      </c>
      <c r="AQ96" t="s">
        <v>563</v>
      </c>
      <c r="AR96" t="s">
        <v>1589</v>
      </c>
      <c r="AS96" t="s">
        <v>560</v>
      </c>
      <c r="AT96" t="s">
        <v>1590</v>
      </c>
      <c r="AU96" t="s">
        <v>571</v>
      </c>
      <c r="AV96">
        <v>12240</v>
      </c>
      <c r="AW96">
        <v>13600</v>
      </c>
      <c r="AX96">
        <v>12240</v>
      </c>
      <c r="BA96">
        <v>0</v>
      </c>
      <c r="BB96">
        <v>0</v>
      </c>
      <c r="BC96" t="s">
        <v>1591</v>
      </c>
      <c r="BD96" t="s">
        <v>570</v>
      </c>
      <c r="BE96" t="s">
        <v>2045</v>
      </c>
    </row>
    <row r="97" spans="1:57">
      <c r="A97" s="99" t="str">
        <v>SE115</v>
      </c>
      <c r="G97" s="97">
        <v>5320</v>
      </c>
      <c r="H97" s="97">
        <v>5320</v>
      </c>
      <c r="R97" s="117"/>
      <c r="U97" s="99" t="str">
        <v>투명</v>
      </c>
      <c r="V97" s="99">
        <v>1</v>
      </c>
      <c r="W97" s="109">
        <v>0</v>
      </c>
      <c r="AB97" t="s">
        <v>1585</v>
      </c>
      <c r="AC97" t="s">
        <v>1593</v>
      </c>
      <c r="AD97" t="s">
        <v>747</v>
      </c>
      <c r="AE97">
        <v>1</v>
      </c>
      <c r="AF97" t="s">
        <v>350</v>
      </c>
      <c r="AG97" t="s">
        <v>1587</v>
      </c>
      <c r="AH97" t="s">
        <v>568</v>
      </c>
      <c r="AI97" t="s">
        <v>562</v>
      </c>
      <c r="AJ97" s="59">
        <v>45451</v>
      </c>
      <c r="AK97" t="s">
        <v>1588</v>
      </c>
      <c r="AM97" t="s">
        <v>1585</v>
      </c>
      <c r="AN97" t="s">
        <v>1399</v>
      </c>
      <c r="AO97" t="s">
        <v>1589</v>
      </c>
      <c r="AP97" s="59">
        <v>45453</v>
      </c>
      <c r="AQ97" t="s">
        <v>563</v>
      </c>
      <c r="AR97" t="s">
        <v>1589</v>
      </c>
      <c r="AS97" t="s">
        <v>560</v>
      </c>
      <c r="AT97" t="s">
        <v>1590</v>
      </c>
      <c r="AU97" t="s">
        <v>571</v>
      </c>
      <c r="AV97">
        <v>5320</v>
      </c>
      <c r="AW97">
        <v>5320</v>
      </c>
      <c r="AX97">
        <v>5320</v>
      </c>
      <c r="BA97">
        <v>0</v>
      </c>
      <c r="BB97">
        <v>0</v>
      </c>
      <c r="BC97" t="s">
        <v>1591</v>
      </c>
      <c r="BD97" t="s">
        <v>570</v>
      </c>
      <c r="BE97" t="s">
        <v>2046</v>
      </c>
    </row>
    <row r="98" spans="1:57">
      <c r="A98" s="99" t="str">
        <v>SE102</v>
      </c>
      <c r="G98" s="97">
        <v>23000</v>
      </c>
      <c r="H98" s="97">
        <v>26000</v>
      </c>
      <c r="R98" s="117"/>
      <c r="U98" s="99" t="str">
        <v>투명</v>
      </c>
      <c r="V98" s="99">
        <v>20</v>
      </c>
      <c r="W98" s="109">
        <v>0</v>
      </c>
      <c r="AB98" t="s">
        <v>1237</v>
      </c>
      <c r="AC98" t="s">
        <v>719</v>
      </c>
      <c r="AD98" t="s">
        <v>566</v>
      </c>
      <c r="AE98">
        <v>20</v>
      </c>
      <c r="AF98" t="s">
        <v>350</v>
      </c>
      <c r="AG98" t="s">
        <v>1594</v>
      </c>
      <c r="AH98" t="s">
        <v>568</v>
      </c>
      <c r="AI98" t="s">
        <v>562</v>
      </c>
      <c r="AJ98" s="59">
        <v>45451</v>
      </c>
      <c r="AK98" t="s">
        <v>1595</v>
      </c>
      <c r="AM98" t="s">
        <v>1237</v>
      </c>
      <c r="AN98" t="s">
        <v>1240</v>
      </c>
      <c r="AO98" t="s">
        <v>1596</v>
      </c>
      <c r="AP98" s="59">
        <v>45453</v>
      </c>
      <c r="AQ98" t="s">
        <v>563</v>
      </c>
      <c r="AR98" t="s">
        <v>1596</v>
      </c>
      <c r="AS98" t="s">
        <v>560</v>
      </c>
      <c r="AT98" t="s">
        <v>1242</v>
      </c>
      <c r="AU98" t="s">
        <v>571</v>
      </c>
      <c r="AV98">
        <v>23000</v>
      </c>
      <c r="AW98">
        <v>23000</v>
      </c>
      <c r="AX98">
        <v>26000</v>
      </c>
      <c r="BA98">
        <v>3000</v>
      </c>
      <c r="BB98">
        <v>0</v>
      </c>
      <c r="BC98" t="s">
        <v>1597</v>
      </c>
      <c r="BD98" t="s">
        <v>570</v>
      </c>
      <c r="BE98" t="s">
        <v>2010</v>
      </c>
    </row>
    <row r="99" spans="1:57">
      <c r="A99" s="99" t="str">
        <v>SE201</v>
      </c>
      <c r="G99" s="97">
        <v>17010</v>
      </c>
      <c r="H99" s="97">
        <v>20010</v>
      </c>
      <c r="R99" s="117"/>
      <c r="U99" s="99" t="str">
        <v>투명</v>
      </c>
      <c r="V99" s="99">
        <v>1</v>
      </c>
      <c r="W99" s="109">
        <v>0</v>
      </c>
      <c r="AB99" t="s">
        <v>1598</v>
      </c>
      <c r="AC99" t="s">
        <v>1599</v>
      </c>
      <c r="AD99" t="s">
        <v>1600</v>
      </c>
      <c r="AE99">
        <v>1</v>
      </c>
      <c r="AF99" t="s">
        <v>567</v>
      </c>
      <c r="AG99" t="s">
        <v>1601</v>
      </c>
      <c r="AH99" t="s">
        <v>568</v>
      </c>
      <c r="AI99" t="s">
        <v>562</v>
      </c>
      <c r="AJ99" s="59">
        <v>45452</v>
      </c>
      <c r="AK99" t="s">
        <v>1602</v>
      </c>
      <c r="AM99" t="s">
        <v>1598</v>
      </c>
      <c r="AN99" t="s">
        <v>1603</v>
      </c>
      <c r="AO99" t="s">
        <v>1604</v>
      </c>
      <c r="AP99" s="59">
        <v>45453</v>
      </c>
      <c r="AQ99" t="s">
        <v>563</v>
      </c>
      <c r="AR99" t="s">
        <v>1604</v>
      </c>
      <c r="AS99" t="s">
        <v>560</v>
      </c>
      <c r="AT99" t="s">
        <v>1605</v>
      </c>
      <c r="AU99" t="s">
        <v>571</v>
      </c>
      <c r="AV99">
        <v>17010</v>
      </c>
      <c r="AW99">
        <v>17010</v>
      </c>
      <c r="AX99">
        <v>20010</v>
      </c>
      <c r="BA99">
        <v>3000</v>
      </c>
      <c r="BB99">
        <v>0</v>
      </c>
      <c r="BC99" t="s">
        <v>1606</v>
      </c>
      <c r="BD99" t="s">
        <v>570</v>
      </c>
      <c r="BE99" t="s">
        <v>2047</v>
      </c>
    </row>
    <row r="100" spans="1:57">
      <c r="A100" s="99" t="str">
        <v>SE122</v>
      </c>
      <c r="G100" s="97">
        <v>12560</v>
      </c>
      <c r="H100" s="97">
        <v>12560</v>
      </c>
      <c r="R100" s="117"/>
      <c r="U100" s="99" t="str">
        <v>청색</v>
      </c>
      <c r="V100" s="99">
        <v>2</v>
      </c>
      <c r="W100" s="109">
        <v>0</v>
      </c>
      <c r="AB100" t="s">
        <v>1607</v>
      </c>
      <c r="AC100" t="s">
        <v>1608</v>
      </c>
      <c r="AD100" t="s">
        <v>1609</v>
      </c>
      <c r="AE100">
        <v>2</v>
      </c>
      <c r="AF100" t="s">
        <v>350</v>
      </c>
      <c r="AG100" t="s">
        <v>1610</v>
      </c>
      <c r="AH100" t="s">
        <v>568</v>
      </c>
      <c r="AI100" t="s">
        <v>562</v>
      </c>
      <c r="AJ100" s="59">
        <v>45452</v>
      </c>
      <c r="AK100" t="s">
        <v>1611</v>
      </c>
      <c r="AM100" t="s">
        <v>1612</v>
      </c>
      <c r="AN100" t="s">
        <v>1613</v>
      </c>
      <c r="AO100" t="s">
        <v>1614</v>
      </c>
      <c r="AP100" s="59">
        <v>45453</v>
      </c>
      <c r="AQ100" t="s">
        <v>563</v>
      </c>
      <c r="AR100" t="s">
        <v>1614</v>
      </c>
      <c r="AS100" t="s">
        <v>560</v>
      </c>
      <c r="AT100" t="s">
        <v>1615</v>
      </c>
      <c r="AU100" t="s">
        <v>571</v>
      </c>
      <c r="AV100">
        <v>12560</v>
      </c>
      <c r="AW100">
        <v>13240</v>
      </c>
      <c r="AX100">
        <v>12560</v>
      </c>
      <c r="BA100">
        <v>0</v>
      </c>
      <c r="BB100">
        <v>0</v>
      </c>
      <c r="BC100" t="s">
        <v>1616</v>
      </c>
      <c r="BD100" t="s">
        <v>570</v>
      </c>
      <c r="BE100" t="s">
        <v>2048</v>
      </c>
    </row>
    <row r="101" spans="1:57">
      <c r="A101" s="99" t="str">
        <v>SE206</v>
      </c>
      <c r="G101" s="97">
        <v>34020</v>
      </c>
      <c r="H101" s="97">
        <v>37020</v>
      </c>
      <c r="R101" s="117"/>
      <c r="U101" s="99" t="str">
        <v>투명</v>
      </c>
      <c r="V101" s="99">
        <v>1</v>
      </c>
      <c r="W101" s="109">
        <v>0</v>
      </c>
      <c r="AB101" t="s">
        <v>1617</v>
      </c>
      <c r="AC101" t="s">
        <v>737</v>
      </c>
      <c r="AD101" t="s">
        <v>738</v>
      </c>
      <c r="AE101">
        <v>1</v>
      </c>
      <c r="AF101" t="s">
        <v>350</v>
      </c>
      <c r="AG101" t="s">
        <v>1618</v>
      </c>
      <c r="AH101" t="s">
        <v>568</v>
      </c>
      <c r="AI101" t="s">
        <v>562</v>
      </c>
      <c r="AJ101" s="59">
        <v>45452</v>
      </c>
      <c r="AK101" t="s">
        <v>1619</v>
      </c>
      <c r="AM101" t="s">
        <v>1617</v>
      </c>
      <c r="AN101" t="s">
        <v>1620</v>
      </c>
      <c r="AO101" t="s">
        <v>1621</v>
      </c>
      <c r="AP101" s="59">
        <v>45453</v>
      </c>
      <c r="AQ101" t="s">
        <v>563</v>
      </c>
      <c r="AR101" t="s">
        <v>1621</v>
      </c>
      <c r="AS101" t="s">
        <v>560</v>
      </c>
      <c r="AT101" t="s">
        <v>1622</v>
      </c>
      <c r="AU101" t="s">
        <v>571</v>
      </c>
      <c r="AV101">
        <v>34020</v>
      </c>
      <c r="AW101">
        <v>34020</v>
      </c>
      <c r="AX101">
        <v>37020</v>
      </c>
      <c r="BA101">
        <v>3000</v>
      </c>
      <c r="BB101">
        <v>0</v>
      </c>
      <c r="BC101" t="s">
        <v>1623</v>
      </c>
      <c r="BD101" t="s">
        <v>570</v>
      </c>
      <c r="BE101" t="s">
        <v>1996</v>
      </c>
    </row>
    <row r="102" spans="1:57">
      <c r="A102" s="99" t="str">
        <v>SE101</v>
      </c>
      <c r="G102" s="97">
        <v>37600</v>
      </c>
      <c r="H102" s="97">
        <v>37600</v>
      </c>
      <c r="R102" s="117"/>
      <c r="U102" s="99" t="str">
        <v>투명</v>
      </c>
      <c r="V102" s="99">
        <v>40</v>
      </c>
      <c r="W102" s="109">
        <v>0</v>
      </c>
      <c r="AB102" t="s">
        <v>1624</v>
      </c>
      <c r="AC102" t="s">
        <v>565</v>
      </c>
      <c r="AD102" t="s">
        <v>566</v>
      </c>
      <c r="AE102">
        <v>40</v>
      </c>
      <c r="AF102" t="s">
        <v>350</v>
      </c>
      <c r="AG102" t="s">
        <v>1625</v>
      </c>
      <c r="AH102" t="s">
        <v>568</v>
      </c>
      <c r="AI102" t="s">
        <v>562</v>
      </c>
      <c r="AJ102" s="59">
        <v>45453</v>
      </c>
      <c r="AK102" t="s">
        <v>1626</v>
      </c>
      <c r="AM102" t="s">
        <v>1624</v>
      </c>
      <c r="AN102" t="s">
        <v>707</v>
      </c>
      <c r="AO102" t="s">
        <v>1627</v>
      </c>
      <c r="AP102" s="59">
        <v>45453</v>
      </c>
      <c r="AQ102" t="s">
        <v>563</v>
      </c>
      <c r="AR102" t="s">
        <v>1627</v>
      </c>
      <c r="AS102" t="s">
        <v>560</v>
      </c>
      <c r="AT102" t="s">
        <v>1628</v>
      </c>
      <c r="AU102" t="s">
        <v>1629</v>
      </c>
      <c r="AV102">
        <v>37600</v>
      </c>
      <c r="AW102">
        <v>37600</v>
      </c>
      <c r="AX102">
        <v>37600</v>
      </c>
      <c r="BA102">
        <v>0</v>
      </c>
      <c r="BB102">
        <v>0</v>
      </c>
      <c r="BC102" t="s">
        <v>1630</v>
      </c>
      <c r="BD102" t="s">
        <v>570</v>
      </c>
      <c r="BE102" t="s">
        <v>2011</v>
      </c>
    </row>
    <row r="103" spans="1:57">
      <c r="A103" s="99" t="str">
        <v>SE303</v>
      </c>
      <c r="G103" s="97">
        <v>230200</v>
      </c>
      <c r="H103" s="97">
        <v>230200</v>
      </c>
      <c r="R103" s="117"/>
      <c r="U103" s="99" t="str">
        <v>투명</v>
      </c>
      <c r="V103" s="99">
        <v>10</v>
      </c>
      <c r="W103" s="109">
        <v>0</v>
      </c>
      <c r="AB103" t="s">
        <v>1631</v>
      </c>
      <c r="AC103" t="s">
        <v>703</v>
      </c>
      <c r="AD103" t="s">
        <v>704</v>
      </c>
      <c r="AE103">
        <v>10</v>
      </c>
      <c r="AF103" t="s">
        <v>1058</v>
      </c>
      <c r="AG103" t="s">
        <v>1632</v>
      </c>
      <c r="AH103" t="s">
        <v>568</v>
      </c>
      <c r="AI103" t="s">
        <v>673</v>
      </c>
      <c r="AJ103" s="59">
        <v>45453</v>
      </c>
      <c r="AK103" t="s">
        <v>1633</v>
      </c>
      <c r="AM103" t="s">
        <v>1634</v>
      </c>
      <c r="AN103" t="s">
        <v>1635</v>
      </c>
      <c r="AO103" t="s">
        <v>1636</v>
      </c>
      <c r="AP103" s="59">
        <v>45453</v>
      </c>
      <c r="AQ103" t="s">
        <v>563</v>
      </c>
      <c r="AR103" t="s">
        <v>1636</v>
      </c>
      <c r="AS103" t="s">
        <v>560</v>
      </c>
      <c r="AT103" t="s">
        <v>1637</v>
      </c>
      <c r="AU103" t="s">
        <v>571</v>
      </c>
      <c r="AV103">
        <v>230200</v>
      </c>
      <c r="AW103">
        <v>230200</v>
      </c>
      <c r="AX103">
        <v>230200</v>
      </c>
      <c r="BA103">
        <v>0</v>
      </c>
      <c r="BB103">
        <v>0</v>
      </c>
      <c r="BD103" t="s">
        <v>703</v>
      </c>
      <c r="BE103" t="s">
        <v>2049</v>
      </c>
    </row>
    <row r="104" spans="1:57">
      <c r="A104" s="99" t="str">
        <v>SE305</v>
      </c>
      <c r="G104" s="97">
        <v>19320</v>
      </c>
      <c r="H104" s="97">
        <v>22320</v>
      </c>
      <c r="R104" s="117"/>
      <c r="U104" s="99" t="str">
        <v>투명</v>
      </c>
      <c r="V104" s="99">
        <v>1</v>
      </c>
      <c r="W104" s="109">
        <v>0</v>
      </c>
      <c r="AB104" t="s">
        <v>1638</v>
      </c>
      <c r="AC104" t="s">
        <v>1639</v>
      </c>
      <c r="AD104" t="s">
        <v>704</v>
      </c>
      <c r="AE104">
        <v>1</v>
      </c>
      <c r="AF104" t="s">
        <v>567</v>
      </c>
      <c r="AG104" t="s">
        <v>1640</v>
      </c>
      <c r="AH104" t="s">
        <v>568</v>
      </c>
      <c r="AI104" t="s">
        <v>673</v>
      </c>
      <c r="AJ104" s="59">
        <v>45451</v>
      </c>
      <c r="AK104" t="s">
        <v>1641</v>
      </c>
      <c r="AM104" t="s">
        <v>1642</v>
      </c>
      <c r="AN104" t="s">
        <v>1643</v>
      </c>
      <c r="AO104" t="s">
        <v>1644</v>
      </c>
      <c r="AP104" s="59">
        <v>45453</v>
      </c>
      <c r="AQ104" t="s">
        <v>563</v>
      </c>
      <c r="AR104" t="s">
        <v>1644</v>
      </c>
      <c r="AS104" t="s">
        <v>560</v>
      </c>
      <c r="AT104" t="s">
        <v>1645</v>
      </c>
      <c r="AU104" t="s">
        <v>571</v>
      </c>
      <c r="AV104">
        <v>19320</v>
      </c>
      <c r="AW104">
        <v>19320</v>
      </c>
      <c r="AX104">
        <v>22320</v>
      </c>
      <c r="BA104">
        <v>3000</v>
      </c>
      <c r="BB104">
        <v>0</v>
      </c>
      <c r="BC104" t="s">
        <v>1646</v>
      </c>
      <c r="BD104" t="s">
        <v>560</v>
      </c>
      <c r="BE104" t="s">
        <v>2050</v>
      </c>
    </row>
    <row r="105" spans="1:57">
      <c r="A105" s="99" t="str">
        <v>SE303</v>
      </c>
      <c r="G105" s="97">
        <v>230200</v>
      </c>
      <c r="H105" s="97">
        <v>230200</v>
      </c>
      <c r="R105" s="117"/>
      <c r="U105" s="99" t="str">
        <v>투명</v>
      </c>
      <c r="V105" s="99">
        <v>10</v>
      </c>
      <c r="W105" s="109">
        <v>0</v>
      </c>
      <c r="AB105" t="s">
        <v>1631</v>
      </c>
      <c r="AC105" t="s">
        <v>703</v>
      </c>
      <c r="AD105" t="s">
        <v>704</v>
      </c>
      <c r="AE105">
        <v>10</v>
      </c>
      <c r="AF105" t="s">
        <v>973</v>
      </c>
      <c r="AG105" t="s">
        <v>1647</v>
      </c>
      <c r="AH105" t="s">
        <v>568</v>
      </c>
      <c r="AI105" t="s">
        <v>673</v>
      </c>
      <c r="AJ105" s="59">
        <v>45452</v>
      </c>
      <c r="AK105" t="s">
        <v>1648</v>
      </c>
      <c r="AM105" t="s">
        <v>1634</v>
      </c>
      <c r="AN105" t="s">
        <v>1635</v>
      </c>
      <c r="AO105" t="s">
        <v>1636</v>
      </c>
      <c r="AP105" s="59">
        <v>45453</v>
      </c>
      <c r="AQ105" t="s">
        <v>563</v>
      </c>
      <c r="AR105" t="s">
        <v>1636</v>
      </c>
      <c r="AS105" t="s">
        <v>560</v>
      </c>
      <c r="AT105" t="s">
        <v>1637</v>
      </c>
      <c r="AU105" t="s">
        <v>571</v>
      </c>
      <c r="AV105">
        <v>230200</v>
      </c>
      <c r="AW105">
        <v>230200</v>
      </c>
      <c r="AX105">
        <v>230200</v>
      </c>
      <c r="BA105">
        <v>0</v>
      </c>
      <c r="BB105">
        <v>0</v>
      </c>
      <c r="BC105" t="s">
        <v>1649</v>
      </c>
      <c r="BD105" t="s">
        <v>560</v>
      </c>
      <c r="BE105" t="s">
        <v>2051</v>
      </c>
    </row>
    <row r="106" spans="1:57">
      <c r="A106" s="99" t="str">
        <v>SE304</v>
      </c>
      <c r="G106" s="97">
        <v>27540</v>
      </c>
      <c r="H106" s="97">
        <v>27540</v>
      </c>
      <c r="R106" s="117"/>
      <c r="U106" s="99" t="str">
        <v>투명</v>
      </c>
      <c r="V106" s="99">
        <v>2</v>
      </c>
      <c r="W106" s="109">
        <v>0</v>
      </c>
      <c r="AB106" t="s">
        <v>1650</v>
      </c>
      <c r="AC106" t="s">
        <v>790</v>
      </c>
      <c r="AD106" t="s">
        <v>560</v>
      </c>
      <c r="AE106">
        <v>2</v>
      </c>
      <c r="AF106" t="s">
        <v>350</v>
      </c>
      <c r="AG106" t="s">
        <v>1651</v>
      </c>
      <c r="AH106" t="s">
        <v>561</v>
      </c>
      <c r="AI106" t="s">
        <v>562</v>
      </c>
      <c r="AJ106" s="59">
        <v>45452</v>
      </c>
      <c r="AK106" t="s">
        <v>1652</v>
      </c>
      <c r="AL106" s="95" t="s">
        <v>1653</v>
      </c>
      <c r="AM106" t="s">
        <v>1650</v>
      </c>
      <c r="AN106" t="s">
        <v>1654</v>
      </c>
      <c r="AO106" t="s">
        <v>1655</v>
      </c>
      <c r="AP106" s="59">
        <v>45453</v>
      </c>
      <c r="AQ106" t="s">
        <v>563</v>
      </c>
      <c r="AR106" t="s">
        <v>1655</v>
      </c>
      <c r="AS106" t="s">
        <v>560</v>
      </c>
      <c r="AT106" t="s">
        <v>1656</v>
      </c>
      <c r="AU106" t="s">
        <v>560</v>
      </c>
      <c r="AV106">
        <v>27540</v>
      </c>
      <c r="AW106">
        <v>30600</v>
      </c>
      <c r="AX106">
        <v>27540</v>
      </c>
      <c r="AY106">
        <v>26446</v>
      </c>
      <c r="AZ106">
        <v>1094</v>
      </c>
      <c r="BA106">
        <v>0</v>
      </c>
      <c r="BB106">
        <v>0</v>
      </c>
      <c r="BC106" t="s">
        <v>1657</v>
      </c>
      <c r="BD106" t="s">
        <v>24</v>
      </c>
      <c r="BE106" t="s">
        <v>1992</v>
      </c>
    </row>
    <row r="107" spans="1:57">
      <c r="A107" s="99" t="str">
        <v>SE307</v>
      </c>
      <c r="G107" s="97">
        <v>10690</v>
      </c>
      <c r="H107" s="97">
        <v>10690</v>
      </c>
      <c r="R107" s="117"/>
      <c r="U107" s="99" t="str">
        <v>투명</v>
      </c>
      <c r="V107" s="99">
        <v>1</v>
      </c>
      <c r="W107" s="109">
        <v>0</v>
      </c>
      <c r="AB107" t="s">
        <v>1650</v>
      </c>
      <c r="AC107" t="s">
        <v>954</v>
      </c>
      <c r="AD107" t="s">
        <v>560</v>
      </c>
      <c r="AE107">
        <v>1</v>
      </c>
      <c r="AF107" t="s">
        <v>350</v>
      </c>
      <c r="AG107" t="s">
        <v>1651</v>
      </c>
      <c r="AH107" t="s">
        <v>561</v>
      </c>
      <c r="AI107" t="s">
        <v>562</v>
      </c>
      <c r="AJ107" s="59">
        <v>45452</v>
      </c>
      <c r="AK107" t="s">
        <v>1652</v>
      </c>
      <c r="AL107" s="95" t="s">
        <v>1658</v>
      </c>
      <c r="AM107" t="s">
        <v>1650</v>
      </c>
      <c r="AN107" t="s">
        <v>1654</v>
      </c>
      <c r="AO107" t="s">
        <v>1655</v>
      </c>
      <c r="AP107" s="59">
        <v>45453</v>
      </c>
      <c r="AQ107" t="s">
        <v>563</v>
      </c>
      <c r="AR107" t="s">
        <v>1655</v>
      </c>
      <c r="AS107" t="s">
        <v>560</v>
      </c>
      <c r="AT107" t="s">
        <v>1656</v>
      </c>
      <c r="AU107" t="s">
        <v>560</v>
      </c>
      <c r="AV107">
        <v>10690</v>
      </c>
      <c r="AW107">
        <v>11880</v>
      </c>
      <c r="AX107">
        <v>10690</v>
      </c>
      <c r="AY107">
        <v>10266</v>
      </c>
      <c r="AZ107">
        <v>424</v>
      </c>
      <c r="BA107">
        <v>0</v>
      </c>
      <c r="BB107">
        <v>0</v>
      </c>
      <c r="BC107" t="s">
        <v>1657</v>
      </c>
      <c r="BD107" t="s">
        <v>18</v>
      </c>
      <c r="BE107" t="s">
        <v>1990</v>
      </c>
    </row>
    <row r="108" spans="1:57">
      <c r="A108" s="99" t="str">
        <v>SE206</v>
      </c>
      <c r="G108" s="97">
        <v>28620</v>
      </c>
      <c r="H108" s="97">
        <v>31620</v>
      </c>
      <c r="R108" s="117"/>
      <c r="U108" s="99" t="str">
        <v>투명</v>
      </c>
      <c r="V108" s="99">
        <v>1</v>
      </c>
      <c r="W108" s="109">
        <v>0</v>
      </c>
      <c r="AB108" t="s">
        <v>1659</v>
      </c>
      <c r="AC108" t="s">
        <v>934</v>
      </c>
      <c r="AD108" t="s">
        <v>560</v>
      </c>
      <c r="AE108">
        <v>1</v>
      </c>
      <c r="AF108" t="s">
        <v>350</v>
      </c>
      <c r="AG108" t="s">
        <v>1660</v>
      </c>
      <c r="AH108" t="s">
        <v>561</v>
      </c>
      <c r="AI108" t="s">
        <v>562</v>
      </c>
      <c r="AJ108" s="59">
        <v>45452</v>
      </c>
      <c r="AK108" t="s">
        <v>1661</v>
      </c>
      <c r="AL108" s="95" t="s">
        <v>1662</v>
      </c>
      <c r="AM108" t="s">
        <v>1659</v>
      </c>
      <c r="AN108" t="s">
        <v>1663</v>
      </c>
      <c r="AO108" t="s">
        <v>1664</v>
      </c>
      <c r="AP108" s="59">
        <v>45453</v>
      </c>
      <c r="AQ108" t="s">
        <v>563</v>
      </c>
      <c r="AR108" t="s">
        <v>1664</v>
      </c>
      <c r="AS108" t="s">
        <v>1664</v>
      </c>
      <c r="AT108" t="s">
        <v>1665</v>
      </c>
      <c r="AU108" t="s">
        <v>1261</v>
      </c>
      <c r="AV108">
        <v>28620</v>
      </c>
      <c r="AW108">
        <v>31800</v>
      </c>
      <c r="AX108">
        <v>31620</v>
      </c>
      <c r="AY108">
        <v>27482</v>
      </c>
      <c r="AZ108">
        <v>1138</v>
      </c>
      <c r="BA108">
        <v>3000</v>
      </c>
      <c r="BB108">
        <v>0</v>
      </c>
      <c r="BC108" t="s">
        <v>1666</v>
      </c>
      <c r="BD108" t="s">
        <v>34</v>
      </c>
      <c r="BE108" t="s">
        <v>1988</v>
      </c>
    </row>
    <row r="109" spans="1:57">
      <c r="A109" s="99" t="str">
        <v>SE306</v>
      </c>
      <c r="G109" s="97">
        <v>57000</v>
      </c>
      <c r="H109" s="97">
        <v>57000</v>
      </c>
      <c r="R109" s="117"/>
      <c r="U109" s="99" t="str">
        <v>투명</v>
      </c>
      <c r="V109" s="99">
        <v>4</v>
      </c>
      <c r="W109" s="109">
        <v>0</v>
      </c>
      <c r="AB109" t="s">
        <v>1667</v>
      </c>
      <c r="AC109" t="s">
        <v>1219</v>
      </c>
      <c r="AD109" t="s">
        <v>560</v>
      </c>
      <c r="AE109">
        <v>4</v>
      </c>
      <c r="AF109" t="s">
        <v>564</v>
      </c>
      <c r="AG109" t="s">
        <v>1668</v>
      </c>
      <c r="AH109" t="s">
        <v>561</v>
      </c>
      <c r="AI109" t="s">
        <v>562</v>
      </c>
      <c r="AJ109" s="59">
        <v>45452</v>
      </c>
      <c r="AK109" t="s">
        <v>1669</v>
      </c>
      <c r="AL109" s="95" t="s">
        <v>1670</v>
      </c>
      <c r="AM109" t="s">
        <v>1667</v>
      </c>
      <c r="AN109" t="s">
        <v>1671</v>
      </c>
      <c r="AO109" t="s">
        <v>1672</v>
      </c>
      <c r="AP109" s="59">
        <v>45453</v>
      </c>
      <c r="AQ109" t="s">
        <v>563</v>
      </c>
      <c r="AR109" t="s">
        <v>1672</v>
      </c>
      <c r="AS109" t="s">
        <v>560</v>
      </c>
      <c r="AT109" t="s">
        <v>1673</v>
      </c>
      <c r="AU109" t="s">
        <v>560</v>
      </c>
      <c r="AV109">
        <v>57000</v>
      </c>
      <c r="AW109">
        <v>63360</v>
      </c>
      <c r="AX109">
        <v>57000</v>
      </c>
      <c r="AY109">
        <v>54732</v>
      </c>
      <c r="AZ109">
        <v>2268</v>
      </c>
      <c r="BA109">
        <v>0</v>
      </c>
      <c r="BB109">
        <v>0</v>
      </c>
      <c r="BC109" t="s">
        <v>1674</v>
      </c>
      <c r="BD109" t="s">
        <v>20</v>
      </c>
      <c r="BE109" t="s">
        <v>2016</v>
      </c>
    </row>
    <row r="110" spans="1:57">
      <c r="A110" s="99" t="str">
        <v>SE206</v>
      </c>
      <c r="G110" s="97">
        <v>28620</v>
      </c>
      <c r="H110" s="97">
        <v>31620</v>
      </c>
      <c r="R110" s="117"/>
      <c r="U110" s="99" t="str">
        <v>투명</v>
      </c>
      <c r="V110" s="99">
        <v>1</v>
      </c>
      <c r="W110" s="109">
        <v>0</v>
      </c>
      <c r="AB110" t="s">
        <v>1675</v>
      </c>
      <c r="AC110" t="s">
        <v>934</v>
      </c>
      <c r="AD110" t="s">
        <v>560</v>
      </c>
      <c r="AE110">
        <v>1</v>
      </c>
      <c r="AF110" t="s">
        <v>350</v>
      </c>
      <c r="AG110" t="s">
        <v>1676</v>
      </c>
      <c r="AH110" t="s">
        <v>561</v>
      </c>
      <c r="AI110" t="s">
        <v>562</v>
      </c>
      <c r="AJ110" s="59">
        <v>45451</v>
      </c>
      <c r="AK110" t="s">
        <v>1677</v>
      </c>
      <c r="AL110" s="95" t="s">
        <v>1678</v>
      </c>
      <c r="AM110" t="s">
        <v>1679</v>
      </c>
      <c r="AN110" t="s">
        <v>1680</v>
      </c>
      <c r="AO110" t="s">
        <v>1681</v>
      </c>
      <c r="AP110" s="59">
        <v>45453</v>
      </c>
      <c r="AQ110" t="s">
        <v>563</v>
      </c>
      <c r="AR110" t="s">
        <v>1681</v>
      </c>
      <c r="AS110" t="s">
        <v>560</v>
      </c>
      <c r="AT110" t="s">
        <v>1682</v>
      </c>
      <c r="AU110" t="s">
        <v>560</v>
      </c>
      <c r="AV110">
        <v>28620</v>
      </c>
      <c r="AW110">
        <v>31800</v>
      </c>
      <c r="AX110">
        <v>31620</v>
      </c>
      <c r="AY110">
        <v>27482</v>
      </c>
      <c r="AZ110">
        <v>1138</v>
      </c>
      <c r="BA110">
        <v>3000</v>
      </c>
      <c r="BB110">
        <v>0</v>
      </c>
      <c r="BC110" t="s">
        <v>1683</v>
      </c>
      <c r="BD110" t="s">
        <v>34</v>
      </c>
      <c r="BE110" t="s">
        <v>1988</v>
      </c>
    </row>
    <row r="111" spans="1:57">
      <c r="A111" s="99" t="str">
        <v>SE307</v>
      </c>
      <c r="G111" s="97">
        <v>10560</v>
      </c>
      <c r="H111" s="97">
        <v>13560</v>
      </c>
      <c r="R111" s="117"/>
      <c r="U111" s="99" t="str">
        <v>투명</v>
      </c>
      <c r="V111" s="99">
        <v>1</v>
      </c>
      <c r="W111" s="109">
        <v>0</v>
      </c>
      <c r="AB111" t="s">
        <v>1684</v>
      </c>
      <c r="AC111" t="s">
        <v>1034</v>
      </c>
      <c r="AD111" t="s">
        <v>1685</v>
      </c>
      <c r="AE111">
        <v>1</v>
      </c>
      <c r="AF111" t="s">
        <v>567</v>
      </c>
      <c r="AG111" t="s">
        <v>1686</v>
      </c>
      <c r="AH111" t="s">
        <v>561</v>
      </c>
      <c r="AI111" t="s">
        <v>673</v>
      </c>
      <c r="AJ111" s="59">
        <v>45452</v>
      </c>
      <c r="AK111" t="s">
        <v>1687</v>
      </c>
      <c r="AL111" s="95" t="s">
        <v>1688</v>
      </c>
      <c r="AM111" t="s">
        <v>1684</v>
      </c>
      <c r="AN111" t="s">
        <v>1689</v>
      </c>
      <c r="AO111" t="s">
        <v>1690</v>
      </c>
      <c r="AP111" s="59">
        <v>45453</v>
      </c>
      <c r="AQ111" t="s">
        <v>563</v>
      </c>
      <c r="AR111" t="s">
        <v>1690</v>
      </c>
      <c r="AS111" t="s">
        <v>1690</v>
      </c>
      <c r="AT111" t="s">
        <v>1691</v>
      </c>
      <c r="AU111" t="s">
        <v>560</v>
      </c>
      <c r="AV111">
        <v>10560</v>
      </c>
      <c r="AW111">
        <v>10560</v>
      </c>
      <c r="AX111">
        <v>13560</v>
      </c>
      <c r="AY111">
        <v>10031</v>
      </c>
      <c r="AZ111">
        <v>529</v>
      </c>
      <c r="BA111">
        <v>3000</v>
      </c>
      <c r="BB111">
        <v>0</v>
      </c>
      <c r="BC111" t="s">
        <v>1692</v>
      </c>
      <c r="BD111" t="s">
        <v>1045</v>
      </c>
      <c r="BE111" t="s">
        <v>2052</v>
      </c>
    </row>
    <row r="112" spans="1:57">
      <c r="A112" s="99" t="str">
        <v>SE306</v>
      </c>
      <c r="G112" s="97">
        <v>14080</v>
      </c>
      <c r="H112" s="97">
        <v>17080</v>
      </c>
      <c r="R112" s="117"/>
      <c r="U112" s="99" t="str">
        <v>투명</v>
      </c>
      <c r="V112" s="99">
        <v>1</v>
      </c>
      <c r="W112" s="109">
        <v>0</v>
      </c>
      <c r="AB112" t="s">
        <v>1693</v>
      </c>
      <c r="AC112" t="s">
        <v>1694</v>
      </c>
      <c r="AD112" t="s">
        <v>560</v>
      </c>
      <c r="AE112">
        <v>1</v>
      </c>
      <c r="AF112" t="s">
        <v>567</v>
      </c>
      <c r="AG112" t="s">
        <v>1695</v>
      </c>
      <c r="AH112" t="s">
        <v>561</v>
      </c>
      <c r="AI112" t="s">
        <v>673</v>
      </c>
      <c r="AJ112" s="59">
        <v>45450</v>
      </c>
      <c r="AK112" t="s">
        <v>1696</v>
      </c>
      <c r="AL112" s="95" t="s">
        <v>1697</v>
      </c>
      <c r="AM112" t="s">
        <v>1693</v>
      </c>
      <c r="AN112" t="s">
        <v>1698</v>
      </c>
      <c r="AO112" t="s">
        <v>1699</v>
      </c>
      <c r="AP112" s="59">
        <v>45453</v>
      </c>
      <c r="AQ112" t="s">
        <v>563</v>
      </c>
      <c r="AR112" t="s">
        <v>1699</v>
      </c>
      <c r="AS112" t="s">
        <v>560</v>
      </c>
      <c r="AT112" t="s">
        <v>1700</v>
      </c>
      <c r="AU112" t="s">
        <v>560</v>
      </c>
      <c r="AV112">
        <v>14080</v>
      </c>
      <c r="AW112">
        <v>14080</v>
      </c>
      <c r="AX112">
        <v>17080</v>
      </c>
      <c r="AY112">
        <v>13374</v>
      </c>
      <c r="AZ112">
        <v>706</v>
      </c>
      <c r="BA112">
        <v>3000</v>
      </c>
      <c r="BB112">
        <v>0</v>
      </c>
      <c r="BC112" t="s">
        <v>1701</v>
      </c>
      <c r="BD112" t="s">
        <v>20</v>
      </c>
      <c r="BE112" t="s">
        <v>2053</v>
      </c>
    </row>
    <row r="113" spans="1:57">
      <c r="A113" s="99" t="str">
        <v/>
      </c>
      <c r="G113" s="97">
        <v>0</v>
      </c>
      <c r="H113" s="97">
        <v>0</v>
      </c>
      <c r="R113" s="117"/>
      <c r="U113" s="99" t="str">
        <v>투명</v>
      </c>
      <c r="V113" s="99">
        <v>1</v>
      </c>
      <c r="W113" s="109" t="str">
        <v/>
      </c>
      <c r="AB113" t="s">
        <v>1702</v>
      </c>
      <c r="AC113" t="s">
        <v>919</v>
      </c>
      <c r="AD113" t="s">
        <v>560</v>
      </c>
      <c r="AE113">
        <v>1</v>
      </c>
      <c r="AF113" t="s">
        <v>350</v>
      </c>
      <c r="AG113" t="s">
        <v>1703</v>
      </c>
      <c r="AH113" t="s">
        <v>921</v>
      </c>
      <c r="AI113" t="s">
        <v>922</v>
      </c>
      <c r="AJ113" s="59">
        <v>45454</v>
      </c>
      <c r="AK113" t="s">
        <v>1704</v>
      </c>
      <c r="AM113" t="s">
        <v>560</v>
      </c>
      <c r="AN113" t="s">
        <v>560</v>
      </c>
      <c r="AO113" t="s">
        <v>560</v>
      </c>
      <c r="AP113" s="59">
        <v>45454</v>
      </c>
      <c r="AQ113" t="s">
        <v>563</v>
      </c>
      <c r="AR113" t="s">
        <v>1705</v>
      </c>
      <c r="AS113" t="s">
        <v>560</v>
      </c>
      <c r="AT113" t="s">
        <v>1706</v>
      </c>
      <c r="AU113" t="s">
        <v>560</v>
      </c>
      <c r="AV113">
        <v>0</v>
      </c>
      <c r="AW113">
        <v>0</v>
      </c>
      <c r="AX113">
        <v>0</v>
      </c>
      <c r="BA113">
        <v>0</v>
      </c>
      <c r="BB113">
        <v>0</v>
      </c>
      <c r="BD113" t="s">
        <v>560</v>
      </c>
      <c r="BE113" t="s">
        <v>1986</v>
      </c>
    </row>
    <row r="114" spans="1:57">
      <c r="A114" s="99" t="str">
        <v/>
      </c>
      <c r="G114" s="97">
        <v>0</v>
      </c>
      <c r="H114" s="97">
        <v>0</v>
      </c>
      <c r="R114" s="117"/>
      <c r="U114" s="99" t="str">
        <v>투명</v>
      </c>
      <c r="V114" s="99">
        <v>1</v>
      </c>
      <c r="W114" s="109" t="str">
        <v/>
      </c>
      <c r="AB114" t="s">
        <v>1707</v>
      </c>
      <c r="AC114" t="s">
        <v>919</v>
      </c>
      <c r="AD114" t="s">
        <v>560</v>
      </c>
      <c r="AE114">
        <v>1</v>
      </c>
      <c r="AF114" t="s">
        <v>973</v>
      </c>
      <c r="AG114" t="s">
        <v>1708</v>
      </c>
      <c r="AH114" t="s">
        <v>921</v>
      </c>
      <c r="AI114" t="s">
        <v>922</v>
      </c>
      <c r="AJ114" s="59">
        <v>45454</v>
      </c>
      <c r="AK114" t="s">
        <v>1709</v>
      </c>
      <c r="AM114" t="s">
        <v>560</v>
      </c>
      <c r="AN114" t="s">
        <v>560</v>
      </c>
      <c r="AO114" t="s">
        <v>560</v>
      </c>
      <c r="AP114" s="59">
        <v>45454</v>
      </c>
      <c r="AQ114" t="s">
        <v>563</v>
      </c>
      <c r="AR114" t="s">
        <v>1710</v>
      </c>
      <c r="AS114" t="s">
        <v>560</v>
      </c>
      <c r="AT114" t="s">
        <v>1711</v>
      </c>
      <c r="AU114" t="s">
        <v>560</v>
      </c>
      <c r="AV114">
        <v>0</v>
      </c>
      <c r="AW114">
        <v>0</v>
      </c>
      <c r="AX114">
        <v>0</v>
      </c>
      <c r="BA114">
        <v>0</v>
      </c>
      <c r="BB114">
        <v>0</v>
      </c>
      <c r="BD114" t="s">
        <v>560</v>
      </c>
      <c r="BE114" t="s">
        <v>1986</v>
      </c>
    </row>
    <row r="115" spans="1:57">
      <c r="A115" s="99" t="str">
        <v/>
      </c>
      <c r="G115" s="97">
        <v>0</v>
      </c>
      <c r="H115" s="97">
        <v>0</v>
      </c>
      <c r="R115" s="117"/>
      <c r="U115" s="99" t="str">
        <v>투명</v>
      </c>
      <c r="V115" s="99">
        <v>1</v>
      </c>
      <c r="W115" s="109" t="str">
        <v/>
      </c>
      <c r="AB115" t="s">
        <v>1712</v>
      </c>
      <c r="AC115" t="s">
        <v>919</v>
      </c>
      <c r="AD115" t="s">
        <v>560</v>
      </c>
      <c r="AE115">
        <v>1</v>
      </c>
      <c r="AF115" t="s">
        <v>973</v>
      </c>
      <c r="AG115" t="s">
        <v>1713</v>
      </c>
      <c r="AH115" t="s">
        <v>921</v>
      </c>
      <c r="AI115" t="s">
        <v>922</v>
      </c>
      <c r="AJ115" s="59">
        <v>45454</v>
      </c>
      <c r="AK115" t="s">
        <v>1714</v>
      </c>
      <c r="AM115" t="s">
        <v>560</v>
      </c>
      <c r="AN115" t="s">
        <v>560</v>
      </c>
      <c r="AO115" t="s">
        <v>560</v>
      </c>
      <c r="AP115" s="59">
        <v>45454</v>
      </c>
      <c r="AQ115" t="s">
        <v>563</v>
      </c>
      <c r="AR115" t="s">
        <v>1715</v>
      </c>
      <c r="AS115" t="s">
        <v>560</v>
      </c>
      <c r="AT115" t="s">
        <v>1716</v>
      </c>
      <c r="AU115" t="s">
        <v>560</v>
      </c>
      <c r="AV115">
        <v>0</v>
      </c>
      <c r="AW115">
        <v>0</v>
      </c>
      <c r="AX115">
        <v>0</v>
      </c>
      <c r="BA115">
        <v>0</v>
      </c>
      <c r="BB115">
        <v>0</v>
      </c>
      <c r="BD115" t="s">
        <v>560</v>
      </c>
      <c r="BE115" t="s">
        <v>1986</v>
      </c>
    </row>
    <row r="116" spans="1:57">
      <c r="A116" s="99" t="str">
        <v/>
      </c>
      <c r="G116" s="97">
        <v>0</v>
      </c>
      <c r="H116" s="97">
        <v>0</v>
      </c>
      <c r="R116" s="117"/>
      <c r="U116" s="99" t="str">
        <v>투명</v>
      </c>
      <c r="V116" s="99">
        <v>1</v>
      </c>
      <c r="W116" s="109" t="str">
        <v/>
      </c>
      <c r="AB116" t="s">
        <v>1707</v>
      </c>
      <c r="AC116" t="s">
        <v>919</v>
      </c>
      <c r="AD116" t="s">
        <v>560</v>
      </c>
      <c r="AE116">
        <v>1</v>
      </c>
      <c r="AF116" t="s">
        <v>973</v>
      </c>
      <c r="AG116" t="s">
        <v>1717</v>
      </c>
      <c r="AH116" t="s">
        <v>921</v>
      </c>
      <c r="AI116" t="s">
        <v>922</v>
      </c>
      <c r="AJ116" s="59">
        <v>45454</v>
      </c>
      <c r="AK116" t="s">
        <v>1718</v>
      </c>
      <c r="AM116" t="s">
        <v>560</v>
      </c>
      <c r="AN116" t="s">
        <v>560</v>
      </c>
      <c r="AO116" t="s">
        <v>560</v>
      </c>
      <c r="AP116" s="59">
        <v>45454</v>
      </c>
      <c r="AQ116" t="s">
        <v>563</v>
      </c>
      <c r="AR116" t="s">
        <v>1710</v>
      </c>
      <c r="AS116" t="s">
        <v>560</v>
      </c>
      <c r="AT116" t="s">
        <v>1711</v>
      </c>
      <c r="AU116" t="s">
        <v>560</v>
      </c>
      <c r="AV116">
        <v>0</v>
      </c>
      <c r="AW116">
        <v>0</v>
      </c>
      <c r="AX116">
        <v>0</v>
      </c>
      <c r="BA116">
        <v>0</v>
      </c>
      <c r="BB116">
        <v>0</v>
      </c>
      <c r="BD116" t="s">
        <v>560</v>
      </c>
      <c r="BE116" t="s">
        <v>1986</v>
      </c>
    </row>
    <row r="117" spans="1:57">
      <c r="A117" s="99" t="str">
        <v/>
      </c>
      <c r="G117" s="97">
        <v>0</v>
      </c>
      <c r="H117" s="97">
        <v>0</v>
      </c>
      <c r="R117" s="117"/>
      <c r="U117" s="99" t="str">
        <v>투명</v>
      </c>
      <c r="V117" s="99">
        <v>1</v>
      </c>
      <c r="W117" s="109" t="str">
        <v/>
      </c>
      <c r="AB117" t="s">
        <v>1702</v>
      </c>
      <c r="AC117" t="s">
        <v>1719</v>
      </c>
      <c r="AD117" t="s">
        <v>560</v>
      </c>
      <c r="AE117">
        <v>1</v>
      </c>
      <c r="AF117" t="s">
        <v>973</v>
      </c>
      <c r="AG117" t="s">
        <v>1720</v>
      </c>
      <c r="AH117" t="s">
        <v>921</v>
      </c>
      <c r="AI117" t="s">
        <v>922</v>
      </c>
      <c r="AJ117" s="59">
        <v>45454</v>
      </c>
      <c r="AK117" t="s">
        <v>1721</v>
      </c>
      <c r="AM117" t="s">
        <v>560</v>
      </c>
      <c r="AN117" t="s">
        <v>560</v>
      </c>
      <c r="AO117" t="s">
        <v>560</v>
      </c>
      <c r="AP117" s="59">
        <v>45454</v>
      </c>
      <c r="AQ117" t="s">
        <v>563</v>
      </c>
      <c r="AR117" t="s">
        <v>1705</v>
      </c>
      <c r="AS117" t="s">
        <v>560</v>
      </c>
      <c r="AT117" t="s">
        <v>1706</v>
      </c>
      <c r="AU117" t="s">
        <v>560</v>
      </c>
      <c r="AV117">
        <v>0</v>
      </c>
      <c r="AW117">
        <v>0</v>
      </c>
      <c r="AX117">
        <v>0</v>
      </c>
      <c r="BA117">
        <v>0</v>
      </c>
      <c r="BB117">
        <v>0</v>
      </c>
      <c r="BD117" t="s">
        <v>560</v>
      </c>
      <c r="BE117" t="s">
        <v>2054</v>
      </c>
    </row>
    <row r="118" spans="1:57">
      <c r="A118" s="99" t="str">
        <v/>
      </c>
      <c r="G118" s="97">
        <v>0</v>
      </c>
      <c r="H118" s="97">
        <v>0</v>
      </c>
      <c r="R118" s="117"/>
      <c r="U118" s="99" t="str">
        <v>투명</v>
      </c>
      <c r="V118" s="99">
        <v>1</v>
      </c>
      <c r="W118" s="109" t="str">
        <v/>
      </c>
      <c r="AB118" t="s">
        <v>1722</v>
      </c>
      <c r="AC118" t="s">
        <v>919</v>
      </c>
      <c r="AD118" t="s">
        <v>560</v>
      </c>
      <c r="AE118">
        <v>1</v>
      </c>
      <c r="AF118" t="s">
        <v>973</v>
      </c>
      <c r="AG118" t="s">
        <v>1723</v>
      </c>
      <c r="AH118" t="s">
        <v>921</v>
      </c>
      <c r="AI118" t="s">
        <v>922</v>
      </c>
      <c r="AJ118" s="59">
        <v>45454</v>
      </c>
      <c r="AK118" t="s">
        <v>1724</v>
      </c>
      <c r="AM118" t="s">
        <v>560</v>
      </c>
      <c r="AN118" t="s">
        <v>560</v>
      </c>
      <c r="AO118" t="s">
        <v>560</v>
      </c>
      <c r="AP118" s="59">
        <v>45454</v>
      </c>
      <c r="AQ118" t="s">
        <v>563</v>
      </c>
      <c r="AR118" t="s">
        <v>1725</v>
      </c>
      <c r="AS118" t="s">
        <v>560</v>
      </c>
      <c r="AT118" t="s">
        <v>1726</v>
      </c>
      <c r="AU118" t="s">
        <v>560</v>
      </c>
      <c r="AV118">
        <v>0</v>
      </c>
      <c r="AW118">
        <v>0</v>
      </c>
      <c r="AX118">
        <v>0</v>
      </c>
      <c r="BA118">
        <v>0</v>
      </c>
      <c r="BB118">
        <v>0</v>
      </c>
      <c r="BD118" t="s">
        <v>560</v>
      </c>
      <c r="BE118" t="s">
        <v>1986</v>
      </c>
    </row>
    <row r="119" spans="1:57">
      <c r="A119" s="99" t="str">
        <v/>
      </c>
      <c r="G119" s="97">
        <v>0</v>
      </c>
      <c r="H119" s="97">
        <v>0</v>
      </c>
      <c r="R119" s="117"/>
      <c r="U119" s="99" t="str">
        <v>투명</v>
      </c>
      <c r="V119" s="99">
        <v>1</v>
      </c>
      <c r="W119" s="109" t="str">
        <v/>
      </c>
      <c r="AB119" t="s">
        <v>1722</v>
      </c>
      <c r="AC119" t="s">
        <v>919</v>
      </c>
      <c r="AD119" t="s">
        <v>560</v>
      </c>
      <c r="AE119">
        <v>1</v>
      </c>
      <c r="AF119" t="s">
        <v>973</v>
      </c>
      <c r="AG119" t="s">
        <v>1727</v>
      </c>
      <c r="AH119" t="s">
        <v>921</v>
      </c>
      <c r="AI119" t="s">
        <v>922</v>
      </c>
      <c r="AJ119" s="59">
        <v>45454</v>
      </c>
      <c r="AK119" t="s">
        <v>1728</v>
      </c>
      <c r="AM119" t="s">
        <v>560</v>
      </c>
      <c r="AN119" t="s">
        <v>560</v>
      </c>
      <c r="AO119" t="s">
        <v>560</v>
      </c>
      <c r="AP119" s="59">
        <v>45454</v>
      </c>
      <c r="AQ119" t="s">
        <v>563</v>
      </c>
      <c r="AR119" t="s">
        <v>1725</v>
      </c>
      <c r="AS119" t="s">
        <v>560</v>
      </c>
      <c r="AT119" t="s">
        <v>1726</v>
      </c>
      <c r="AU119" t="s">
        <v>560</v>
      </c>
      <c r="AV119">
        <v>0</v>
      </c>
      <c r="AW119">
        <v>0</v>
      </c>
      <c r="AX119">
        <v>0</v>
      </c>
      <c r="BA119">
        <v>0</v>
      </c>
      <c r="BB119">
        <v>0</v>
      </c>
      <c r="BD119" t="s">
        <v>560</v>
      </c>
      <c r="BE119" t="s">
        <v>1986</v>
      </c>
    </row>
    <row r="120" spans="1:57">
      <c r="A120" s="99" t="str">
        <v/>
      </c>
      <c r="G120" s="97">
        <v>0</v>
      </c>
      <c r="H120" s="97">
        <v>0</v>
      </c>
      <c r="R120" s="117"/>
      <c r="U120" s="99" t="str">
        <v>투명</v>
      </c>
      <c r="V120" s="99">
        <v>1</v>
      </c>
      <c r="W120" s="109" t="str">
        <v/>
      </c>
      <c r="AB120" t="s">
        <v>1722</v>
      </c>
      <c r="AC120" t="s">
        <v>919</v>
      </c>
      <c r="AD120" t="s">
        <v>560</v>
      </c>
      <c r="AE120">
        <v>1</v>
      </c>
      <c r="AF120" t="s">
        <v>973</v>
      </c>
      <c r="AG120" t="s">
        <v>1729</v>
      </c>
      <c r="AH120" t="s">
        <v>921</v>
      </c>
      <c r="AI120" t="s">
        <v>922</v>
      </c>
      <c r="AJ120" s="59">
        <v>45454</v>
      </c>
      <c r="AK120" t="s">
        <v>1730</v>
      </c>
      <c r="AM120" t="s">
        <v>560</v>
      </c>
      <c r="AN120" t="s">
        <v>560</v>
      </c>
      <c r="AO120" t="s">
        <v>560</v>
      </c>
      <c r="AP120" s="59">
        <v>45454</v>
      </c>
      <c r="AQ120" t="s">
        <v>563</v>
      </c>
      <c r="AR120" t="s">
        <v>1725</v>
      </c>
      <c r="AS120" t="s">
        <v>560</v>
      </c>
      <c r="AT120" t="s">
        <v>1726</v>
      </c>
      <c r="AU120" t="s">
        <v>560</v>
      </c>
      <c r="AV120">
        <v>0</v>
      </c>
      <c r="AW120">
        <v>0</v>
      </c>
      <c r="AX120">
        <v>0</v>
      </c>
      <c r="BA120">
        <v>0</v>
      </c>
      <c r="BB120">
        <v>0</v>
      </c>
      <c r="BD120" t="s">
        <v>560</v>
      </c>
      <c r="BE120" t="s">
        <v>1986</v>
      </c>
    </row>
    <row r="121" spans="1:57">
      <c r="A121" s="99" t="str">
        <v>SE137</v>
      </c>
      <c r="G121" s="97">
        <v>131000</v>
      </c>
      <c r="H121" s="97">
        <v>131000</v>
      </c>
      <c r="R121" s="117"/>
      <c r="U121" s="99" t="str">
        <v>투명</v>
      </c>
      <c r="V121" s="99">
        <v>100</v>
      </c>
      <c r="W121" s="109">
        <v>0</v>
      </c>
      <c r="AB121" t="s">
        <v>1731</v>
      </c>
      <c r="AC121" t="s">
        <v>1732</v>
      </c>
      <c r="AD121" t="s">
        <v>560</v>
      </c>
      <c r="AE121">
        <v>100</v>
      </c>
      <c r="AF121" t="s">
        <v>564</v>
      </c>
      <c r="AG121" t="s">
        <v>1733</v>
      </c>
      <c r="AH121" t="s">
        <v>561</v>
      </c>
      <c r="AI121" t="s">
        <v>562</v>
      </c>
      <c r="AJ121" s="59">
        <v>45454</v>
      </c>
      <c r="AK121" t="s">
        <v>1734</v>
      </c>
      <c r="AL121" s="95" t="s">
        <v>1735</v>
      </c>
      <c r="AM121" t="s">
        <v>1731</v>
      </c>
      <c r="AN121" t="s">
        <v>1736</v>
      </c>
      <c r="AO121" t="s">
        <v>1737</v>
      </c>
      <c r="AP121" s="59">
        <v>45454</v>
      </c>
      <c r="AQ121" t="s">
        <v>563</v>
      </c>
      <c r="AR121" t="s">
        <v>1738</v>
      </c>
      <c r="AS121" t="s">
        <v>560</v>
      </c>
      <c r="AT121" t="s">
        <v>1739</v>
      </c>
      <c r="AU121" t="s">
        <v>560</v>
      </c>
      <c r="AV121">
        <v>131000</v>
      </c>
      <c r="AW121">
        <v>166000</v>
      </c>
      <c r="AX121">
        <v>131000</v>
      </c>
      <c r="AY121">
        <v>125787</v>
      </c>
      <c r="AZ121">
        <v>5213</v>
      </c>
      <c r="BA121">
        <v>0</v>
      </c>
      <c r="BB121">
        <v>0</v>
      </c>
      <c r="BC121" t="s">
        <v>1740</v>
      </c>
      <c r="BD121" t="s">
        <v>52</v>
      </c>
      <c r="BE121" t="s">
        <v>2055</v>
      </c>
    </row>
    <row r="122" spans="1:57">
      <c r="A122" s="99" t="str">
        <v>SE206</v>
      </c>
      <c r="G122" s="97">
        <v>28620</v>
      </c>
      <c r="H122" s="97">
        <v>31620</v>
      </c>
      <c r="R122" s="117"/>
      <c r="U122" s="99" t="str">
        <v>투명</v>
      </c>
      <c r="V122" s="99">
        <v>1</v>
      </c>
      <c r="W122" s="109">
        <v>0</v>
      </c>
      <c r="AB122" t="s">
        <v>1741</v>
      </c>
      <c r="AC122" t="s">
        <v>934</v>
      </c>
      <c r="AD122" t="s">
        <v>560</v>
      </c>
      <c r="AE122">
        <v>1</v>
      </c>
      <c r="AF122" t="s">
        <v>350</v>
      </c>
      <c r="AG122" t="s">
        <v>1742</v>
      </c>
      <c r="AH122" t="s">
        <v>561</v>
      </c>
      <c r="AI122" t="s">
        <v>562</v>
      </c>
      <c r="AJ122" s="59">
        <v>45454</v>
      </c>
      <c r="AK122" t="s">
        <v>1743</v>
      </c>
      <c r="AL122" s="95" t="s">
        <v>1744</v>
      </c>
      <c r="AM122" t="s">
        <v>1745</v>
      </c>
      <c r="AN122" t="s">
        <v>1746</v>
      </c>
      <c r="AO122" t="s">
        <v>1747</v>
      </c>
      <c r="AP122" s="59">
        <v>45454</v>
      </c>
      <c r="AQ122" t="s">
        <v>563</v>
      </c>
      <c r="AR122" t="s">
        <v>1747</v>
      </c>
      <c r="AS122" t="s">
        <v>560</v>
      </c>
      <c r="AT122" t="s">
        <v>1748</v>
      </c>
      <c r="AU122" t="s">
        <v>560</v>
      </c>
      <c r="AV122">
        <v>28620</v>
      </c>
      <c r="AW122">
        <v>31800</v>
      </c>
      <c r="AX122">
        <v>31620</v>
      </c>
      <c r="AY122">
        <v>28054</v>
      </c>
      <c r="AZ122">
        <v>566</v>
      </c>
      <c r="BA122">
        <v>3000</v>
      </c>
      <c r="BB122">
        <v>0</v>
      </c>
      <c r="BC122" t="s">
        <v>1749</v>
      </c>
      <c r="BD122" t="s">
        <v>34</v>
      </c>
      <c r="BE122" t="s">
        <v>1988</v>
      </c>
    </row>
    <row r="123" spans="1:57">
      <c r="A123" s="99" t="str">
        <v>SE303</v>
      </c>
      <c r="G123" s="97">
        <v>22190</v>
      </c>
      <c r="H123" s="97">
        <v>22190</v>
      </c>
      <c r="R123" s="117"/>
      <c r="U123" s="99" t="str">
        <v>투명</v>
      </c>
      <c r="V123" s="99">
        <v>1</v>
      </c>
      <c r="W123" s="109">
        <v>0</v>
      </c>
      <c r="AB123" t="s">
        <v>1750</v>
      </c>
      <c r="AC123" t="s">
        <v>1368</v>
      </c>
      <c r="AD123" t="s">
        <v>560</v>
      </c>
      <c r="AE123">
        <v>1</v>
      </c>
      <c r="AF123" t="s">
        <v>350</v>
      </c>
      <c r="AG123" t="s">
        <v>1751</v>
      </c>
      <c r="AH123" t="s">
        <v>561</v>
      </c>
      <c r="AI123" t="s">
        <v>562</v>
      </c>
      <c r="AJ123" s="59">
        <v>45454</v>
      </c>
      <c r="AK123" t="s">
        <v>1752</v>
      </c>
      <c r="AL123" s="95" t="s">
        <v>1753</v>
      </c>
      <c r="AM123" t="s">
        <v>1754</v>
      </c>
      <c r="AN123" t="s">
        <v>1755</v>
      </c>
      <c r="AO123" t="s">
        <v>1756</v>
      </c>
      <c r="AP123" s="59">
        <v>45454</v>
      </c>
      <c r="AQ123" t="s">
        <v>563</v>
      </c>
      <c r="AR123" t="s">
        <v>1757</v>
      </c>
      <c r="AS123" t="s">
        <v>560</v>
      </c>
      <c r="AT123" t="s">
        <v>1758</v>
      </c>
      <c r="AU123" t="s">
        <v>560</v>
      </c>
      <c r="AV123">
        <v>22190</v>
      </c>
      <c r="AW123">
        <v>24660</v>
      </c>
      <c r="AX123">
        <v>22190</v>
      </c>
      <c r="AY123">
        <v>21308</v>
      </c>
      <c r="AZ123">
        <v>882</v>
      </c>
      <c r="BA123">
        <v>0</v>
      </c>
      <c r="BB123">
        <v>0</v>
      </c>
      <c r="BC123" t="s">
        <v>1759</v>
      </c>
      <c r="BD123" t="s">
        <v>26</v>
      </c>
      <c r="BE123" t="s">
        <v>2028</v>
      </c>
    </row>
    <row r="124" spans="1:57">
      <c r="A124" s="99" t="str">
        <v>SE121</v>
      </c>
      <c r="G124" s="97">
        <v>5880</v>
      </c>
      <c r="H124" s="97">
        <v>5880</v>
      </c>
      <c r="R124" s="117"/>
      <c r="U124" s="99" t="str">
        <v>검정</v>
      </c>
      <c r="V124" s="99">
        <v>1</v>
      </c>
      <c r="W124" s="109">
        <v>0</v>
      </c>
      <c r="AB124" t="s">
        <v>1750</v>
      </c>
      <c r="AC124" t="s">
        <v>1760</v>
      </c>
      <c r="AD124" t="s">
        <v>1358</v>
      </c>
      <c r="AE124">
        <v>1</v>
      </c>
      <c r="AF124" t="s">
        <v>350</v>
      </c>
      <c r="AG124" t="s">
        <v>1751</v>
      </c>
      <c r="AH124" t="s">
        <v>561</v>
      </c>
      <c r="AI124" t="s">
        <v>562</v>
      </c>
      <c r="AJ124" s="59">
        <v>45454</v>
      </c>
      <c r="AK124" t="s">
        <v>1752</v>
      </c>
      <c r="AL124" s="95" t="s">
        <v>1761</v>
      </c>
      <c r="AM124" t="s">
        <v>1754</v>
      </c>
      <c r="AN124" t="s">
        <v>1755</v>
      </c>
      <c r="AO124" t="s">
        <v>1756</v>
      </c>
      <c r="AP124" s="59">
        <v>45454</v>
      </c>
      <c r="AQ124" t="s">
        <v>563</v>
      </c>
      <c r="AR124" t="s">
        <v>1757</v>
      </c>
      <c r="AS124" t="s">
        <v>560</v>
      </c>
      <c r="AT124" t="s">
        <v>1758</v>
      </c>
      <c r="AU124" t="s">
        <v>560</v>
      </c>
      <c r="AV124">
        <v>5880</v>
      </c>
      <c r="AW124">
        <v>5880</v>
      </c>
      <c r="AX124">
        <v>5880</v>
      </c>
      <c r="AY124">
        <v>5647</v>
      </c>
      <c r="AZ124">
        <v>233</v>
      </c>
      <c r="BA124">
        <v>0</v>
      </c>
      <c r="BB124">
        <v>0</v>
      </c>
      <c r="BC124" t="s">
        <v>1759</v>
      </c>
      <c r="BD124" t="s">
        <v>1762</v>
      </c>
      <c r="BE124" t="s">
        <v>2056</v>
      </c>
    </row>
    <row r="125" spans="1:57">
      <c r="A125" s="99" t="str">
        <v>SE305</v>
      </c>
      <c r="G125" s="97">
        <v>18630</v>
      </c>
      <c r="H125" s="97">
        <v>18630</v>
      </c>
      <c r="R125" s="117"/>
      <c r="U125" s="99" t="str">
        <v>투명</v>
      </c>
      <c r="V125" s="99">
        <v>1</v>
      </c>
      <c r="W125" s="109">
        <v>0</v>
      </c>
      <c r="AB125" t="s">
        <v>1750</v>
      </c>
      <c r="AC125" t="s">
        <v>963</v>
      </c>
      <c r="AD125" t="s">
        <v>560</v>
      </c>
      <c r="AE125">
        <v>1</v>
      </c>
      <c r="AF125" t="s">
        <v>350</v>
      </c>
      <c r="AG125" t="s">
        <v>1751</v>
      </c>
      <c r="AH125" t="s">
        <v>561</v>
      </c>
      <c r="AI125" t="s">
        <v>562</v>
      </c>
      <c r="AJ125" s="59">
        <v>45454</v>
      </c>
      <c r="AK125" t="s">
        <v>1752</v>
      </c>
      <c r="AL125" s="95" t="s">
        <v>1763</v>
      </c>
      <c r="AM125" t="s">
        <v>1754</v>
      </c>
      <c r="AN125" t="s">
        <v>1755</v>
      </c>
      <c r="AO125" t="s">
        <v>1756</v>
      </c>
      <c r="AP125" s="59">
        <v>45454</v>
      </c>
      <c r="AQ125" t="s">
        <v>563</v>
      </c>
      <c r="AR125" t="s">
        <v>1757</v>
      </c>
      <c r="AS125" t="s">
        <v>560</v>
      </c>
      <c r="AT125" t="s">
        <v>1758</v>
      </c>
      <c r="AU125" t="s">
        <v>560</v>
      </c>
      <c r="AV125">
        <v>18630</v>
      </c>
      <c r="AW125">
        <v>20700</v>
      </c>
      <c r="AX125">
        <v>18630</v>
      </c>
      <c r="AY125">
        <v>17890</v>
      </c>
      <c r="AZ125">
        <v>740</v>
      </c>
      <c r="BA125">
        <v>0</v>
      </c>
      <c r="BB125">
        <v>0</v>
      </c>
      <c r="BC125" t="s">
        <v>1759</v>
      </c>
      <c r="BD125" t="s">
        <v>22</v>
      </c>
      <c r="BE125" t="s">
        <v>1991</v>
      </c>
    </row>
    <row r="126" spans="1:57">
      <c r="A126" s="99" t="str">
        <v>SE204</v>
      </c>
      <c r="G126" s="97">
        <v>42120</v>
      </c>
      <c r="H126" s="97">
        <v>42120</v>
      </c>
      <c r="R126" s="117"/>
      <c r="U126" s="99" t="str">
        <v>투명</v>
      </c>
      <c r="V126" s="99">
        <v>2</v>
      </c>
      <c r="W126" s="109">
        <v>0</v>
      </c>
      <c r="AB126" t="s">
        <v>1764</v>
      </c>
      <c r="AC126" t="s">
        <v>1345</v>
      </c>
      <c r="AD126" t="s">
        <v>560</v>
      </c>
      <c r="AE126">
        <v>2</v>
      </c>
      <c r="AF126" t="s">
        <v>564</v>
      </c>
      <c r="AG126" t="s">
        <v>1765</v>
      </c>
      <c r="AH126" t="s">
        <v>561</v>
      </c>
      <c r="AI126" t="s">
        <v>562</v>
      </c>
      <c r="AJ126" s="59">
        <v>45453</v>
      </c>
      <c r="AK126" t="s">
        <v>1766</v>
      </c>
      <c r="AL126" s="95" t="s">
        <v>1767</v>
      </c>
      <c r="AM126" t="s">
        <v>1768</v>
      </c>
      <c r="AN126" t="s">
        <v>1769</v>
      </c>
      <c r="AO126" t="s">
        <v>1770</v>
      </c>
      <c r="AP126" s="59">
        <v>45454</v>
      </c>
      <c r="AQ126" t="s">
        <v>563</v>
      </c>
      <c r="AR126" t="s">
        <v>1770</v>
      </c>
      <c r="AS126" t="s">
        <v>560</v>
      </c>
      <c r="AT126" t="s">
        <v>1771</v>
      </c>
      <c r="AU126" t="s">
        <v>1772</v>
      </c>
      <c r="AV126">
        <v>42120</v>
      </c>
      <c r="AW126">
        <v>46800</v>
      </c>
      <c r="AX126">
        <v>42120</v>
      </c>
      <c r="AY126">
        <v>40445</v>
      </c>
      <c r="AZ126">
        <v>1675</v>
      </c>
      <c r="BA126">
        <v>0</v>
      </c>
      <c r="BB126">
        <v>3000</v>
      </c>
      <c r="BC126" t="s">
        <v>1773</v>
      </c>
      <c r="BD126" t="s">
        <v>38</v>
      </c>
      <c r="BE126" t="s">
        <v>2026</v>
      </c>
    </row>
    <row r="127" spans="1:57">
      <c r="A127" s="99" t="str">
        <v>SE205</v>
      </c>
      <c r="G127" s="97">
        <v>24300</v>
      </c>
      <c r="H127" s="97">
        <v>24300</v>
      </c>
      <c r="R127" s="117"/>
      <c r="U127" s="99" t="str">
        <v>투명</v>
      </c>
      <c r="V127" s="99">
        <v>1</v>
      </c>
      <c r="W127" s="109">
        <v>0</v>
      </c>
      <c r="AB127" t="s">
        <v>1764</v>
      </c>
      <c r="AC127" t="s">
        <v>927</v>
      </c>
      <c r="AD127" t="s">
        <v>560</v>
      </c>
      <c r="AE127">
        <v>1</v>
      </c>
      <c r="AF127" t="s">
        <v>564</v>
      </c>
      <c r="AG127" t="s">
        <v>1765</v>
      </c>
      <c r="AH127" t="s">
        <v>561</v>
      </c>
      <c r="AI127" t="s">
        <v>562</v>
      </c>
      <c r="AJ127" s="59">
        <v>45453</v>
      </c>
      <c r="AK127" t="s">
        <v>1766</v>
      </c>
      <c r="AL127" s="95" t="s">
        <v>1774</v>
      </c>
      <c r="AM127" t="s">
        <v>1768</v>
      </c>
      <c r="AN127" t="s">
        <v>1769</v>
      </c>
      <c r="AO127" t="s">
        <v>1770</v>
      </c>
      <c r="AP127" s="59">
        <v>45454</v>
      </c>
      <c r="AQ127" t="s">
        <v>563</v>
      </c>
      <c r="AR127" t="s">
        <v>1770</v>
      </c>
      <c r="AS127" t="s">
        <v>560</v>
      </c>
      <c r="AT127" t="s">
        <v>1771</v>
      </c>
      <c r="AU127" t="s">
        <v>1772</v>
      </c>
      <c r="AV127">
        <v>24300</v>
      </c>
      <c r="AW127">
        <v>27000</v>
      </c>
      <c r="AX127">
        <v>24300</v>
      </c>
      <c r="AY127">
        <v>23333</v>
      </c>
      <c r="AZ127">
        <v>967</v>
      </c>
      <c r="BA127">
        <v>0</v>
      </c>
      <c r="BB127">
        <v>3000</v>
      </c>
      <c r="BC127" t="s">
        <v>1773</v>
      </c>
      <c r="BD127" t="s">
        <v>36</v>
      </c>
      <c r="BE127" t="s">
        <v>1987</v>
      </c>
    </row>
    <row r="128" spans="1:57">
      <c r="A128" s="99" t="str">
        <v>SE14</v>
      </c>
      <c r="G128" s="97">
        <v>51000</v>
      </c>
      <c r="H128" s="97">
        <v>51000</v>
      </c>
      <c r="R128" s="117"/>
      <c r="U128" s="99" t="str">
        <v>보라</v>
      </c>
      <c r="V128" s="99">
        <v>30</v>
      </c>
      <c r="W128" s="109">
        <v>0</v>
      </c>
      <c r="AB128" t="s">
        <v>1775</v>
      </c>
      <c r="AC128" t="s">
        <v>1776</v>
      </c>
      <c r="AD128" t="s">
        <v>944</v>
      </c>
      <c r="AE128">
        <v>30</v>
      </c>
      <c r="AF128" t="s">
        <v>564</v>
      </c>
      <c r="AG128" t="s">
        <v>1777</v>
      </c>
      <c r="AH128" t="s">
        <v>561</v>
      </c>
      <c r="AI128" t="s">
        <v>562</v>
      </c>
      <c r="AJ128" s="59">
        <v>45449</v>
      </c>
      <c r="AK128" t="s">
        <v>1778</v>
      </c>
      <c r="AL128" s="95" t="s">
        <v>1779</v>
      </c>
      <c r="AM128" t="s">
        <v>1775</v>
      </c>
      <c r="AN128" t="s">
        <v>1780</v>
      </c>
      <c r="AO128" t="s">
        <v>1781</v>
      </c>
      <c r="AP128" s="59">
        <v>45454</v>
      </c>
      <c r="AQ128" t="s">
        <v>563</v>
      </c>
      <c r="AR128" t="s">
        <v>1781</v>
      </c>
      <c r="AS128" t="s">
        <v>560</v>
      </c>
      <c r="AT128" t="s">
        <v>1782</v>
      </c>
      <c r="AU128" t="s">
        <v>560</v>
      </c>
      <c r="AV128">
        <v>51000</v>
      </c>
      <c r="AW128">
        <v>51000</v>
      </c>
      <c r="AX128">
        <v>51000</v>
      </c>
      <c r="AY128">
        <v>48971</v>
      </c>
      <c r="AZ128">
        <v>2029</v>
      </c>
      <c r="BA128">
        <v>0</v>
      </c>
      <c r="BB128">
        <v>0</v>
      </c>
      <c r="BC128" t="s">
        <v>1783</v>
      </c>
      <c r="BD128" t="s">
        <v>1784</v>
      </c>
      <c r="BE128" t="s">
        <v>2057</v>
      </c>
    </row>
    <row r="129" spans="1:57">
      <c r="A129" s="99" t="str">
        <v>SE22</v>
      </c>
      <c r="G129" s="97">
        <v>7740</v>
      </c>
      <c r="H129" s="97">
        <v>7740</v>
      </c>
      <c r="R129" s="117"/>
      <c r="U129" s="99" t="str">
        <v>보라</v>
      </c>
      <c r="V129" s="99">
        <v>2</v>
      </c>
      <c r="W129" s="109">
        <v>0</v>
      </c>
      <c r="AB129" t="s">
        <v>1775</v>
      </c>
      <c r="AC129" t="s">
        <v>1357</v>
      </c>
      <c r="AD129" t="s">
        <v>944</v>
      </c>
      <c r="AE129">
        <v>2</v>
      </c>
      <c r="AF129" t="s">
        <v>564</v>
      </c>
      <c r="AG129" t="s">
        <v>1777</v>
      </c>
      <c r="AH129" t="s">
        <v>561</v>
      </c>
      <c r="AI129" t="s">
        <v>562</v>
      </c>
      <c r="AJ129" s="59">
        <v>45449</v>
      </c>
      <c r="AK129" t="s">
        <v>1778</v>
      </c>
      <c r="AL129" s="95" t="s">
        <v>1785</v>
      </c>
      <c r="AM129" t="s">
        <v>1775</v>
      </c>
      <c r="AN129" t="s">
        <v>1780</v>
      </c>
      <c r="AO129" t="s">
        <v>1781</v>
      </c>
      <c r="AP129" s="59">
        <v>45454</v>
      </c>
      <c r="AQ129" t="s">
        <v>563</v>
      </c>
      <c r="AR129" t="s">
        <v>1781</v>
      </c>
      <c r="AS129" t="s">
        <v>560</v>
      </c>
      <c r="AT129" t="s">
        <v>1782</v>
      </c>
      <c r="AU129" t="s">
        <v>560</v>
      </c>
      <c r="AV129">
        <v>7740</v>
      </c>
      <c r="AW129">
        <v>7740</v>
      </c>
      <c r="AX129">
        <v>7740</v>
      </c>
      <c r="AY129">
        <v>7433</v>
      </c>
      <c r="AZ129">
        <v>307</v>
      </c>
      <c r="BA129">
        <v>0</v>
      </c>
      <c r="BB129">
        <v>0</v>
      </c>
      <c r="BC129" t="s">
        <v>1783</v>
      </c>
      <c r="BD129" t="s">
        <v>1366</v>
      </c>
      <c r="BE129" t="s">
        <v>2058</v>
      </c>
    </row>
    <row r="130" spans="1:57">
      <c r="A130" s="99" t="str">
        <v>SE101</v>
      </c>
      <c r="G130" s="97">
        <v>32900</v>
      </c>
      <c r="H130" s="97">
        <v>35900</v>
      </c>
      <c r="R130" s="117"/>
      <c r="U130" s="99" t="str">
        <v>투명</v>
      </c>
      <c r="V130" s="99">
        <v>35</v>
      </c>
      <c r="W130" s="109">
        <v>0</v>
      </c>
      <c r="AB130" t="s">
        <v>1786</v>
      </c>
      <c r="AC130" t="s">
        <v>565</v>
      </c>
      <c r="AD130" t="s">
        <v>566</v>
      </c>
      <c r="AE130">
        <v>35</v>
      </c>
      <c r="AF130" t="s">
        <v>350</v>
      </c>
      <c r="AG130" t="s">
        <v>1787</v>
      </c>
      <c r="AH130" t="s">
        <v>568</v>
      </c>
      <c r="AI130" t="s">
        <v>562</v>
      </c>
      <c r="AJ130" s="59">
        <v>45453</v>
      </c>
      <c r="AK130" t="s">
        <v>1788</v>
      </c>
      <c r="AM130" t="s">
        <v>1786</v>
      </c>
      <c r="AN130" t="s">
        <v>1789</v>
      </c>
      <c r="AO130" t="s">
        <v>1790</v>
      </c>
      <c r="AP130" s="59">
        <v>45454</v>
      </c>
      <c r="AQ130" t="s">
        <v>563</v>
      </c>
      <c r="AR130" t="s">
        <v>1790</v>
      </c>
      <c r="AS130" t="s">
        <v>560</v>
      </c>
      <c r="AT130" t="s">
        <v>1791</v>
      </c>
      <c r="AU130" t="s">
        <v>571</v>
      </c>
      <c r="AV130">
        <v>32900</v>
      </c>
      <c r="AW130">
        <v>32900</v>
      </c>
      <c r="AX130">
        <v>35900</v>
      </c>
      <c r="BA130">
        <v>3000</v>
      </c>
      <c r="BB130">
        <v>0</v>
      </c>
      <c r="BC130" t="s">
        <v>1792</v>
      </c>
      <c r="BD130" t="s">
        <v>570</v>
      </c>
      <c r="BE130" t="s">
        <v>2011</v>
      </c>
    </row>
    <row r="131" spans="1:57">
      <c r="A131" s="99" t="str">
        <v>SE307</v>
      </c>
      <c r="G131" s="97">
        <v>37410</v>
      </c>
      <c r="H131" s="97">
        <v>37410</v>
      </c>
      <c r="R131" s="117"/>
      <c r="U131" s="99" t="str">
        <v>투명</v>
      </c>
      <c r="V131" s="99">
        <v>3</v>
      </c>
      <c r="W131" s="109">
        <v>0</v>
      </c>
      <c r="AB131" t="s">
        <v>1793</v>
      </c>
      <c r="AC131" t="s">
        <v>1145</v>
      </c>
      <c r="AD131" t="s">
        <v>1146</v>
      </c>
      <c r="AE131">
        <v>3</v>
      </c>
      <c r="AF131" t="s">
        <v>350</v>
      </c>
      <c r="AG131" t="s">
        <v>1794</v>
      </c>
      <c r="AH131" t="s">
        <v>568</v>
      </c>
      <c r="AI131" t="s">
        <v>562</v>
      </c>
      <c r="AJ131" s="59">
        <v>45453</v>
      </c>
      <c r="AK131" t="s">
        <v>1795</v>
      </c>
      <c r="AM131" t="s">
        <v>1793</v>
      </c>
      <c r="AN131" t="s">
        <v>1796</v>
      </c>
      <c r="AO131" t="s">
        <v>1797</v>
      </c>
      <c r="AP131" s="59">
        <v>45454</v>
      </c>
      <c r="AQ131" t="s">
        <v>563</v>
      </c>
      <c r="AR131" t="s">
        <v>1797</v>
      </c>
      <c r="AS131" t="s">
        <v>560</v>
      </c>
      <c r="AT131" t="s">
        <v>1798</v>
      </c>
      <c r="AU131" t="s">
        <v>571</v>
      </c>
      <c r="AV131">
        <v>37410</v>
      </c>
      <c r="AW131">
        <v>37410</v>
      </c>
      <c r="AX131">
        <v>37410</v>
      </c>
      <c r="BA131">
        <v>0</v>
      </c>
      <c r="BB131">
        <v>0</v>
      </c>
      <c r="BC131" t="s">
        <v>1799</v>
      </c>
      <c r="BD131" t="s">
        <v>570</v>
      </c>
      <c r="BE131" t="s">
        <v>2009</v>
      </c>
    </row>
    <row r="132" spans="1:57">
      <c r="A132" s="99" t="str">
        <v>SE114</v>
      </c>
      <c r="G132" s="97">
        <v>30600</v>
      </c>
      <c r="H132" s="97">
        <v>30600</v>
      </c>
      <c r="R132" s="117"/>
      <c r="U132" s="99" t="str">
        <v>투명</v>
      </c>
      <c r="V132" s="99">
        <v>5</v>
      </c>
      <c r="W132" s="109">
        <v>0</v>
      </c>
      <c r="AB132" t="s">
        <v>1800</v>
      </c>
      <c r="AC132" t="s">
        <v>1592</v>
      </c>
      <c r="AD132" t="s">
        <v>566</v>
      </c>
      <c r="AE132">
        <v>5</v>
      </c>
      <c r="AF132" t="s">
        <v>350</v>
      </c>
      <c r="AG132" t="s">
        <v>1801</v>
      </c>
      <c r="AH132" t="s">
        <v>568</v>
      </c>
      <c r="AI132" t="s">
        <v>562</v>
      </c>
      <c r="AJ132" s="59">
        <v>45453</v>
      </c>
      <c r="AK132" t="s">
        <v>1802</v>
      </c>
      <c r="AM132" t="s">
        <v>1800</v>
      </c>
      <c r="AN132" t="s">
        <v>1803</v>
      </c>
      <c r="AO132" t="s">
        <v>1804</v>
      </c>
      <c r="AP132" s="59">
        <v>45454</v>
      </c>
      <c r="AQ132" t="s">
        <v>563</v>
      </c>
      <c r="AR132" t="s">
        <v>1804</v>
      </c>
      <c r="AS132" t="s">
        <v>560</v>
      </c>
      <c r="AT132" t="s">
        <v>1805</v>
      </c>
      <c r="AU132" t="s">
        <v>571</v>
      </c>
      <c r="AV132">
        <v>30600</v>
      </c>
      <c r="AW132">
        <v>34000</v>
      </c>
      <c r="AX132">
        <v>30600</v>
      </c>
      <c r="BA132">
        <v>0</v>
      </c>
      <c r="BB132">
        <v>0</v>
      </c>
      <c r="BC132" t="s">
        <v>1806</v>
      </c>
      <c r="BD132" t="s">
        <v>570</v>
      </c>
      <c r="BE132" t="s">
        <v>2045</v>
      </c>
    </row>
    <row r="133" spans="1:57">
      <c r="A133" s="99" t="str">
        <v>SE102</v>
      </c>
      <c r="G133" s="97">
        <v>1150</v>
      </c>
      <c r="H133" s="97">
        <v>4150</v>
      </c>
      <c r="R133" s="117"/>
      <c r="U133" s="99" t="str">
        <v>투명</v>
      </c>
      <c r="V133" s="99">
        <v>1</v>
      </c>
      <c r="W133" s="109">
        <v>0</v>
      </c>
      <c r="AB133" t="s">
        <v>1807</v>
      </c>
      <c r="AC133" t="s">
        <v>719</v>
      </c>
      <c r="AD133" t="s">
        <v>566</v>
      </c>
      <c r="AE133">
        <v>1</v>
      </c>
      <c r="AF133" t="s">
        <v>567</v>
      </c>
      <c r="AG133" t="s">
        <v>1808</v>
      </c>
      <c r="AH133" t="s">
        <v>568</v>
      </c>
      <c r="AI133" t="s">
        <v>562</v>
      </c>
      <c r="AJ133" s="59">
        <v>45453</v>
      </c>
      <c r="AK133" t="s">
        <v>1809</v>
      </c>
      <c r="AM133" t="s">
        <v>1807</v>
      </c>
      <c r="AN133" t="s">
        <v>1810</v>
      </c>
      <c r="AO133" t="s">
        <v>1811</v>
      </c>
      <c r="AP133" s="59">
        <v>45454</v>
      </c>
      <c r="AQ133" t="s">
        <v>563</v>
      </c>
      <c r="AR133" t="s">
        <v>1811</v>
      </c>
      <c r="AS133" t="s">
        <v>560</v>
      </c>
      <c r="AT133" t="s">
        <v>1812</v>
      </c>
      <c r="AU133" t="s">
        <v>571</v>
      </c>
      <c r="AV133">
        <v>1150</v>
      </c>
      <c r="AW133">
        <v>1150</v>
      </c>
      <c r="AX133">
        <v>4150</v>
      </c>
      <c r="BA133">
        <v>3000</v>
      </c>
      <c r="BB133">
        <v>0</v>
      </c>
      <c r="BC133" t="s">
        <v>1813</v>
      </c>
      <c r="BD133" t="s">
        <v>570</v>
      </c>
      <c r="BE133" t="s">
        <v>2010</v>
      </c>
    </row>
    <row r="134" spans="1:57">
      <c r="A134" s="99" t="str">
        <v>SE303</v>
      </c>
      <c r="G134" s="97">
        <v>43840</v>
      </c>
      <c r="H134" s="97">
        <v>43840</v>
      </c>
      <c r="R134" s="117"/>
      <c r="U134" s="99" t="str">
        <v>투명</v>
      </c>
      <c r="V134" s="99">
        <v>2</v>
      </c>
      <c r="W134" s="109">
        <v>0</v>
      </c>
      <c r="AB134" t="s">
        <v>1814</v>
      </c>
      <c r="AC134" t="s">
        <v>1034</v>
      </c>
      <c r="AD134" t="s">
        <v>1815</v>
      </c>
      <c r="AE134">
        <v>2</v>
      </c>
      <c r="AF134" t="s">
        <v>564</v>
      </c>
      <c r="AG134" t="s">
        <v>1816</v>
      </c>
      <c r="AH134" t="s">
        <v>561</v>
      </c>
      <c r="AI134" t="s">
        <v>673</v>
      </c>
      <c r="AJ134" s="59">
        <v>45453</v>
      </c>
      <c r="AK134" t="s">
        <v>1817</v>
      </c>
      <c r="AL134" s="95" t="s">
        <v>1818</v>
      </c>
      <c r="AM134" t="s">
        <v>1814</v>
      </c>
      <c r="AN134" t="s">
        <v>1819</v>
      </c>
      <c r="AO134" t="s">
        <v>1820</v>
      </c>
      <c r="AP134" s="59">
        <v>45454</v>
      </c>
      <c r="AQ134" t="s">
        <v>563</v>
      </c>
      <c r="AR134" t="s">
        <v>1820</v>
      </c>
      <c r="AS134" t="s">
        <v>560</v>
      </c>
      <c r="AT134" t="s">
        <v>1821</v>
      </c>
      <c r="AU134" t="s">
        <v>560</v>
      </c>
      <c r="AV134">
        <v>43840</v>
      </c>
      <c r="AW134">
        <v>43840</v>
      </c>
      <c r="AX134">
        <v>43840</v>
      </c>
      <c r="AY134">
        <v>41638</v>
      </c>
      <c r="AZ134">
        <v>2202</v>
      </c>
      <c r="BA134">
        <v>0</v>
      </c>
      <c r="BB134">
        <v>0</v>
      </c>
      <c r="BC134" t="s">
        <v>1822</v>
      </c>
      <c r="BD134" t="s">
        <v>1045</v>
      </c>
      <c r="BE134" t="s">
        <v>2059</v>
      </c>
    </row>
    <row r="135" spans="1:57">
      <c r="A135" s="99" t="str">
        <v>SE205</v>
      </c>
      <c r="G135" s="97">
        <v>24000</v>
      </c>
      <c r="H135" s="97">
        <v>27000</v>
      </c>
      <c r="R135" s="117"/>
      <c r="U135" s="99" t="str">
        <v>투명</v>
      </c>
      <c r="V135" s="99">
        <v>1</v>
      </c>
      <c r="W135" s="109">
        <v>0</v>
      </c>
      <c r="AB135" t="s">
        <v>1823</v>
      </c>
      <c r="AC135" t="s">
        <v>1824</v>
      </c>
      <c r="AD135" t="s">
        <v>560</v>
      </c>
      <c r="AE135">
        <v>1</v>
      </c>
      <c r="AF135" t="s">
        <v>350</v>
      </c>
      <c r="AG135" t="s">
        <v>1825</v>
      </c>
      <c r="AH135" t="s">
        <v>561</v>
      </c>
      <c r="AI135" t="s">
        <v>673</v>
      </c>
      <c r="AJ135" s="59">
        <v>45453</v>
      </c>
      <c r="AK135" t="s">
        <v>1826</v>
      </c>
      <c r="AL135" s="95" t="s">
        <v>1827</v>
      </c>
      <c r="AM135" t="s">
        <v>1828</v>
      </c>
      <c r="AN135" t="s">
        <v>1829</v>
      </c>
      <c r="AO135" t="s">
        <v>1830</v>
      </c>
      <c r="AP135" s="59">
        <v>45454</v>
      </c>
      <c r="AQ135" t="s">
        <v>563</v>
      </c>
      <c r="AR135" t="s">
        <v>1830</v>
      </c>
      <c r="AS135" t="s">
        <v>560</v>
      </c>
      <c r="AT135" t="s">
        <v>1831</v>
      </c>
      <c r="AU135" t="s">
        <v>560</v>
      </c>
      <c r="AV135">
        <v>24000</v>
      </c>
      <c r="AW135">
        <v>24000</v>
      </c>
      <c r="AX135">
        <v>27000</v>
      </c>
      <c r="AY135">
        <v>22794</v>
      </c>
      <c r="AZ135">
        <v>1206</v>
      </c>
      <c r="BA135">
        <v>3000</v>
      </c>
      <c r="BB135">
        <v>0</v>
      </c>
      <c r="BC135" t="s">
        <v>1832</v>
      </c>
      <c r="BD135" t="s">
        <v>36</v>
      </c>
      <c r="BE135" t="s">
        <v>2060</v>
      </c>
    </row>
    <row r="136" spans="1:57">
      <c r="A136" s="99" t="str">
        <v>SE303</v>
      </c>
      <c r="G136" s="97">
        <v>21920</v>
      </c>
      <c r="H136" s="97">
        <v>24920</v>
      </c>
      <c r="R136" s="117"/>
      <c r="U136" s="99" t="str">
        <v>투명</v>
      </c>
      <c r="V136" s="99">
        <v>1</v>
      </c>
      <c r="W136" s="109">
        <v>0</v>
      </c>
      <c r="AB136" t="s">
        <v>1833</v>
      </c>
      <c r="AC136" t="s">
        <v>1034</v>
      </c>
      <c r="AD136" t="s">
        <v>1815</v>
      </c>
      <c r="AE136">
        <v>1</v>
      </c>
      <c r="AF136" t="s">
        <v>350</v>
      </c>
      <c r="AG136" t="s">
        <v>1834</v>
      </c>
      <c r="AH136" t="s">
        <v>561</v>
      </c>
      <c r="AI136" t="s">
        <v>673</v>
      </c>
      <c r="AJ136" s="59">
        <v>45453</v>
      </c>
      <c r="AK136" t="s">
        <v>1835</v>
      </c>
      <c r="AL136" s="95" t="s">
        <v>1836</v>
      </c>
      <c r="AM136" t="s">
        <v>1833</v>
      </c>
      <c r="AN136" t="s">
        <v>1837</v>
      </c>
      <c r="AO136" t="s">
        <v>1838</v>
      </c>
      <c r="AP136" s="59">
        <v>45454</v>
      </c>
      <c r="AQ136" t="s">
        <v>563</v>
      </c>
      <c r="AR136" t="s">
        <v>1838</v>
      </c>
      <c r="AS136" t="s">
        <v>560</v>
      </c>
      <c r="AT136" t="s">
        <v>1839</v>
      </c>
      <c r="AU136" t="s">
        <v>560</v>
      </c>
      <c r="AV136">
        <v>21920</v>
      </c>
      <c r="AW136">
        <v>21920</v>
      </c>
      <c r="AX136">
        <v>24920</v>
      </c>
      <c r="AY136">
        <v>20819</v>
      </c>
      <c r="AZ136">
        <v>1101</v>
      </c>
      <c r="BA136">
        <v>3000</v>
      </c>
      <c r="BB136">
        <v>0</v>
      </c>
      <c r="BC136" t="s">
        <v>1840</v>
      </c>
      <c r="BD136" t="s">
        <v>1045</v>
      </c>
      <c r="BE136" t="s">
        <v>2059</v>
      </c>
    </row>
    <row r="137" spans="1:57">
      <c r="A137" s="99" t="str">
        <v/>
      </c>
      <c r="G137" s="97">
        <v>0</v>
      </c>
      <c r="H137" s="97">
        <v>0</v>
      </c>
      <c r="R137" s="117"/>
      <c r="U137" s="99" t="str">
        <v>투명</v>
      </c>
      <c r="V137" s="99">
        <v>1</v>
      </c>
      <c r="W137" s="109" t="str">
        <v/>
      </c>
      <c r="AB137" t="s">
        <v>1841</v>
      </c>
      <c r="AC137" t="s">
        <v>919</v>
      </c>
      <c r="AD137" t="s">
        <v>560</v>
      </c>
      <c r="AE137">
        <v>1</v>
      </c>
      <c r="AF137" t="s">
        <v>564</v>
      </c>
      <c r="AG137" t="s">
        <v>1842</v>
      </c>
      <c r="AH137" t="s">
        <v>921</v>
      </c>
      <c r="AI137" t="s">
        <v>922</v>
      </c>
      <c r="AJ137" s="59">
        <v>45455</v>
      </c>
      <c r="AK137" t="s">
        <v>1843</v>
      </c>
      <c r="AM137" t="s">
        <v>560</v>
      </c>
      <c r="AN137" t="s">
        <v>560</v>
      </c>
      <c r="AO137" t="s">
        <v>560</v>
      </c>
      <c r="AP137" s="59">
        <v>45455</v>
      </c>
      <c r="AQ137" t="s">
        <v>563</v>
      </c>
      <c r="AR137" t="s">
        <v>1844</v>
      </c>
      <c r="AS137" t="s">
        <v>560</v>
      </c>
      <c r="AT137" t="s">
        <v>1845</v>
      </c>
      <c r="AU137" t="s">
        <v>560</v>
      </c>
      <c r="AV137">
        <v>0</v>
      </c>
      <c r="AW137">
        <v>0</v>
      </c>
      <c r="AX137">
        <v>0</v>
      </c>
      <c r="BA137">
        <v>0</v>
      </c>
      <c r="BB137">
        <v>0</v>
      </c>
      <c r="BD137" t="s">
        <v>560</v>
      </c>
      <c r="BE137" t="s">
        <v>1986</v>
      </c>
    </row>
    <row r="138" spans="1:57">
      <c r="A138" s="99" t="str">
        <v>SE204</v>
      </c>
      <c r="G138" s="97">
        <v>24570</v>
      </c>
      <c r="H138" s="97">
        <v>27570</v>
      </c>
      <c r="R138" s="117"/>
      <c r="U138" s="99" t="str">
        <v>투명</v>
      </c>
      <c r="V138" s="99">
        <v>1</v>
      </c>
      <c r="W138" s="109">
        <v>0</v>
      </c>
      <c r="AB138" t="s">
        <v>1846</v>
      </c>
      <c r="AC138" t="s">
        <v>1543</v>
      </c>
      <c r="AD138" t="s">
        <v>1544</v>
      </c>
      <c r="AE138">
        <v>1</v>
      </c>
      <c r="AF138" t="s">
        <v>567</v>
      </c>
      <c r="AG138" t="s">
        <v>1847</v>
      </c>
      <c r="AH138" t="s">
        <v>568</v>
      </c>
      <c r="AI138" t="s">
        <v>562</v>
      </c>
      <c r="AJ138" s="59">
        <v>45455</v>
      </c>
      <c r="AK138" t="s">
        <v>1848</v>
      </c>
      <c r="AM138" t="s">
        <v>1846</v>
      </c>
      <c r="AN138" t="s">
        <v>1849</v>
      </c>
      <c r="AO138" t="s">
        <v>1850</v>
      </c>
      <c r="AP138" s="59">
        <v>45455</v>
      </c>
      <c r="AQ138" t="s">
        <v>563</v>
      </c>
      <c r="AR138" t="s">
        <v>1850</v>
      </c>
      <c r="AS138" t="s">
        <v>560</v>
      </c>
      <c r="AT138" t="s">
        <v>1851</v>
      </c>
      <c r="AU138" t="s">
        <v>569</v>
      </c>
      <c r="AV138">
        <v>24570</v>
      </c>
      <c r="AW138">
        <v>24570</v>
      </c>
      <c r="AX138">
        <v>27570</v>
      </c>
      <c r="BA138">
        <v>3000</v>
      </c>
      <c r="BB138">
        <v>0</v>
      </c>
      <c r="BC138" t="s">
        <v>1852</v>
      </c>
      <c r="BD138" t="s">
        <v>570</v>
      </c>
      <c r="BE138" t="s">
        <v>2041</v>
      </c>
    </row>
    <row r="139" spans="1:57">
      <c r="A139" s="99" t="str">
        <v>SE303</v>
      </c>
      <c r="G139" s="97">
        <v>23020</v>
      </c>
      <c r="H139" s="97">
        <v>26020</v>
      </c>
      <c r="R139" s="117"/>
      <c r="U139" s="99" t="str">
        <v>투명</v>
      </c>
      <c r="V139" s="99">
        <v>1</v>
      </c>
      <c r="W139" s="109">
        <v>0</v>
      </c>
      <c r="AB139" t="s">
        <v>1853</v>
      </c>
      <c r="AC139" t="s">
        <v>703</v>
      </c>
      <c r="AD139" t="s">
        <v>704</v>
      </c>
      <c r="AE139">
        <v>1</v>
      </c>
      <c r="AF139" t="s">
        <v>567</v>
      </c>
      <c r="AG139" t="s">
        <v>1854</v>
      </c>
      <c r="AH139" t="s">
        <v>568</v>
      </c>
      <c r="AI139" t="s">
        <v>673</v>
      </c>
      <c r="AJ139" s="59">
        <v>45454</v>
      </c>
      <c r="AK139" t="s">
        <v>1855</v>
      </c>
      <c r="AM139" t="s">
        <v>1853</v>
      </c>
      <c r="AN139" t="s">
        <v>1856</v>
      </c>
      <c r="AO139" t="s">
        <v>1857</v>
      </c>
      <c r="AP139" s="59">
        <v>45455</v>
      </c>
      <c r="AQ139" t="s">
        <v>563</v>
      </c>
      <c r="AR139" t="s">
        <v>1857</v>
      </c>
      <c r="AS139" t="s">
        <v>560</v>
      </c>
      <c r="AT139" t="s">
        <v>1858</v>
      </c>
      <c r="AU139" t="s">
        <v>569</v>
      </c>
      <c r="AV139">
        <v>23020</v>
      </c>
      <c r="AW139">
        <v>23020</v>
      </c>
      <c r="AX139">
        <v>26020</v>
      </c>
      <c r="BA139">
        <v>3000</v>
      </c>
      <c r="BB139">
        <v>0</v>
      </c>
      <c r="BC139" t="s">
        <v>1859</v>
      </c>
      <c r="BD139" t="s">
        <v>560</v>
      </c>
      <c r="BE139" t="s">
        <v>2051</v>
      </c>
    </row>
    <row r="140" spans="1:57">
      <c r="A140" s="99" t="str">
        <v>SE307</v>
      </c>
      <c r="G140" s="97">
        <v>10690</v>
      </c>
      <c r="H140" s="97">
        <v>13690</v>
      </c>
      <c r="R140" s="117"/>
      <c r="U140" s="99" t="str">
        <v>투명</v>
      </c>
      <c r="V140" s="99">
        <v>1</v>
      </c>
      <c r="W140" s="109">
        <v>0</v>
      </c>
      <c r="AB140" t="s">
        <v>1860</v>
      </c>
      <c r="AC140" t="s">
        <v>954</v>
      </c>
      <c r="AD140" t="s">
        <v>560</v>
      </c>
      <c r="AE140">
        <v>1</v>
      </c>
      <c r="AF140" t="s">
        <v>567</v>
      </c>
      <c r="AG140" t="s">
        <v>1861</v>
      </c>
      <c r="AH140" t="s">
        <v>561</v>
      </c>
      <c r="AI140" t="s">
        <v>562</v>
      </c>
      <c r="AJ140" s="59">
        <v>45454</v>
      </c>
      <c r="AK140" t="s">
        <v>1862</v>
      </c>
      <c r="AL140" s="95" t="s">
        <v>1863</v>
      </c>
      <c r="AM140" t="s">
        <v>1860</v>
      </c>
      <c r="AN140" t="s">
        <v>1864</v>
      </c>
      <c r="AO140" t="s">
        <v>1865</v>
      </c>
      <c r="AP140" s="59">
        <v>45455</v>
      </c>
      <c r="AQ140" t="s">
        <v>563</v>
      </c>
      <c r="AR140" t="s">
        <v>1865</v>
      </c>
      <c r="AS140" t="s">
        <v>560</v>
      </c>
      <c r="AT140" t="s">
        <v>1866</v>
      </c>
      <c r="AU140" t="s">
        <v>1354</v>
      </c>
      <c r="AV140">
        <v>10690</v>
      </c>
      <c r="AW140">
        <v>11880</v>
      </c>
      <c r="AX140">
        <v>13690</v>
      </c>
      <c r="AY140">
        <v>10266</v>
      </c>
      <c r="AZ140">
        <v>424</v>
      </c>
      <c r="BA140">
        <v>3000</v>
      </c>
      <c r="BB140">
        <v>0</v>
      </c>
      <c r="BC140" t="s">
        <v>1867</v>
      </c>
      <c r="BD140" t="s">
        <v>18</v>
      </c>
      <c r="BE140" t="s">
        <v>1990</v>
      </c>
    </row>
    <row r="141" spans="1:57">
      <c r="A141" s="99" t="str">
        <v>SE13</v>
      </c>
      <c r="G141" s="97">
        <v>65500</v>
      </c>
      <c r="H141" s="97">
        <v>65500</v>
      </c>
      <c r="R141" s="117"/>
      <c r="U141" s="99" t="str">
        <v>검정</v>
      </c>
      <c r="V141" s="99">
        <v>50</v>
      </c>
      <c r="W141" s="109">
        <v>0</v>
      </c>
      <c r="AB141" t="s">
        <v>1868</v>
      </c>
      <c r="AC141" t="s">
        <v>1869</v>
      </c>
      <c r="AD141" t="s">
        <v>1358</v>
      </c>
      <c r="AE141">
        <v>50</v>
      </c>
      <c r="AF141" t="s">
        <v>973</v>
      </c>
      <c r="AG141" t="s">
        <v>1870</v>
      </c>
      <c r="AH141" t="s">
        <v>561</v>
      </c>
      <c r="AI141" t="s">
        <v>562</v>
      </c>
      <c r="AJ141" s="59">
        <v>45454</v>
      </c>
      <c r="AK141" t="s">
        <v>1871</v>
      </c>
      <c r="AL141" s="95" t="s">
        <v>1872</v>
      </c>
      <c r="AM141" t="s">
        <v>1868</v>
      </c>
      <c r="AN141" t="s">
        <v>1873</v>
      </c>
      <c r="AO141" t="s">
        <v>1874</v>
      </c>
      <c r="AP141" s="59">
        <v>45455</v>
      </c>
      <c r="AQ141" t="s">
        <v>563</v>
      </c>
      <c r="AR141" t="s">
        <v>1874</v>
      </c>
      <c r="AS141" t="s">
        <v>1875</v>
      </c>
      <c r="AT141" t="s">
        <v>1876</v>
      </c>
      <c r="AU141" t="s">
        <v>1261</v>
      </c>
      <c r="AV141">
        <v>65500</v>
      </c>
      <c r="AW141">
        <v>65500</v>
      </c>
      <c r="AX141">
        <v>65500</v>
      </c>
      <c r="AY141">
        <v>62894</v>
      </c>
      <c r="AZ141">
        <v>2606</v>
      </c>
      <c r="BA141">
        <v>0</v>
      </c>
      <c r="BB141">
        <v>0</v>
      </c>
      <c r="BC141" t="s">
        <v>1877</v>
      </c>
      <c r="BD141" t="s">
        <v>1878</v>
      </c>
      <c r="BE141" t="s">
        <v>2061</v>
      </c>
    </row>
    <row r="142" spans="1:57">
      <c r="A142" s="99" t="str">
        <v>SE307</v>
      </c>
      <c r="G142" s="97">
        <v>10560</v>
      </c>
      <c r="H142" s="97">
        <v>10560</v>
      </c>
      <c r="R142" s="117"/>
      <c r="U142" s="99" t="str">
        <v>투명</v>
      </c>
      <c r="V142" s="99">
        <v>1</v>
      </c>
      <c r="W142" s="109">
        <v>0</v>
      </c>
      <c r="AB142" t="s">
        <v>670</v>
      </c>
      <c r="AC142" t="s">
        <v>671</v>
      </c>
      <c r="AD142" t="s">
        <v>560</v>
      </c>
      <c r="AE142">
        <v>1</v>
      </c>
      <c r="AF142" t="s">
        <v>350</v>
      </c>
      <c r="AG142" t="s">
        <v>672</v>
      </c>
      <c r="AH142" t="s">
        <v>561</v>
      </c>
      <c r="AI142" t="s">
        <v>673</v>
      </c>
      <c r="AJ142" s="59">
        <v>45456</v>
      </c>
      <c r="AK142" t="s">
        <v>674</v>
      </c>
      <c r="AL142" s="95" t="s">
        <v>675</v>
      </c>
      <c r="AM142" t="s">
        <v>670</v>
      </c>
      <c r="AN142" t="s">
        <v>676</v>
      </c>
      <c r="AO142" t="s">
        <v>677</v>
      </c>
      <c r="AP142" s="59">
        <v>45456</v>
      </c>
      <c r="AQ142" t="s">
        <v>563</v>
      </c>
      <c r="AR142" t="s">
        <v>677</v>
      </c>
      <c r="AS142" t="s">
        <v>560</v>
      </c>
      <c r="AT142" t="s">
        <v>678</v>
      </c>
      <c r="AU142" t="s">
        <v>560</v>
      </c>
      <c r="AV142">
        <v>10560</v>
      </c>
      <c r="AW142">
        <v>10560</v>
      </c>
      <c r="AX142">
        <v>10560</v>
      </c>
      <c r="AY142">
        <v>10030</v>
      </c>
      <c r="AZ142">
        <v>530</v>
      </c>
      <c r="BA142">
        <v>3000</v>
      </c>
      <c r="BB142">
        <v>0</v>
      </c>
      <c r="BC142" t="s">
        <v>679</v>
      </c>
      <c r="BD142" t="s">
        <v>18</v>
      </c>
      <c r="BE142" t="s">
        <v>2031</v>
      </c>
    </row>
    <row r="143" spans="1:57">
      <c r="A143" s="99" t="str">
        <v>SE118</v>
      </c>
      <c r="G143" s="97">
        <v>3450</v>
      </c>
      <c r="H143" s="97">
        <v>6450</v>
      </c>
      <c r="R143" s="117"/>
      <c r="U143" s="99" t="str">
        <v>투명</v>
      </c>
      <c r="V143" s="99">
        <v>1</v>
      </c>
      <c r="W143" s="109">
        <v>0</v>
      </c>
      <c r="AB143" t="s">
        <v>670</v>
      </c>
      <c r="AC143" t="s">
        <v>680</v>
      </c>
      <c r="AD143" t="s">
        <v>681</v>
      </c>
      <c r="AE143">
        <v>1</v>
      </c>
      <c r="AF143" t="s">
        <v>350</v>
      </c>
      <c r="AG143" t="s">
        <v>672</v>
      </c>
      <c r="AH143" t="s">
        <v>561</v>
      </c>
      <c r="AI143" t="s">
        <v>673</v>
      </c>
      <c r="AJ143" s="59">
        <v>45456</v>
      </c>
      <c r="AK143" t="s">
        <v>674</v>
      </c>
      <c r="AL143" s="95" t="s">
        <v>682</v>
      </c>
      <c r="AM143" t="s">
        <v>670</v>
      </c>
      <c r="AN143" t="s">
        <v>676</v>
      </c>
      <c r="AO143" t="s">
        <v>677</v>
      </c>
      <c r="AP143" s="59">
        <v>45456</v>
      </c>
      <c r="AQ143" t="s">
        <v>563</v>
      </c>
      <c r="AR143" t="s">
        <v>677</v>
      </c>
      <c r="AS143" t="s">
        <v>560</v>
      </c>
      <c r="AT143" t="s">
        <v>678</v>
      </c>
      <c r="AU143" t="s">
        <v>560</v>
      </c>
      <c r="AV143">
        <v>3450</v>
      </c>
      <c r="AW143">
        <v>3450</v>
      </c>
      <c r="AX143">
        <v>6450</v>
      </c>
      <c r="AY143">
        <v>3277</v>
      </c>
      <c r="AZ143">
        <v>173</v>
      </c>
      <c r="BA143">
        <v>3000</v>
      </c>
      <c r="BB143">
        <v>0</v>
      </c>
      <c r="BC143" t="s">
        <v>679</v>
      </c>
      <c r="BD143" t="s">
        <v>473</v>
      </c>
      <c r="BE143" t="s">
        <v>2062</v>
      </c>
    </row>
    <row r="144" spans="1:57">
      <c r="A144" s="99" t="str">
        <v>SE206</v>
      </c>
      <c r="G144" s="97">
        <v>60480</v>
      </c>
      <c r="H144" s="97">
        <v>60480</v>
      </c>
      <c r="R144" s="117"/>
      <c r="U144" s="99" t="str">
        <v>투명</v>
      </c>
      <c r="V144" s="99">
        <v>2</v>
      </c>
      <c r="W144" s="109">
        <v>0</v>
      </c>
      <c r="AB144" t="s">
        <v>683</v>
      </c>
      <c r="AC144" t="s">
        <v>684</v>
      </c>
      <c r="AD144" t="s">
        <v>685</v>
      </c>
      <c r="AE144">
        <v>2</v>
      </c>
      <c r="AF144" t="s">
        <v>564</v>
      </c>
      <c r="AG144" t="s">
        <v>686</v>
      </c>
      <c r="AH144" t="s">
        <v>568</v>
      </c>
      <c r="AI144" t="s">
        <v>673</v>
      </c>
      <c r="AJ144" s="59">
        <v>45455</v>
      </c>
      <c r="AK144" t="s">
        <v>687</v>
      </c>
      <c r="AM144" t="s">
        <v>688</v>
      </c>
      <c r="AN144" t="s">
        <v>835</v>
      </c>
      <c r="AO144" t="s">
        <v>836</v>
      </c>
      <c r="AP144" s="59">
        <v>45456</v>
      </c>
      <c r="AQ144" t="s">
        <v>563</v>
      </c>
      <c r="AR144" t="s">
        <v>836</v>
      </c>
      <c r="AS144" t="s">
        <v>560</v>
      </c>
      <c r="AT144" t="s">
        <v>689</v>
      </c>
      <c r="AU144" t="s">
        <v>571</v>
      </c>
      <c r="AV144">
        <v>60480</v>
      </c>
      <c r="AW144">
        <v>60480</v>
      </c>
      <c r="AX144">
        <v>60480</v>
      </c>
      <c r="BA144">
        <v>0</v>
      </c>
      <c r="BB144">
        <v>0</v>
      </c>
      <c r="BC144" t="s">
        <v>690</v>
      </c>
      <c r="BD144" t="s">
        <v>560</v>
      </c>
      <c r="BE144" t="s">
        <v>1993</v>
      </c>
    </row>
    <row r="145" spans="1:57">
      <c r="A145" s="99" t="str">
        <v>SE101</v>
      </c>
      <c r="G145" s="97">
        <v>34000</v>
      </c>
      <c r="H145" s="97">
        <v>37000</v>
      </c>
      <c r="R145" s="117"/>
      <c r="U145" s="99" t="str">
        <v>투명</v>
      </c>
      <c r="V145" s="99">
        <v>1</v>
      </c>
      <c r="W145" s="109">
        <v>0</v>
      </c>
      <c r="AB145" t="s">
        <v>691</v>
      </c>
      <c r="AC145" t="s">
        <v>692</v>
      </c>
      <c r="AD145" t="s">
        <v>693</v>
      </c>
      <c r="AE145">
        <v>1</v>
      </c>
      <c r="AF145" t="s">
        <v>564</v>
      </c>
      <c r="AG145" t="s">
        <v>694</v>
      </c>
      <c r="AH145" t="s">
        <v>568</v>
      </c>
      <c r="AI145" t="s">
        <v>673</v>
      </c>
      <c r="AJ145" s="59">
        <v>45455</v>
      </c>
      <c r="AK145" t="s">
        <v>695</v>
      </c>
      <c r="AM145" t="s">
        <v>696</v>
      </c>
      <c r="AN145" t="s">
        <v>697</v>
      </c>
      <c r="AO145" t="s">
        <v>698</v>
      </c>
      <c r="AP145" s="59">
        <v>45456</v>
      </c>
      <c r="AQ145" t="s">
        <v>563</v>
      </c>
      <c r="AR145" t="s">
        <v>698</v>
      </c>
      <c r="AS145" t="s">
        <v>560</v>
      </c>
      <c r="AT145" t="s">
        <v>699</v>
      </c>
      <c r="AU145" t="s">
        <v>571</v>
      </c>
      <c r="AV145">
        <v>34000</v>
      </c>
      <c r="AW145">
        <v>34000</v>
      </c>
      <c r="AX145">
        <v>37000</v>
      </c>
      <c r="BA145">
        <v>3000</v>
      </c>
      <c r="BB145">
        <v>0</v>
      </c>
      <c r="BC145" t="s">
        <v>700</v>
      </c>
      <c r="BD145" t="s">
        <v>701</v>
      </c>
      <c r="BE145" t="s">
        <v>2063</v>
      </c>
    </row>
    <row r="146" spans="1:57">
      <c r="A146" s="99" t="str">
        <v>SE303</v>
      </c>
      <c r="G146" s="97">
        <v>23020</v>
      </c>
      <c r="H146" s="97">
        <v>26020</v>
      </c>
      <c r="R146" s="117"/>
      <c r="U146" s="99" t="str">
        <v>투명</v>
      </c>
      <c r="V146" s="99">
        <v>1</v>
      </c>
      <c r="W146" s="109">
        <v>0</v>
      </c>
      <c r="AB146" t="s">
        <v>702</v>
      </c>
      <c r="AC146" t="s">
        <v>703</v>
      </c>
      <c r="AD146" t="s">
        <v>704</v>
      </c>
      <c r="AE146">
        <v>1</v>
      </c>
      <c r="AF146" t="s">
        <v>567</v>
      </c>
      <c r="AG146" t="s">
        <v>705</v>
      </c>
      <c r="AH146" t="s">
        <v>568</v>
      </c>
      <c r="AI146" t="s">
        <v>673</v>
      </c>
      <c r="AJ146" s="59">
        <v>45456</v>
      </c>
      <c r="AK146" t="s">
        <v>706</v>
      </c>
      <c r="AM146" t="s">
        <v>702</v>
      </c>
      <c r="AN146" t="s">
        <v>707</v>
      </c>
      <c r="AO146" t="s">
        <v>708</v>
      </c>
      <c r="AP146" s="59">
        <v>45456</v>
      </c>
      <c r="AQ146" t="s">
        <v>563</v>
      </c>
      <c r="AR146" t="s">
        <v>708</v>
      </c>
      <c r="AS146" t="s">
        <v>560</v>
      </c>
      <c r="AT146" t="s">
        <v>709</v>
      </c>
      <c r="AU146" t="s">
        <v>569</v>
      </c>
      <c r="AV146">
        <v>23020</v>
      </c>
      <c r="AW146">
        <v>23020</v>
      </c>
      <c r="AX146">
        <v>26020</v>
      </c>
      <c r="BA146">
        <v>3000</v>
      </c>
      <c r="BB146">
        <v>0</v>
      </c>
      <c r="BC146" t="s">
        <v>710</v>
      </c>
      <c r="BD146" t="s">
        <v>560</v>
      </c>
      <c r="BE146" t="s">
        <v>2051</v>
      </c>
    </row>
    <row r="147" spans="1:57">
      <c r="A147" s="99" t="str">
        <v/>
      </c>
      <c r="G147" s="97">
        <v>0</v>
      </c>
      <c r="H147" s="97">
        <v>0</v>
      </c>
      <c r="R147" s="117"/>
      <c r="U147" s="99" t="str">
        <v>투명</v>
      </c>
      <c r="V147" s="99">
        <v>1</v>
      </c>
      <c r="W147" s="109" t="str">
        <v/>
      </c>
      <c r="AB147" t="s">
        <v>1879</v>
      </c>
      <c r="AC147" t="s">
        <v>1880</v>
      </c>
      <c r="AD147" t="s">
        <v>560</v>
      </c>
      <c r="AE147">
        <v>1</v>
      </c>
      <c r="AF147" t="s">
        <v>973</v>
      </c>
      <c r="AG147" t="s">
        <v>1881</v>
      </c>
      <c r="AH147" t="s">
        <v>921</v>
      </c>
      <c r="AI147" t="s">
        <v>922</v>
      </c>
      <c r="AJ147" s="59">
        <v>45456</v>
      </c>
      <c r="AK147" t="s">
        <v>1882</v>
      </c>
      <c r="AM147" t="s">
        <v>560</v>
      </c>
      <c r="AN147" t="s">
        <v>560</v>
      </c>
      <c r="AO147" t="s">
        <v>560</v>
      </c>
      <c r="AP147" s="59">
        <v>45456</v>
      </c>
      <c r="AQ147" t="s">
        <v>563</v>
      </c>
      <c r="AR147" t="s">
        <v>1883</v>
      </c>
      <c r="AS147" t="s">
        <v>560</v>
      </c>
      <c r="AT147" t="s">
        <v>1884</v>
      </c>
      <c r="AU147" t="s">
        <v>560</v>
      </c>
      <c r="AV147">
        <v>0</v>
      </c>
      <c r="AW147">
        <v>0</v>
      </c>
      <c r="AX147">
        <v>0</v>
      </c>
      <c r="BA147">
        <v>0</v>
      </c>
      <c r="BB147">
        <v>0</v>
      </c>
      <c r="BD147" t="s">
        <v>560</v>
      </c>
      <c r="BE147" t="s">
        <v>2064</v>
      </c>
    </row>
    <row r="148" spans="1:57">
      <c r="A148" s="99" t="str">
        <v>SE101</v>
      </c>
      <c r="G148" s="97">
        <v>940</v>
      </c>
      <c r="H148" s="97">
        <v>3940</v>
      </c>
      <c r="R148" s="117"/>
      <c r="U148" s="99" t="str">
        <v>투명</v>
      </c>
      <c r="V148" s="99">
        <v>1</v>
      </c>
      <c r="W148" s="109">
        <v>0</v>
      </c>
      <c r="AB148" t="s">
        <v>711</v>
      </c>
      <c r="AC148" t="s">
        <v>565</v>
      </c>
      <c r="AD148" t="s">
        <v>566</v>
      </c>
      <c r="AE148">
        <v>1</v>
      </c>
      <c r="AF148" t="s">
        <v>567</v>
      </c>
      <c r="AG148" t="s">
        <v>712</v>
      </c>
      <c r="AH148" t="s">
        <v>568</v>
      </c>
      <c r="AI148" t="s">
        <v>562</v>
      </c>
      <c r="AJ148" s="59">
        <v>45455</v>
      </c>
      <c r="AK148" t="s">
        <v>713</v>
      </c>
      <c r="AM148" t="s">
        <v>711</v>
      </c>
      <c r="AN148" t="s">
        <v>714</v>
      </c>
      <c r="AO148" t="s">
        <v>715</v>
      </c>
      <c r="AP148" s="59">
        <v>45456</v>
      </c>
      <c r="AQ148" t="s">
        <v>563</v>
      </c>
      <c r="AR148" t="s">
        <v>715</v>
      </c>
      <c r="AS148" t="s">
        <v>560</v>
      </c>
      <c r="AT148" t="s">
        <v>716</v>
      </c>
      <c r="AU148" t="s">
        <v>571</v>
      </c>
      <c r="AV148">
        <v>940</v>
      </c>
      <c r="AW148">
        <v>940</v>
      </c>
      <c r="AX148">
        <v>3940</v>
      </c>
      <c r="BA148">
        <v>3000</v>
      </c>
      <c r="BB148">
        <v>0</v>
      </c>
      <c r="BC148" t="s">
        <v>717</v>
      </c>
      <c r="BD148" t="s">
        <v>570</v>
      </c>
      <c r="BE148" t="s">
        <v>2011</v>
      </c>
    </row>
    <row r="149" spans="1:57">
      <c r="A149" s="99" t="str">
        <v>SE102</v>
      </c>
      <c r="G149" s="97">
        <v>23000</v>
      </c>
      <c r="H149" s="97">
        <v>26000</v>
      </c>
      <c r="R149" s="117"/>
      <c r="U149" s="99" t="str">
        <v>투명</v>
      </c>
      <c r="V149" s="99">
        <v>20</v>
      </c>
      <c r="W149" s="109">
        <v>0</v>
      </c>
      <c r="AB149" t="s">
        <v>718</v>
      </c>
      <c r="AC149" t="s">
        <v>719</v>
      </c>
      <c r="AD149" t="s">
        <v>566</v>
      </c>
      <c r="AE149">
        <v>20</v>
      </c>
      <c r="AF149" t="s">
        <v>350</v>
      </c>
      <c r="AG149" t="s">
        <v>720</v>
      </c>
      <c r="AH149" t="s">
        <v>568</v>
      </c>
      <c r="AI149" t="s">
        <v>562</v>
      </c>
      <c r="AJ149" s="59">
        <v>45455</v>
      </c>
      <c r="AK149" t="s">
        <v>721</v>
      </c>
      <c r="AM149" t="s">
        <v>718</v>
      </c>
      <c r="AN149" t="s">
        <v>722</v>
      </c>
      <c r="AO149" t="s">
        <v>723</v>
      </c>
      <c r="AP149" s="59">
        <v>45456</v>
      </c>
      <c r="AQ149" t="s">
        <v>563</v>
      </c>
      <c r="AR149" t="s">
        <v>723</v>
      </c>
      <c r="AS149" t="s">
        <v>560</v>
      </c>
      <c r="AT149" t="s">
        <v>724</v>
      </c>
      <c r="AU149" t="s">
        <v>569</v>
      </c>
      <c r="AV149">
        <v>23000</v>
      </c>
      <c r="AW149">
        <v>23000</v>
      </c>
      <c r="AX149">
        <v>26000</v>
      </c>
      <c r="BA149">
        <v>3000</v>
      </c>
      <c r="BB149">
        <v>0</v>
      </c>
      <c r="BC149" t="s">
        <v>725</v>
      </c>
      <c r="BD149" t="s">
        <v>570</v>
      </c>
      <c r="BE149" t="s">
        <v>2010</v>
      </c>
    </row>
    <row r="150" spans="1:57">
      <c r="A150" s="99" t="str">
        <v>SE138</v>
      </c>
      <c r="G150" s="97">
        <v>13400</v>
      </c>
      <c r="H150" s="97">
        <v>13400</v>
      </c>
      <c r="R150" s="117"/>
      <c r="U150" s="99" t="str">
        <v>투명</v>
      </c>
      <c r="V150" s="99">
        <v>5</v>
      </c>
      <c r="W150" s="109">
        <v>0</v>
      </c>
      <c r="AB150" t="s">
        <v>726</v>
      </c>
      <c r="AC150" t="s">
        <v>727</v>
      </c>
      <c r="AD150" t="s">
        <v>728</v>
      </c>
      <c r="AE150">
        <v>5</v>
      </c>
      <c r="AF150" t="s">
        <v>567</v>
      </c>
      <c r="AG150" t="s">
        <v>729</v>
      </c>
      <c r="AH150" t="s">
        <v>568</v>
      </c>
      <c r="AI150" t="s">
        <v>562</v>
      </c>
      <c r="AJ150" s="59">
        <v>45455</v>
      </c>
      <c r="AK150" t="s">
        <v>730</v>
      </c>
      <c r="AM150" t="s">
        <v>731</v>
      </c>
      <c r="AN150" t="s">
        <v>732</v>
      </c>
      <c r="AO150" t="s">
        <v>733</v>
      </c>
      <c r="AP150" s="59">
        <v>45456</v>
      </c>
      <c r="AQ150" t="s">
        <v>563</v>
      </c>
      <c r="AR150" t="s">
        <v>733</v>
      </c>
      <c r="AS150" t="s">
        <v>560</v>
      </c>
      <c r="AT150" t="s">
        <v>734</v>
      </c>
      <c r="AU150" t="s">
        <v>569</v>
      </c>
      <c r="AV150">
        <v>13400</v>
      </c>
      <c r="AW150">
        <v>13400</v>
      </c>
      <c r="AX150">
        <v>13400</v>
      </c>
      <c r="BA150">
        <v>0</v>
      </c>
      <c r="BB150">
        <v>0</v>
      </c>
      <c r="BC150" t="s">
        <v>735</v>
      </c>
      <c r="BD150" t="s">
        <v>570</v>
      </c>
      <c r="BE150" t="s">
        <v>1998</v>
      </c>
    </row>
    <row r="151" spans="1:57">
      <c r="A151" s="99" t="str">
        <v>SE206</v>
      </c>
      <c r="G151" s="97">
        <v>34020</v>
      </c>
      <c r="H151" s="97">
        <v>37020</v>
      </c>
      <c r="R151" s="117"/>
      <c r="U151" s="99" t="str">
        <v>투명</v>
      </c>
      <c r="V151" s="99">
        <v>1</v>
      </c>
      <c r="W151" s="109">
        <v>0</v>
      </c>
      <c r="AB151" t="s">
        <v>736</v>
      </c>
      <c r="AC151" t="s">
        <v>737</v>
      </c>
      <c r="AD151" t="s">
        <v>738</v>
      </c>
      <c r="AE151">
        <v>1</v>
      </c>
      <c r="AF151" t="s">
        <v>350</v>
      </c>
      <c r="AG151" t="s">
        <v>739</v>
      </c>
      <c r="AH151" t="s">
        <v>568</v>
      </c>
      <c r="AI151" t="s">
        <v>562</v>
      </c>
      <c r="AJ151" s="59">
        <v>45455</v>
      </c>
      <c r="AK151" t="s">
        <v>740</v>
      </c>
      <c r="AM151" t="s">
        <v>736</v>
      </c>
      <c r="AN151" t="s">
        <v>741</v>
      </c>
      <c r="AO151" t="s">
        <v>742</v>
      </c>
      <c r="AP151" s="59">
        <v>45456</v>
      </c>
      <c r="AQ151" t="s">
        <v>563</v>
      </c>
      <c r="AR151" t="s">
        <v>742</v>
      </c>
      <c r="AS151" t="s">
        <v>560</v>
      </c>
      <c r="AT151" t="s">
        <v>743</v>
      </c>
      <c r="AU151" t="s">
        <v>569</v>
      </c>
      <c r="AV151">
        <v>34020</v>
      </c>
      <c r="AW151">
        <v>34020</v>
      </c>
      <c r="AX151">
        <v>37020</v>
      </c>
      <c r="BA151">
        <v>3000</v>
      </c>
      <c r="BB151">
        <v>0</v>
      </c>
      <c r="BC151" t="s">
        <v>744</v>
      </c>
      <c r="BD151" t="s">
        <v>570</v>
      </c>
      <c r="BE151" t="s">
        <v>1996</v>
      </c>
    </row>
    <row r="152" spans="1:57">
      <c r="A152" s="99" t="str">
        <v>SE116</v>
      </c>
      <c r="G152" s="97">
        <v>14440</v>
      </c>
      <c r="H152" s="97">
        <v>17440</v>
      </c>
      <c r="R152" s="117"/>
      <c r="U152" s="99" t="str">
        <v>투명</v>
      </c>
      <c r="V152" s="99">
        <v>2</v>
      </c>
      <c r="W152" s="109">
        <v>0</v>
      </c>
      <c r="AB152" t="s">
        <v>745</v>
      </c>
      <c r="AC152" t="s">
        <v>746</v>
      </c>
      <c r="AD152" t="s">
        <v>747</v>
      </c>
      <c r="AE152">
        <v>2</v>
      </c>
      <c r="AF152" t="s">
        <v>567</v>
      </c>
      <c r="AG152" t="s">
        <v>748</v>
      </c>
      <c r="AH152" t="s">
        <v>568</v>
      </c>
      <c r="AI152" t="s">
        <v>562</v>
      </c>
      <c r="AJ152" s="59">
        <v>45455</v>
      </c>
      <c r="AK152" t="s">
        <v>749</v>
      </c>
      <c r="AM152" t="s">
        <v>745</v>
      </c>
      <c r="AN152" t="s">
        <v>750</v>
      </c>
      <c r="AO152" t="s">
        <v>751</v>
      </c>
      <c r="AP152" s="59">
        <v>45456</v>
      </c>
      <c r="AQ152" t="s">
        <v>563</v>
      </c>
      <c r="AR152" t="s">
        <v>751</v>
      </c>
      <c r="AS152" t="s">
        <v>560</v>
      </c>
      <c r="AT152" t="s">
        <v>752</v>
      </c>
      <c r="AU152" t="s">
        <v>569</v>
      </c>
      <c r="AV152">
        <v>14440</v>
      </c>
      <c r="AW152">
        <v>14440</v>
      </c>
      <c r="AX152">
        <v>17440</v>
      </c>
      <c r="BA152">
        <v>3000</v>
      </c>
      <c r="BB152">
        <v>0</v>
      </c>
      <c r="BC152" t="s">
        <v>753</v>
      </c>
      <c r="BD152" t="s">
        <v>570</v>
      </c>
      <c r="BE152" t="s">
        <v>2065</v>
      </c>
    </row>
    <row r="153" spans="1:57">
      <c r="A153" s="99" t="str">
        <v>SE206</v>
      </c>
      <c r="G153" s="97">
        <v>34020</v>
      </c>
      <c r="H153" s="97">
        <v>37020</v>
      </c>
      <c r="R153" s="117"/>
      <c r="U153" s="99" t="str">
        <v>투명</v>
      </c>
      <c r="V153" s="99">
        <v>1</v>
      </c>
      <c r="W153" s="109">
        <v>0</v>
      </c>
      <c r="AB153" t="s">
        <v>754</v>
      </c>
      <c r="AC153" t="s">
        <v>737</v>
      </c>
      <c r="AD153" t="s">
        <v>738</v>
      </c>
      <c r="AE153">
        <v>1</v>
      </c>
      <c r="AF153" t="s">
        <v>350</v>
      </c>
      <c r="AG153" t="s">
        <v>755</v>
      </c>
      <c r="AH153" t="s">
        <v>568</v>
      </c>
      <c r="AI153" t="s">
        <v>562</v>
      </c>
      <c r="AJ153" s="59">
        <v>45455</v>
      </c>
      <c r="AK153" t="s">
        <v>756</v>
      </c>
      <c r="AM153" t="s">
        <v>754</v>
      </c>
      <c r="AN153" t="s">
        <v>757</v>
      </c>
      <c r="AO153" t="s">
        <v>758</v>
      </c>
      <c r="AP153" s="59">
        <v>45456</v>
      </c>
      <c r="AQ153" t="s">
        <v>563</v>
      </c>
      <c r="AR153" t="s">
        <v>758</v>
      </c>
      <c r="AS153" t="s">
        <v>560</v>
      </c>
      <c r="AT153" t="s">
        <v>759</v>
      </c>
      <c r="AU153" t="s">
        <v>571</v>
      </c>
      <c r="AV153">
        <v>34020</v>
      </c>
      <c r="AW153">
        <v>34020</v>
      </c>
      <c r="AX153">
        <v>37020</v>
      </c>
      <c r="BA153">
        <v>3000</v>
      </c>
      <c r="BB153">
        <v>0</v>
      </c>
      <c r="BC153" t="s">
        <v>760</v>
      </c>
      <c r="BD153" t="s">
        <v>570</v>
      </c>
      <c r="BE153" t="s">
        <v>1996</v>
      </c>
    </row>
    <row r="154" spans="1:57">
      <c r="A154" s="99" t="str">
        <v>SE101</v>
      </c>
      <c r="G154" s="97">
        <v>940</v>
      </c>
      <c r="H154" s="97">
        <v>3940</v>
      </c>
      <c r="R154" s="117"/>
      <c r="U154" s="99" t="str">
        <v>투명</v>
      </c>
      <c r="V154" s="99">
        <v>1</v>
      </c>
      <c r="W154" s="109">
        <v>0</v>
      </c>
      <c r="AB154" t="s">
        <v>761</v>
      </c>
      <c r="AC154" t="s">
        <v>565</v>
      </c>
      <c r="AD154" t="s">
        <v>566</v>
      </c>
      <c r="AE154">
        <v>1</v>
      </c>
      <c r="AF154" t="s">
        <v>567</v>
      </c>
      <c r="AG154" t="s">
        <v>762</v>
      </c>
      <c r="AH154" t="s">
        <v>568</v>
      </c>
      <c r="AI154" t="s">
        <v>562</v>
      </c>
      <c r="AJ154" s="59">
        <v>45455</v>
      </c>
      <c r="AK154" t="s">
        <v>763</v>
      </c>
      <c r="AM154" t="s">
        <v>761</v>
      </c>
      <c r="AN154" t="s">
        <v>764</v>
      </c>
      <c r="AO154" t="s">
        <v>765</v>
      </c>
      <c r="AP154" s="59">
        <v>45456</v>
      </c>
      <c r="AQ154" t="s">
        <v>563</v>
      </c>
      <c r="AR154" t="s">
        <v>765</v>
      </c>
      <c r="AS154" t="s">
        <v>560</v>
      </c>
      <c r="AT154" t="s">
        <v>766</v>
      </c>
      <c r="AU154" t="s">
        <v>571</v>
      </c>
      <c r="AV154">
        <v>940</v>
      </c>
      <c r="AW154">
        <v>940</v>
      </c>
      <c r="AX154">
        <v>3940</v>
      </c>
      <c r="BA154">
        <v>3000</v>
      </c>
      <c r="BB154">
        <v>0</v>
      </c>
      <c r="BC154" t="s">
        <v>767</v>
      </c>
      <c r="BD154" t="s">
        <v>570</v>
      </c>
      <c r="BE154" t="s">
        <v>2011</v>
      </c>
    </row>
    <row r="155" spans="1:57">
      <c r="A155" s="99" t="str">
        <v>SE103</v>
      </c>
      <c r="G155" s="97">
        <v>1690</v>
      </c>
      <c r="H155" s="97">
        <v>1690</v>
      </c>
      <c r="R155" s="117"/>
      <c r="U155" s="99" t="str">
        <v>투명</v>
      </c>
      <c r="V155" s="99">
        <v>1</v>
      </c>
      <c r="W155" s="109">
        <v>0</v>
      </c>
      <c r="AB155" t="s">
        <v>761</v>
      </c>
      <c r="AC155" t="s">
        <v>768</v>
      </c>
      <c r="AD155" t="s">
        <v>566</v>
      </c>
      <c r="AE155">
        <v>1</v>
      </c>
      <c r="AF155" t="s">
        <v>567</v>
      </c>
      <c r="AG155" t="s">
        <v>762</v>
      </c>
      <c r="AH155" t="s">
        <v>568</v>
      </c>
      <c r="AI155" t="s">
        <v>562</v>
      </c>
      <c r="AJ155" s="59">
        <v>45455</v>
      </c>
      <c r="AK155" t="s">
        <v>763</v>
      </c>
      <c r="AM155" t="s">
        <v>761</v>
      </c>
      <c r="AN155" t="s">
        <v>764</v>
      </c>
      <c r="AO155" t="s">
        <v>765</v>
      </c>
      <c r="AP155" s="59">
        <v>45456</v>
      </c>
      <c r="AQ155" t="s">
        <v>563</v>
      </c>
      <c r="AR155" t="s">
        <v>765</v>
      </c>
      <c r="AS155" t="s">
        <v>560</v>
      </c>
      <c r="AT155" t="s">
        <v>766</v>
      </c>
      <c r="AU155" t="s">
        <v>571</v>
      </c>
      <c r="AV155">
        <v>1690</v>
      </c>
      <c r="AW155">
        <v>1880</v>
      </c>
      <c r="AX155">
        <v>1690</v>
      </c>
      <c r="BA155">
        <v>3000</v>
      </c>
      <c r="BB155">
        <v>0</v>
      </c>
      <c r="BC155" t="s">
        <v>767</v>
      </c>
      <c r="BD155" t="s">
        <v>570</v>
      </c>
      <c r="BE155" t="s">
        <v>2066</v>
      </c>
    </row>
    <row r="156" spans="1:57">
      <c r="A156" s="99" t="str">
        <v>SE105</v>
      </c>
      <c r="G156" s="97">
        <v>2440</v>
      </c>
      <c r="H156" s="97">
        <v>2440</v>
      </c>
      <c r="R156" s="117"/>
      <c r="U156" s="99" t="str">
        <v>투명</v>
      </c>
      <c r="V156" s="99">
        <v>1</v>
      </c>
      <c r="W156" s="109">
        <v>0</v>
      </c>
      <c r="AB156" t="s">
        <v>761</v>
      </c>
      <c r="AC156" t="s">
        <v>769</v>
      </c>
      <c r="AD156" t="s">
        <v>566</v>
      </c>
      <c r="AE156">
        <v>1</v>
      </c>
      <c r="AF156" t="s">
        <v>567</v>
      </c>
      <c r="AG156" t="s">
        <v>762</v>
      </c>
      <c r="AH156" t="s">
        <v>568</v>
      </c>
      <c r="AI156" t="s">
        <v>562</v>
      </c>
      <c r="AJ156" s="59">
        <v>45455</v>
      </c>
      <c r="AK156" t="s">
        <v>763</v>
      </c>
      <c r="AM156" t="s">
        <v>761</v>
      </c>
      <c r="AN156" t="s">
        <v>764</v>
      </c>
      <c r="AO156" t="s">
        <v>765</v>
      </c>
      <c r="AP156" s="59">
        <v>45456</v>
      </c>
      <c r="AQ156" t="s">
        <v>563</v>
      </c>
      <c r="AR156" t="s">
        <v>765</v>
      </c>
      <c r="AS156" t="s">
        <v>560</v>
      </c>
      <c r="AT156" t="s">
        <v>766</v>
      </c>
      <c r="AU156" t="s">
        <v>571</v>
      </c>
      <c r="AV156">
        <v>2440</v>
      </c>
      <c r="AW156">
        <v>2880</v>
      </c>
      <c r="AX156">
        <v>2440</v>
      </c>
      <c r="BA156">
        <v>3000</v>
      </c>
      <c r="BB156">
        <v>0</v>
      </c>
      <c r="BC156" t="s">
        <v>767</v>
      </c>
      <c r="BD156" t="s">
        <v>570</v>
      </c>
      <c r="BE156" t="s">
        <v>1997</v>
      </c>
    </row>
    <row r="157" spans="1:57">
      <c r="A157" s="99" t="str">
        <v>SE102</v>
      </c>
      <c r="G157" s="97">
        <v>1150</v>
      </c>
      <c r="H157" s="97">
        <v>1150</v>
      </c>
      <c r="R157" s="117"/>
      <c r="U157" s="99" t="str">
        <v>투명</v>
      </c>
      <c r="V157" s="99">
        <v>1</v>
      </c>
      <c r="W157" s="109">
        <v>0</v>
      </c>
      <c r="AB157" t="s">
        <v>761</v>
      </c>
      <c r="AC157" t="s">
        <v>719</v>
      </c>
      <c r="AD157" t="s">
        <v>566</v>
      </c>
      <c r="AE157">
        <v>1</v>
      </c>
      <c r="AF157" t="s">
        <v>567</v>
      </c>
      <c r="AG157" t="s">
        <v>762</v>
      </c>
      <c r="AH157" t="s">
        <v>568</v>
      </c>
      <c r="AI157" t="s">
        <v>562</v>
      </c>
      <c r="AJ157" s="59">
        <v>45455</v>
      </c>
      <c r="AK157" t="s">
        <v>763</v>
      </c>
      <c r="AM157" t="s">
        <v>761</v>
      </c>
      <c r="AN157" t="s">
        <v>764</v>
      </c>
      <c r="AO157" t="s">
        <v>765</v>
      </c>
      <c r="AP157" s="59">
        <v>45456</v>
      </c>
      <c r="AQ157" t="s">
        <v>563</v>
      </c>
      <c r="AR157" t="s">
        <v>765</v>
      </c>
      <c r="AS157" t="s">
        <v>560</v>
      </c>
      <c r="AT157" t="s">
        <v>766</v>
      </c>
      <c r="AU157" t="s">
        <v>571</v>
      </c>
      <c r="AV157">
        <v>1150</v>
      </c>
      <c r="AW157">
        <v>1150</v>
      </c>
      <c r="AX157">
        <v>1150</v>
      </c>
      <c r="BA157">
        <v>3000</v>
      </c>
      <c r="BB157">
        <v>0</v>
      </c>
      <c r="BC157" t="s">
        <v>767</v>
      </c>
      <c r="BD157" t="s">
        <v>570</v>
      </c>
      <c r="BE157" t="s">
        <v>2010</v>
      </c>
    </row>
    <row r="158" spans="1:57">
      <c r="A158" s="99" t="str">
        <v>SE104</v>
      </c>
      <c r="G158" s="97">
        <v>2570</v>
      </c>
      <c r="H158" s="97">
        <v>2570</v>
      </c>
      <c r="R158" s="117"/>
      <c r="U158" s="99" t="str">
        <v>투명</v>
      </c>
      <c r="V158" s="99">
        <v>1</v>
      </c>
      <c r="W158" s="109">
        <v>0</v>
      </c>
      <c r="AB158" t="s">
        <v>761</v>
      </c>
      <c r="AC158" t="s">
        <v>770</v>
      </c>
      <c r="AD158" t="s">
        <v>566</v>
      </c>
      <c r="AE158">
        <v>1</v>
      </c>
      <c r="AF158" t="s">
        <v>567</v>
      </c>
      <c r="AG158" t="s">
        <v>762</v>
      </c>
      <c r="AH158" t="s">
        <v>568</v>
      </c>
      <c r="AI158" t="s">
        <v>562</v>
      </c>
      <c r="AJ158" s="59">
        <v>45455</v>
      </c>
      <c r="AK158" t="s">
        <v>763</v>
      </c>
      <c r="AM158" t="s">
        <v>761</v>
      </c>
      <c r="AN158" t="s">
        <v>764</v>
      </c>
      <c r="AO158" t="s">
        <v>765</v>
      </c>
      <c r="AP158" s="59">
        <v>45456</v>
      </c>
      <c r="AQ158" t="s">
        <v>563</v>
      </c>
      <c r="AR158" t="s">
        <v>765</v>
      </c>
      <c r="AS158" t="s">
        <v>560</v>
      </c>
      <c r="AT158" t="s">
        <v>766</v>
      </c>
      <c r="AU158" t="s">
        <v>571</v>
      </c>
      <c r="AV158">
        <v>2570</v>
      </c>
      <c r="AW158">
        <v>2710</v>
      </c>
      <c r="AX158">
        <v>2570</v>
      </c>
      <c r="BA158">
        <v>3000</v>
      </c>
      <c r="BB158">
        <v>0</v>
      </c>
      <c r="BC158" t="s">
        <v>767</v>
      </c>
      <c r="BD158" t="s">
        <v>570</v>
      </c>
      <c r="BE158" t="s">
        <v>2067</v>
      </c>
    </row>
    <row r="159" spans="1:57">
      <c r="A159" s="99" t="str">
        <v>SE101</v>
      </c>
      <c r="G159" s="97">
        <v>9400</v>
      </c>
      <c r="H159" s="97">
        <v>12400</v>
      </c>
      <c r="R159" s="117"/>
      <c r="U159" s="99" t="str">
        <v>투명</v>
      </c>
      <c r="V159" s="99">
        <v>10</v>
      </c>
      <c r="W159" s="109">
        <v>0</v>
      </c>
      <c r="AB159" t="s">
        <v>771</v>
      </c>
      <c r="AC159" t="s">
        <v>565</v>
      </c>
      <c r="AD159" t="s">
        <v>566</v>
      </c>
      <c r="AE159">
        <v>10</v>
      </c>
      <c r="AF159" t="s">
        <v>567</v>
      </c>
      <c r="AG159" t="s">
        <v>772</v>
      </c>
      <c r="AH159" t="s">
        <v>568</v>
      </c>
      <c r="AI159" t="s">
        <v>562</v>
      </c>
      <c r="AJ159" s="59">
        <v>45455</v>
      </c>
      <c r="AK159" t="s">
        <v>773</v>
      </c>
      <c r="AM159" t="s">
        <v>771</v>
      </c>
      <c r="AN159" t="s">
        <v>774</v>
      </c>
      <c r="AO159" t="s">
        <v>775</v>
      </c>
      <c r="AP159" s="59">
        <v>45456</v>
      </c>
      <c r="AQ159" t="s">
        <v>563</v>
      </c>
      <c r="AR159" t="s">
        <v>775</v>
      </c>
      <c r="AS159" t="s">
        <v>560</v>
      </c>
      <c r="AT159" t="s">
        <v>776</v>
      </c>
      <c r="AU159" t="s">
        <v>569</v>
      </c>
      <c r="AV159">
        <v>9400</v>
      </c>
      <c r="AW159">
        <v>9400</v>
      </c>
      <c r="AX159">
        <v>12400</v>
      </c>
      <c r="BA159">
        <v>3000</v>
      </c>
      <c r="BB159">
        <v>0</v>
      </c>
      <c r="BC159" t="s">
        <v>777</v>
      </c>
      <c r="BD159" t="s">
        <v>570</v>
      </c>
      <c r="BE159" t="s">
        <v>2011</v>
      </c>
    </row>
    <row r="160" spans="1:57">
      <c r="A160" s="99" t="str">
        <v>SE105</v>
      </c>
      <c r="G160" s="97">
        <v>8340</v>
      </c>
      <c r="H160" s="97">
        <v>11340</v>
      </c>
      <c r="R160" s="117"/>
      <c r="U160" s="99" t="str">
        <v>투명</v>
      </c>
      <c r="V160" s="99">
        <v>3</v>
      </c>
      <c r="W160" s="109">
        <v>0</v>
      </c>
      <c r="AB160" t="s">
        <v>778</v>
      </c>
      <c r="AC160" t="s">
        <v>779</v>
      </c>
      <c r="AD160" t="s">
        <v>560</v>
      </c>
      <c r="AE160">
        <v>3</v>
      </c>
      <c r="AF160" t="s">
        <v>567</v>
      </c>
      <c r="AG160" t="s">
        <v>780</v>
      </c>
      <c r="AH160" t="s">
        <v>561</v>
      </c>
      <c r="AI160" t="s">
        <v>562</v>
      </c>
      <c r="AJ160" s="59">
        <v>45455</v>
      </c>
      <c r="AK160" t="s">
        <v>781</v>
      </c>
      <c r="AL160" s="95" t="s">
        <v>782</v>
      </c>
      <c r="AM160" t="s">
        <v>778</v>
      </c>
      <c r="AN160" t="s">
        <v>783</v>
      </c>
      <c r="AO160" t="s">
        <v>784</v>
      </c>
      <c r="AP160" s="59">
        <v>45456</v>
      </c>
      <c r="AQ160" t="s">
        <v>563</v>
      </c>
      <c r="AR160" t="s">
        <v>784</v>
      </c>
      <c r="AS160" t="s">
        <v>785</v>
      </c>
      <c r="AT160" t="s">
        <v>786</v>
      </c>
      <c r="AU160" t="s">
        <v>560</v>
      </c>
      <c r="AV160">
        <v>8340</v>
      </c>
      <c r="AW160">
        <v>8340</v>
      </c>
      <c r="AX160">
        <v>11340</v>
      </c>
      <c r="AY160">
        <v>8175</v>
      </c>
      <c r="AZ160">
        <v>165</v>
      </c>
      <c r="BA160">
        <v>3000</v>
      </c>
      <c r="BB160">
        <v>0</v>
      </c>
      <c r="BC160" t="s">
        <v>787</v>
      </c>
      <c r="BD160" t="s">
        <v>788</v>
      </c>
      <c r="BE160" t="s">
        <v>2015</v>
      </c>
    </row>
    <row r="161" spans="1:57">
      <c r="A161" s="99" t="str">
        <v>SE304</v>
      </c>
      <c r="G161" s="97">
        <v>41310</v>
      </c>
      <c r="H161" s="97">
        <v>41310</v>
      </c>
      <c r="R161" s="117"/>
      <c r="U161" s="99" t="str">
        <v>투명</v>
      </c>
      <c r="V161" s="99">
        <v>3</v>
      </c>
      <c r="W161" s="109">
        <v>0</v>
      </c>
      <c r="AB161" t="s">
        <v>789</v>
      </c>
      <c r="AC161" t="s">
        <v>790</v>
      </c>
      <c r="AD161" t="s">
        <v>560</v>
      </c>
      <c r="AE161">
        <v>3</v>
      </c>
      <c r="AF161" t="s">
        <v>350</v>
      </c>
      <c r="AG161" t="s">
        <v>791</v>
      </c>
      <c r="AH161" t="s">
        <v>561</v>
      </c>
      <c r="AI161" t="s">
        <v>562</v>
      </c>
      <c r="AJ161" s="59">
        <v>45455</v>
      </c>
      <c r="AK161" t="s">
        <v>792</v>
      </c>
      <c r="AL161" s="95" t="s">
        <v>793</v>
      </c>
      <c r="AM161" t="s">
        <v>794</v>
      </c>
      <c r="AN161" t="s">
        <v>795</v>
      </c>
      <c r="AO161" t="s">
        <v>796</v>
      </c>
      <c r="AP161" s="59">
        <v>45456</v>
      </c>
      <c r="AQ161" t="s">
        <v>563</v>
      </c>
      <c r="AR161" t="s">
        <v>797</v>
      </c>
      <c r="AS161" t="s">
        <v>560</v>
      </c>
      <c r="AT161" t="s">
        <v>798</v>
      </c>
      <c r="AU161" t="s">
        <v>560</v>
      </c>
      <c r="AV161">
        <v>41310</v>
      </c>
      <c r="AW161">
        <v>45900</v>
      </c>
      <c r="AX161">
        <v>41310</v>
      </c>
      <c r="AY161">
        <v>39667</v>
      </c>
      <c r="AZ161">
        <v>1643</v>
      </c>
      <c r="BA161">
        <v>0</v>
      </c>
      <c r="BB161">
        <v>0</v>
      </c>
      <c r="BC161" t="s">
        <v>799</v>
      </c>
      <c r="BD161" t="s">
        <v>24</v>
      </c>
      <c r="BE161" t="s">
        <v>1992</v>
      </c>
    </row>
    <row r="162" spans="1:57">
      <c r="A162" s="99" t="str">
        <v>SE202</v>
      </c>
      <c r="G162" s="97">
        <v>16200</v>
      </c>
      <c r="H162" s="97">
        <v>19200</v>
      </c>
      <c r="R162" s="117"/>
      <c r="U162" s="99" t="str">
        <v>투명</v>
      </c>
      <c r="V162" s="99">
        <v>1</v>
      </c>
      <c r="W162" s="109">
        <v>0</v>
      </c>
      <c r="AB162" t="s">
        <v>800</v>
      </c>
      <c r="AC162" t="s">
        <v>801</v>
      </c>
      <c r="AD162" t="s">
        <v>560</v>
      </c>
      <c r="AE162">
        <v>1</v>
      </c>
      <c r="AF162" t="s">
        <v>567</v>
      </c>
      <c r="AG162" t="s">
        <v>802</v>
      </c>
      <c r="AH162" t="s">
        <v>561</v>
      </c>
      <c r="AI162" t="s">
        <v>562</v>
      </c>
      <c r="AJ162" s="59">
        <v>45455</v>
      </c>
      <c r="AK162" t="s">
        <v>803</v>
      </c>
      <c r="AL162" s="95" t="s">
        <v>804</v>
      </c>
      <c r="AM162" t="s">
        <v>800</v>
      </c>
      <c r="AN162" t="s">
        <v>805</v>
      </c>
      <c r="AO162" t="s">
        <v>806</v>
      </c>
      <c r="AP162" s="59">
        <v>45456</v>
      </c>
      <c r="AQ162" t="s">
        <v>563</v>
      </c>
      <c r="AR162" t="s">
        <v>806</v>
      </c>
      <c r="AS162" t="s">
        <v>560</v>
      </c>
      <c r="AT162" t="s">
        <v>807</v>
      </c>
      <c r="AU162" t="s">
        <v>560</v>
      </c>
      <c r="AV162">
        <v>16200</v>
      </c>
      <c r="AW162">
        <v>18000</v>
      </c>
      <c r="AX162">
        <v>19200</v>
      </c>
      <c r="AY162">
        <v>15556</v>
      </c>
      <c r="AZ162">
        <v>644</v>
      </c>
      <c r="BA162">
        <v>3000</v>
      </c>
      <c r="BB162">
        <v>0</v>
      </c>
      <c r="BC162" t="s">
        <v>808</v>
      </c>
      <c r="BD162" t="s">
        <v>42</v>
      </c>
      <c r="BE162" t="s">
        <v>2068</v>
      </c>
    </row>
    <row r="163" spans="1:57">
      <c r="A163" s="99" t="str">
        <v>SE305</v>
      </c>
      <c r="G163" s="97">
        <v>36800</v>
      </c>
      <c r="H163" s="97">
        <v>36800</v>
      </c>
      <c r="R163" s="117"/>
      <c r="U163" s="99" t="str">
        <v>투명</v>
      </c>
      <c r="V163" s="99">
        <v>2</v>
      </c>
      <c r="W163" s="109">
        <v>0</v>
      </c>
      <c r="AB163" t="s">
        <v>1885</v>
      </c>
      <c r="AC163" t="s">
        <v>1034</v>
      </c>
      <c r="AD163" t="s">
        <v>1886</v>
      </c>
      <c r="AE163">
        <v>2</v>
      </c>
      <c r="AF163" t="s">
        <v>564</v>
      </c>
      <c r="AG163" t="s">
        <v>1887</v>
      </c>
      <c r="AH163" t="s">
        <v>561</v>
      </c>
      <c r="AI163" t="s">
        <v>673</v>
      </c>
      <c r="AJ163" s="59">
        <v>45457</v>
      </c>
      <c r="AK163" t="s">
        <v>1888</v>
      </c>
      <c r="AL163" s="95" t="s">
        <v>1889</v>
      </c>
      <c r="AM163" t="s">
        <v>1890</v>
      </c>
      <c r="AN163" t="s">
        <v>1891</v>
      </c>
      <c r="AO163" t="s">
        <v>1892</v>
      </c>
      <c r="AP163" s="59">
        <v>45457</v>
      </c>
      <c r="AQ163" t="s">
        <v>563</v>
      </c>
      <c r="AR163" t="s">
        <v>1892</v>
      </c>
      <c r="AS163" t="s">
        <v>1893</v>
      </c>
      <c r="AT163" t="s">
        <v>1894</v>
      </c>
      <c r="AU163" t="s">
        <v>560</v>
      </c>
      <c r="AV163">
        <v>36800</v>
      </c>
      <c r="AW163">
        <v>36800</v>
      </c>
      <c r="AX163">
        <v>36800</v>
      </c>
      <c r="AY163">
        <v>34951</v>
      </c>
      <c r="AZ163">
        <v>1849</v>
      </c>
      <c r="BA163">
        <v>0</v>
      </c>
      <c r="BB163">
        <v>0</v>
      </c>
      <c r="BC163" t="s">
        <v>1895</v>
      </c>
      <c r="BD163" t="s">
        <v>1045</v>
      </c>
      <c r="BE163" t="s">
        <v>2069</v>
      </c>
    </row>
    <row r="164" spans="1:57">
      <c r="A164" s="99" t="str">
        <v>SE301</v>
      </c>
      <c r="G164" s="97">
        <v>10560</v>
      </c>
      <c r="H164" s="97">
        <v>10560</v>
      </c>
      <c r="R164" s="117"/>
      <c r="U164" s="99" t="str">
        <v>투명</v>
      </c>
      <c r="V164" s="99">
        <v>1</v>
      </c>
      <c r="W164" s="109">
        <v>0</v>
      </c>
      <c r="AB164" t="s">
        <v>1885</v>
      </c>
      <c r="AC164" t="s">
        <v>1034</v>
      </c>
      <c r="AD164" t="s">
        <v>1896</v>
      </c>
      <c r="AE164">
        <v>1</v>
      </c>
      <c r="AF164" t="s">
        <v>564</v>
      </c>
      <c r="AG164" t="s">
        <v>1887</v>
      </c>
      <c r="AH164" t="s">
        <v>561</v>
      </c>
      <c r="AI164" t="s">
        <v>673</v>
      </c>
      <c r="AJ164" s="59">
        <v>45457</v>
      </c>
      <c r="AK164" t="s">
        <v>1888</v>
      </c>
      <c r="AL164" s="95" t="s">
        <v>1897</v>
      </c>
      <c r="AM164" t="s">
        <v>1890</v>
      </c>
      <c r="AN164" t="s">
        <v>1891</v>
      </c>
      <c r="AO164" t="s">
        <v>1892</v>
      </c>
      <c r="AP164" s="59">
        <v>45457</v>
      </c>
      <c r="AQ164" t="s">
        <v>563</v>
      </c>
      <c r="AR164" t="s">
        <v>1892</v>
      </c>
      <c r="AS164" t="s">
        <v>1893</v>
      </c>
      <c r="AT164" t="s">
        <v>1894</v>
      </c>
      <c r="AU164" t="s">
        <v>560</v>
      </c>
      <c r="AV164">
        <v>10560</v>
      </c>
      <c r="AW164">
        <v>10560</v>
      </c>
      <c r="AX164">
        <v>10560</v>
      </c>
      <c r="AY164">
        <v>10030</v>
      </c>
      <c r="AZ164">
        <v>530</v>
      </c>
      <c r="BA164">
        <v>0</v>
      </c>
      <c r="BB164">
        <v>0</v>
      </c>
      <c r="BC164" t="s">
        <v>1895</v>
      </c>
      <c r="BD164" t="s">
        <v>1045</v>
      </c>
      <c r="BE164" t="s">
        <v>2070</v>
      </c>
    </row>
    <row r="165" spans="1:57">
      <c r="A165" s="99" t="str">
        <v>SE303</v>
      </c>
      <c r="G165" s="97">
        <v>43840</v>
      </c>
      <c r="H165" s="97">
        <v>43840</v>
      </c>
      <c r="R165" s="117"/>
      <c r="U165" s="99" t="str">
        <v>투명</v>
      </c>
      <c r="V165" s="99">
        <v>2</v>
      </c>
      <c r="W165" s="109">
        <v>0</v>
      </c>
      <c r="AB165" t="s">
        <v>1885</v>
      </c>
      <c r="AC165" t="s">
        <v>1034</v>
      </c>
      <c r="AD165" t="s">
        <v>1815</v>
      </c>
      <c r="AE165">
        <v>2</v>
      </c>
      <c r="AF165" t="s">
        <v>564</v>
      </c>
      <c r="AG165" t="s">
        <v>1887</v>
      </c>
      <c r="AH165" t="s">
        <v>561</v>
      </c>
      <c r="AI165" t="s">
        <v>673</v>
      </c>
      <c r="AJ165" s="59">
        <v>45457</v>
      </c>
      <c r="AK165" t="s">
        <v>1888</v>
      </c>
      <c r="AL165" s="95" t="s">
        <v>1898</v>
      </c>
      <c r="AM165" t="s">
        <v>1890</v>
      </c>
      <c r="AN165" t="s">
        <v>1891</v>
      </c>
      <c r="AO165" t="s">
        <v>1892</v>
      </c>
      <c r="AP165" s="59">
        <v>45457</v>
      </c>
      <c r="AQ165" t="s">
        <v>563</v>
      </c>
      <c r="AR165" t="s">
        <v>1892</v>
      </c>
      <c r="AS165" t="s">
        <v>1893</v>
      </c>
      <c r="AT165" t="s">
        <v>1894</v>
      </c>
      <c r="AU165" t="s">
        <v>560</v>
      </c>
      <c r="AV165">
        <v>43840</v>
      </c>
      <c r="AW165">
        <v>43840</v>
      </c>
      <c r="AX165">
        <v>43840</v>
      </c>
      <c r="AY165">
        <v>41639</v>
      </c>
      <c r="AZ165">
        <v>2201</v>
      </c>
      <c r="BA165">
        <v>0</v>
      </c>
      <c r="BB165">
        <v>0</v>
      </c>
      <c r="BC165" t="s">
        <v>1895</v>
      </c>
      <c r="BD165" t="s">
        <v>1045</v>
      </c>
      <c r="BE165" t="s">
        <v>2059</v>
      </c>
    </row>
    <row r="166" spans="1:57">
      <c r="A166" s="99" t="str">
        <v>SE205</v>
      </c>
      <c r="G166" s="97">
        <v>48000</v>
      </c>
      <c r="H166" s="97">
        <v>48000</v>
      </c>
      <c r="R166" s="117"/>
      <c r="U166" s="99" t="str">
        <v>투명</v>
      </c>
      <c r="V166" s="99">
        <v>2</v>
      </c>
      <c r="W166" s="109">
        <v>0</v>
      </c>
      <c r="AB166" t="s">
        <v>1899</v>
      </c>
      <c r="AC166" t="s">
        <v>1034</v>
      </c>
      <c r="AD166" t="s">
        <v>1090</v>
      </c>
      <c r="AE166">
        <v>2</v>
      </c>
      <c r="AF166" t="s">
        <v>564</v>
      </c>
      <c r="AG166" t="s">
        <v>1900</v>
      </c>
      <c r="AH166" t="s">
        <v>561</v>
      </c>
      <c r="AI166" t="s">
        <v>673</v>
      </c>
      <c r="AJ166" s="59">
        <v>45456</v>
      </c>
      <c r="AK166" t="s">
        <v>1901</v>
      </c>
      <c r="AL166" s="95" t="s">
        <v>1902</v>
      </c>
      <c r="AM166" t="s">
        <v>1899</v>
      </c>
      <c r="AN166" t="s">
        <v>1903</v>
      </c>
      <c r="AO166" t="s">
        <v>1904</v>
      </c>
      <c r="AP166" s="59">
        <v>45457</v>
      </c>
      <c r="AQ166" t="s">
        <v>563</v>
      </c>
      <c r="AR166" t="s">
        <v>1904</v>
      </c>
      <c r="AS166" t="s">
        <v>560</v>
      </c>
      <c r="AT166" t="s">
        <v>1905</v>
      </c>
      <c r="AU166" t="s">
        <v>560</v>
      </c>
      <c r="AV166">
        <v>48000</v>
      </c>
      <c r="AW166">
        <v>48000</v>
      </c>
      <c r="AX166">
        <v>48000</v>
      </c>
      <c r="AY166">
        <v>45589</v>
      </c>
      <c r="AZ166">
        <v>2411</v>
      </c>
      <c r="BA166">
        <v>0</v>
      </c>
      <c r="BB166">
        <v>0</v>
      </c>
      <c r="BC166" t="s">
        <v>1906</v>
      </c>
      <c r="BD166" t="s">
        <v>1045</v>
      </c>
      <c r="BE166" t="s">
        <v>2002</v>
      </c>
    </row>
    <row r="167" spans="1:57">
      <c r="A167" s="99" t="str">
        <v>SE206</v>
      </c>
      <c r="G167" s="97">
        <v>34020</v>
      </c>
      <c r="H167" s="97">
        <v>37020</v>
      </c>
      <c r="R167" s="117"/>
      <c r="U167" s="99" t="str">
        <v>투명</v>
      </c>
      <c r="V167" s="99">
        <v>1</v>
      </c>
      <c r="W167" s="109">
        <v>0</v>
      </c>
      <c r="AB167" t="s">
        <v>1907</v>
      </c>
      <c r="AC167" t="s">
        <v>737</v>
      </c>
      <c r="AD167" t="s">
        <v>738</v>
      </c>
      <c r="AE167">
        <v>1</v>
      </c>
      <c r="AF167" t="s">
        <v>350</v>
      </c>
      <c r="AG167" t="s">
        <v>1908</v>
      </c>
      <c r="AH167" t="s">
        <v>568</v>
      </c>
      <c r="AI167" t="s">
        <v>562</v>
      </c>
      <c r="AJ167" s="59">
        <v>45456</v>
      </c>
      <c r="AK167" t="s">
        <v>1909</v>
      </c>
      <c r="AM167" t="s">
        <v>1907</v>
      </c>
      <c r="AN167" t="s">
        <v>1910</v>
      </c>
      <c r="AO167" t="s">
        <v>1911</v>
      </c>
      <c r="AP167" s="59">
        <v>45457</v>
      </c>
      <c r="AQ167" t="s">
        <v>563</v>
      </c>
      <c r="AR167" t="s">
        <v>1911</v>
      </c>
      <c r="AS167" t="s">
        <v>560</v>
      </c>
      <c r="AT167" t="s">
        <v>1912</v>
      </c>
      <c r="AU167" t="s">
        <v>571</v>
      </c>
      <c r="AV167">
        <v>34020</v>
      </c>
      <c r="AW167">
        <v>34020</v>
      </c>
      <c r="AX167">
        <v>37020</v>
      </c>
      <c r="BA167">
        <v>3000</v>
      </c>
      <c r="BB167">
        <v>0</v>
      </c>
      <c r="BC167" t="s">
        <v>1913</v>
      </c>
      <c r="BD167" t="s">
        <v>570</v>
      </c>
      <c r="BE167" t="s">
        <v>1996</v>
      </c>
    </row>
    <row r="168" spans="1:57">
      <c r="A168" s="99" t="str">
        <v>SE137</v>
      </c>
      <c r="G168" s="97">
        <v>13440</v>
      </c>
      <c r="H168" s="97">
        <v>13440</v>
      </c>
      <c r="R168" s="117"/>
      <c r="U168" s="99" t="str">
        <v>투명</v>
      </c>
      <c r="V168" s="99">
        <v>8</v>
      </c>
      <c r="W168" s="109">
        <v>0</v>
      </c>
      <c r="AB168" t="s">
        <v>1914</v>
      </c>
      <c r="AC168" t="s">
        <v>1915</v>
      </c>
      <c r="AD168" t="s">
        <v>728</v>
      </c>
      <c r="AE168">
        <v>8</v>
      </c>
      <c r="AF168" t="s">
        <v>350</v>
      </c>
      <c r="AG168" t="s">
        <v>1916</v>
      </c>
      <c r="AH168" t="s">
        <v>568</v>
      </c>
      <c r="AI168" t="s">
        <v>562</v>
      </c>
      <c r="AJ168" s="59">
        <v>45456</v>
      </c>
      <c r="AK168" t="s">
        <v>1917</v>
      </c>
      <c r="AM168" t="s">
        <v>1914</v>
      </c>
      <c r="AN168" t="s">
        <v>1918</v>
      </c>
      <c r="AO168" t="s">
        <v>1919</v>
      </c>
      <c r="AP168" s="59">
        <v>45457</v>
      </c>
      <c r="AQ168" t="s">
        <v>563</v>
      </c>
      <c r="AR168" t="s">
        <v>1919</v>
      </c>
      <c r="AS168" t="s">
        <v>560</v>
      </c>
      <c r="AT168" t="s">
        <v>1920</v>
      </c>
      <c r="AU168" t="s">
        <v>571</v>
      </c>
      <c r="AV168">
        <v>13440</v>
      </c>
      <c r="AW168">
        <v>13440</v>
      </c>
      <c r="AX168">
        <v>13440</v>
      </c>
      <c r="BA168">
        <v>0</v>
      </c>
      <c r="BB168">
        <v>0</v>
      </c>
      <c r="BC168" t="s">
        <v>1921</v>
      </c>
      <c r="BD168" t="s">
        <v>570</v>
      </c>
      <c r="BE168" t="s">
        <v>2071</v>
      </c>
    </row>
    <row r="169" spans="1:57">
      <c r="A169" s="99" t="str">
        <v>SE5</v>
      </c>
      <c r="G169" s="97">
        <v>11280</v>
      </c>
      <c r="H169" s="97">
        <v>11280</v>
      </c>
      <c r="R169" s="117"/>
      <c r="U169" s="99" t="str">
        <v>투명</v>
      </c>
      <c r="V169" s="99">
        <v>6</v>
      </c>
      <c r="W169" s="109">
        <v>0</v>
      </c>
      <c r="AB169" t="s">
        <v>1914</v>
      </c>
      <c r="AC169" t="s">
        <v>1922</v>
      </c>
      <c r="AD169" t="s">
        <v>353</v>
      </c>
      <c r="AE169">
        <v>6</v>
      </c>
      <c r="AF169" t="s">
        <v>350</v>
      </c>
      <c r="AG169" t="s">
        <v>1916</v>
      </c>
      <c r="AH169" t="s">
        <v>568</v>
      </c>
      <c r="AI169" t="s">
        <v>562</v>
      </c>
      <c r="AJ169" s="59">
        <v>45456</v>
      </c>
      <c r="AK169" t="s">
        <v>1917</v>
      </c>
      <c r="AM169" t="s">
        <v>1914</v>
      </c>
      <c r="AN169" t="s">
        <v>1918</v>
      </c>
      <c r="AO169" t="s">
        <v>1919</v>
      </c>
      <c r="AP169" s="59">
        <v>45457</v>
      </c>
      <c r="AQ169" t="s">
        <v>563</v>
      </c>
      <c r="AR169" t="s">
        <v>1919</v>
      </c>
      <c r="AS169" t="s">
        <v>560</v>
      </c>
      <c r="AT169" t="s">
        <v>1920</v>
      </c>
      <c r="AU169" t="s">
        <v>571</v>
      </c>
      <c r="AV169">
        <v>11280</v>
      </c>
      <c r="AW169">
        <v>12540</v>
      </c>
      <c r="AX169">
        <v>11280</v>
      </c>
      <c r="BA169">
        <v>0</v>
      </c>
      <c r="BB169">
        <v>0</v>
      </c>
      <c r="BC169" t="s">
        <v>1921</v>
      </c>
      <c r="BD169" t="s">
        <v>570</v>
      </c>
      <c r="BE169" t="s">
        <v>2072</v>
      </c>
    </row>
    <row r="170" spans="1:57">
      <c r="A170" s="99" t="str">
        <v>SE102</v>
      </c>
      <c r="G170" s="97">
        <v>10350</v>
      </c>
      <c r="H170" s="97">
        <v>10350</v>
      </c>
      <c r="R170" s="117"/>
      <c r="U170" s="99" t="str">
        <v>투명</v>
      </c>
      <c r="V170" s="99">
        <v>9</v>
      </c>
      <c r="W170" s="109">
        <v>0</v>
      </c>
      <c r="AB170" t="s">
        <v>1914</v>
      </c>
      <c r="AC170" t="s">
        <v>719</v>
      </c>
      <c r="AD170" t="s">
        <v>566</v>
      </c>
      <c r="AE170">
        <v>9</v>
      </c>
      <c r="AF170" t="s">
        <v>350</v>
      </c>
      <c r="AG170" t="s">
        <v>1916</v>
      </c>
      <c r="AH170" t="s">
        <v>568</v>
      </c>
      <c r="AI170" t="s">
        <v>562</v>
      </c>
      <c r="AJ170" s="59">
        <v>45456</v>
      </c>
      <c r="AK170" t="s">
        <v>1917</v>
      </c>
      <c r="AM170" t="s">
        <v>1914</v>
      </c>
      <c r="AN170" t="s">
        <v>1918</v>
      </c>
      <c r="AO170" t="s">
        <v>1919</v>
      </c>
      <c r="AP170" s="59">
        <v>45457</v>
      </c>
      <c r="AQ170" t="s">
        <v>563</v>
      </c>
      <c r="AR170" t="s">
        <v>1919</v>
      </c>
      <c r="AS170" t="s">
        <v>560</v>
      </c>
      <c r="AT170" t="s">
        <v>1920</v>
      </c>
      <c r="AU170" t="s">
        <v>571</v>
      </c>
      <c r="AV170">
        <v>10350</v>
      </c>
      <c r="AW170">
        <v>10350</v>
      </c>
      <c r="AX170">
        <v>10350</v>
      </c>
      <c r="BA170">
        <v>0</v>
      </c>
      <c r="BB170">
        <v>0</v>
      </c>
      <c r="BC170" t="s">
        <v>1921</v>
      </c>
      <c r="BD170" t="s">
        <v>570</v>
      </c>
      <c r="BE170" t="s">
        <v>2010</v>
      </c>
    </row>
    <row r="171" spans="1:57">
      <c r="A171" s="99" t="str">
        <v>SE103</v>
      </c>
      <c r="G171" s="97">
        <v>16900</v>
      </c>
      <c r="H171" s="97">
        <v>16900</v>
      </c>
      <c r="R171" s="117"/>
      <c r="U171" s="99" t="str">
        <v>투명</v>
      </c>
      <c r="V171" s="99">
        <v>10</v>
      </c>
      <c r="W171" s="109">
        <v>0</v>
      </c>
      <c r="AB171" t="s">
        <v>1923</v>
      </c>
      <c r="AC171" t="s">
        <v>768</v>
      </c>
      <c r="AD171" t="s">
        <v>566</v>
      </c>
      <c r="AE171">
        <v>10</v>
      </c>
      <c r="AF171" t="s">
        <v>567</v>
      </c>
      <c r="AG171" t="s">
        <v>1924</v>
      </c>
      <c r="AH171" t="s">
        <v>568</v>
      </c>
      <c r="AI171" t="s">
        <v>562</v>
      </c>
      <c r="AJ171" s="59">
        <v>45456</v>
      </c>
      <c r="AK171" t="s">
        <v>1925</v>
      </c>
      <c r="AM171" t="s">
        <v>1926</v>
      </c>
      <c r="AN171" t="s">
        <v>1927</v>
      </c>
      <c r="AO171" t="s">
        <v>1928</v>
      </c>
      <c r="AP171" s="59">
        <v>45457</v>
      </c>
      <c r="AQ171" t="s">
        <v>563</v>
      </c>
      <c r="AR171" t="s">
        <v>1928</v>
      </c>
      <c r="AS171" t="s">
        <v>560</v>
      </c>
      <c r="AT171" t="s">
        <v>1929</v>
      </c>
      <c r="AU171" t="s">
        <v>571</v>
      </c>
      <c r="AV171">
        <v>16900</v>
      </c>
      <c r="AW171">
        <v>18800</v>
      </c>
      <c r="AX171">
        <v>16900</v>
      </c>
      <c r="BA171">
        <v>0</v>
      </c>
      <c r="BB171">
        <v>0</v>
      </c>
      <c r="BC171" t="s">
        <v>1930</v>
      </c>
      <c r="BD171" t="s">
        <v>570</v>
      </c>
      <c r="BE171" t="s">
        <v>2066</v>
      </c>
    </row>
    <row r="172" spans="1:57">
      <c r="A172" s="99" t="str">
        <v>SE114</v>
      </c>
      <c r="G172" s="97">
        <v>20400</v>
      </c>
      <c r="H172" s="97">
        <v>20400</v>
      </c>
      <c r="R172" s="117"/>
      <c r="U172" s="99" t="str">
        <v>투명</v>
      </c>
      <c r="V172" s="99">
        <v>3</v>
      </c>
      <c r="W172" s="109">
        <v>0</v>
      </c>
      <c r="AB172" t="s">
        <v>1931</v>
      </c>
      <c r="AC172" t="s">
        <v>1592</v>
      </c>
      <c r="AD172" t="s">
        <v>566</v>
      </c>
      <c r="AE172">
        <v>3</v>
      </c>
      <c r="AF172" t="s">
        <v>350</v>
      </c>
      <c r="AG172" t="s">
        <v>1932</v>
      </c>
      <c r="AH172" t="s">
        <v>568</v>
      </c>
      <c r="AI172" t="s">
        <v>562</v>
      </c>
      <c r="AJ172" s="59">
        <v>45457</v>
      </c>
      <c r="AK172" t="s">
        <v>1933</v>
      </c>
      <c r="AM172" t="s">
        <v>1931</v>
      </c>
      <c r="AN172" t="s">
        <v>1934</v>
      </c>
      <c r="AO172" t="s">
        <v>1935</v>
      </c>
      <c r="AP172" s="59">
        <v>45457</v>
      </c>
      <c r="AQ172" t="s">
        <v>563</v>
      </c>
      <c r="AR172" t="s">
        <v>1935</v>
      </c>
      <c r="AS172" t="s">
        <v>560</v>
      </c>
      <c r="AT172" t="s">
        <v>1936</v>
      </c>
      <c r="AU172" t="s">
        <v>571</v>
      </c>
      <c r="AV172">
        <v>20400</v>
      </c>
      <c r="AW172">
        <v>20400</v>
      </c>
      <c r="AX172">
        <v>20400</v>
      </c>
      <c r="BA172">
        <v>0</v>
      </c>
      <c r="BB172">
        <v>0</v>
      </c>
      <c r="BC172" t="s">
        <v>1937</v>
      </c>
      <c r="BD172" t="s">
        <v>570</v>
      </c>
      <c r="BE172" t="s">
        <v>2045</v>
      </c>
    </row>
    <row r="173" spans="1:57">
      <c r="A173" s="99" t="str">
        <v>SE102</v>
      </c>
      <c r="G173" s="97">
        <v>10800</v>
      </c>
      <c r="H173" s="97">
        <v>13800</v>
      </c>
      <c r="R173" s="117"/>
      <c r="U173" s="99" t="str">
        <v>투명</v>
      </c>
      <c r="V173" s="99">
        <v>10</v>
      </c>
      <c r="W173" s="109">
        <v>0</v>
      </c>
      <c r="AB173" t="s">
        <v>1938</v>
      </c>
      <c r="AC173" t="s">
        <v>1939</v>
      </c>
      <c r="AD173" t="s">
        <v>560</v>
      </c>
      <c r="AE173">
        <v>10</v>
      </c>
      <c r="AF173" t="s">
        <v>567</v>
      </c>
      <c r="AG173" t="s">
        <v>1940</v>
      </c>
      <c r="AH173" t="s">
        <v>561</v>
      </c>
      <c r="AI173" t="s">
        <v>562</v>
      </c>
      <c r="AJ173" s="59">
        <v>45457</v>
      </c>
      <c r="AK173" t="s">
        <v>1941</v>
      </c>
      <c r="AL173" s="95" t="s">
        <v>1942</v>
      </c>
      <c r="AM173" t="s">
        <v>1938</v>
      </c>
      <c r="AN173" t="s">
        <v>1943</v>
      </c>
      <c r="AO173" t="s">
        <v>1944</v>
      </c>
      <c r="AP173" s="59">
        <v>45457</v>
      </c>
      <c r="AQ173" t="s">
        <v>563</v>
      </c>
      <c r="AR173" t="s">
        <v>1944</v>
      </c>
      <c r="AS173" t="s">
        <v>560</v>
      </c>
      <c r="AT173" t="s">
        <v>1945</v>
      </c>
      <c r="AU173" t="s">
        <v>1354</v>
      </c>
      <c r="AV173">
        <v>10800</v>
      </c>
      <c r="AW173">
        <v>10800</v>
      </c>
      <c r="AX173">
        <v>13800</v>
      </c>
      <c r="AY173">
        <v>10371</v>
      </c>
      <c r="AZ173">
        <v>429</v>
      </c>
      <c r="BA173">
        <v>3000</v>
      </c>
      <c r="BB173">
        <v>0</v>
      </c>
      <c r="BC173" t="s">
        <v>1946</v>
      </c>
      <c r="BD173" t="s">
        <v>1947</v>
      </c>
      <c r="BE173" t="s">
        <v>2073</v>
      </c>
    </row>
    <row r="174" spans="1:57">
      <c r="A174" s="99" t="str">
        <v>SE206</v>
      </c>
      <c r="G174" s="97">
        <v>28620</v>
      </c>
      <c r="H174" s="97">
        <v>28620</v>
      </c>
      <c r="R174" s="117"/>
      <c r="U174" s="99" t="str">
        <v>투명</v>
      </c>
      <c r="V174" s="99">
        <v>1</v>
      </c>
      <c r="W174" s="109">
        <v>0</v>
      </c>
      <c r="AB174" t="s">
        <v>1948</v>
      </c>
      <c r="AC174" t="s">
        <v>934</v>
      </c>
      <c r="AD174" t="s">
        <v>560</v>
      </c>
      <c r="AE174">
        <v>1</v>
      </c>
      <c r="AF174" t="s">
        <v>350</v>
      </c>
      <c r="AG174" t="s">
        <v>1949</v>
      </c>
      <c r="AH174" t="s">
        <v>561</v>
      </c>
      <c r="AI174" t="s">
        <v>562</v>
      </c>
      <c r="AJ174" s="59">
        <v>45457</v>
      </c>
      <c r="AK174" t="s">
        <v>1950</v>
      </c>
      <c r="AL174" s="95" t="s">
        <v>1951</v>
      </c>
      <c r="AM174" t="s">
        <v>1948</v>
      </c>
      <c r="AN174" t="s">
        <v>1952</v>
      </c>
      <c r="AO174" t="s">
        <v>1953</v>
      </c>
      <c r="AP174" s="59">
        <v>45457</v>
      </c>
      <c r="AQ174" t="s">
        <v>563</v>
      </c>
      <c r="AR174" t="s">
        <v>1953</v>
      </c>
      <c r="AS174" t="s">
        <v>560</v>
      </c>
      <c r="AT174" t="s">
        <v>1954</v>
      </c>
      <c r="AU174" t="s">
        <v>560</v>
      </c>
      <c r="AV174">
        <v>28620</v>
      </c>
      <c r="AW174">
        <v>31800</v>
      </c>
      <c r="AX174">
        <v>28620</v>
      </c>
      <c r="AY174">
        <v>27482</v>
      </c>
      <c r="AZ174">
        <v>1138</v>
      </c>
      <c r="BA174">
        <v>0</v>
      </c>
      <c r="BB174">
        <v>0</v>
      </c>
      <c r="BC174" t="s">
        <v>1955</v>
      </c>
      <c r="BD174" t="s">
        <v>34</v>
      </c>
      <c r="BE174" t="s">
        <v>1988</v>
      </c>
    </row>
    <row r="175" spans="1:57">
      <c r="A175" s="99" t="str">
        <v>SE304</v>
      </c>
      <c r="G175" s="97">
        <v>13770</v>
      </c>
      <c r="H175" s="97">
        <v>13770</v>
      </c>
      <c r="R175" s="117"/>
      <c r="U175" s="99" t="str">
        <v>투명</v>
      </c>
      <c r="V175" s="99">
        <v>1</v>
      </c>
      <c r="W175" s="109">
        <v>0</v>
      </c>
      <c r="AB175" t="s">
        <v>1948</v>
      </c>
      <c r="AC175" t="s">
        <v>790</v>
      </c>
      <c r="AD175" t="s">
        <v>560</v>
      </c>
      <c r="AE175">
        <v>1</v>
      </c>
      <c r="AF175" t="s">
        <v>350</v>
      </c>
      <c r="AG175" t="s">
        <v>1949</v>
      </c>
      <c r="AH175" t="s">
        <v>561</v>
      </c>
      <c r="AI175" t="s">
        <v>562</v>
      </c>
      <c r="AJ175" s="59">
        <v>45457</v>
      </c>
      <c r="AK175" t="s">
        <v>1950</v>
      </c>
      <c r="AL175" s="95" t="s">
        <v>1956</v>
      </c>
      <c r="AM175" t="s">
        <v>1948</v>
      </c>
      <c r="AN175" t="s">
        <v>1952</v>
      </c>
      <c r="AO175" t="s">
        <v>1953</v>
      </c>
      <c r="AP175" s="59">
        <v>45457</v>
      </c>
      <c r="AQ175" t="s">
        <v>563</v>
      </c>
      <c r="AR175" t="s">
        <v>1953</v>
      </c>
      <c r="AS175" t="s">
        <v>560</v>
      </c>
      <c r="AT175" t="s">
        <v>1954</v>
      </c>
      <c r="AU175" t="s">
        <v>560</v>
      </c>
      <c r="AV175">
        <v>13770</v>
      </c>
      <c r="AW175">
        <v>15300</v>
      </c>
      <c r="AX175">
        <v>13770</v>
      </c>
      <c r="AY175">
        <v>13223</v>
      </c>
      <c r="AZ175">
        <v>547</v>
      </c>
      <c r="BA175">
        <v>0</v>
      </c>
      <c r="BB175">
        <v>0</v>
      </c>
      <c r="BC175" t="s">
        <v>1955</v>
      </c>
      <c r="BD175" t="s">
        <v>24</v>
      </c>
      <c r="BE175" t="s">
        <v>1992</v>
      </c>
    </row>
    <row r="176" spans="1:57">
      <c r="A176" s="99" t="str">
        <v>SE201</v>
      </c>
      <c r="G176" s="97">
        <v>29160</v>
      </c>
      <c r="H176" s="97">
        <v>29160</v>
      </c>
      <c r="R176" s="117"/>
      <c r="U176" s="99" t="str">
        <v>투명</v>
      </c>
      <c r="V176" s="99">
        <v>2</v>
      </c>
      <c r="W176" s="109">
        <v>0</v>
      </c>
      <c r="AB176" t="s">
        <v>1957</v>
      </c>
      <c r="AC176" t="s">
        <v>1064</v>
      </c>
      <c r="AD176" t="s">
        <v>560</v>
      </c>
      <c r="AE176">
        <v>2</v>
      </c>
      <c r="AF176" t="s">
        <v>564</v>
      </c>
      <c r="AG176" t="s">
        <v>1958</v>
      </c>
      <c r="AH176" t="s">
        <v>561</v>
      </c>
      <c r="AI176" t="s">
        <v>562</v>
      </c>
      <c r="AJ176" s="59">
        <v>45456</v>
      </c>
      <c r="AK176" t="s">
        <v>1959</v>
      </c>
      <c r="AL176" s="95" t="s">
        <v>1960</v>
      </c>
      <c r="AM176" t="s">
        <v>1957</v>
      </c>
      <c r="AN176" t="s">
        <v>1961</v>
      </c>
      <c r="AO176" t="s">
        <v>1962</v>
      </c>
      <c r="AP176" s="59">
        <v>45457</v>
      </c>
      <c r="AQ176" t="s">
        <v>563</v>
      </c>
      <c r="AR176" t="s">
        <v>1962</v>
      </c>
      <c r="AS176" t="s">
        <v>560</v>
      </c>
      <c r="AT176" t="s">
        <v>1963</v>
      </c>
      <c r="AU176" t="s">
        <v>560</v>
      </c>
      <c r="AV176">
        <v>29160</v>
      </c>
      <c r="AW176">
        <v>32400</v>
      </c>
      <c r="AX176">
        <v>29160</v>
      </c>
      <c r="AY176">
        <v>28000</v>
      </c>
      <c r="AZ176">
        <v>1160</v>
      </c>
      <c r="BA176">
        <v>0</v>
      </c>
      <c r="BB176">
        <v>0</v>
      </c>
      <c r="BC176" t="s">
        <v>1964</v>
      </c>
      <c r="BD176" t="s">
        <v>44</v>
      </c>
      <c r="BE176" t="s">
        <v>2001</v>
      </c>
    </row>
    <row r="177" spans="1:57">
      <c r="A177" s="99" t="str">
        <v>SE206</v>
      </c>
      <c r="G177" s="97">
        <v>28620</v>
      </c>
      <c r="H177" s="97">
        <v>28620</v>
      </c>
      <c r="R177" s="117"/>
      <c r="U177" s="99" t="str">
        <v>투명</v>
      </c>
      <c r="V177" s="99">
        <v>1</v>
      </c>
      <c r="W177" s="109">
        <v>0</v>
      </c>
      <c r="AB177" t="s">
        <v>1957</v>
      </c>
      <c r="AC177" t="s">
        <v>934</v>
      </c>
      <c r="AD177" t="s">
        <v>560</v>
      </c>
      <c r="AE177">
        <v>1</v>
      </c>
      <c r="AF177" t="s">
        <v>564</v>
      </c>
      <c r="AG177" t="s">
        <v>1958</v>
      </c>
      <c r="AH177" t="s">
        <v>561</v>
      </c>
      <c r="AI177" t="s">
        <v>562</v>
      </c>
      <c r="AJ177" s="59">
        <v>45456</v>
      </c>
      <c r="AK177" t="s">
        <v>1959</v>
      </c>
      <c r="AL177" s="95" t="s">
        <v>1965</v>
      </c>
      <c r="AM177" t="s">
        <v>1957</v>
      </c>
      <c r="AN177" t="s">
        <v>1961</v>
      </c>
      <c r="AO177" t="s">
        <v>1962</v>
      </c>
      <c r="AP177" s="59">
        <v>45457</v>
      </c>
      <c r="AQ177" t="s">
        <v>563</v>
      </c>
      <c r="AR177" t="s">
        <v>1962</v>
      </c>
      <c r="AS177" t="s">
        <v>560</v>
      </c>
      <c r="AT177" t="s">
        <v>1963</v>
      </c>
      <c r="AU177" t="s">
        <v>560</v>
      </c>
      <c r="AV177">
        <v>28620</v>
      </c>
      <c r="AW177">
        <v>31800</v>
      </c>
      <c r="AX177">
        <v>28620</v>
      </c>
      <c r="AY177">
        <v>27482</v>
      </c>
      <c r="AZ177">
        <v>1138</v>
      </c>
      <c r="BA177">
        <v>0</v>
      </c>
      <c r="BB177">
        <v>0</v>
      </c>
      <c r="BC177" t="s">
        <v>1964</v>
      </c>
      <c r="BD177" t="s">
        <v>34</v>
      </c>
      <c r="BE177" t="s">
        <v>1988</v>
      </c>
    </row>
    <row r="178" spans="1:57">
      <c r="A178" s="99" t="str">
        <v>SE206</v>
      </c>
      <c r="G178" s="97">
        <v>30240</v>
      </c>
      <c r="H178" s="97">
        <v>33240</v>
      </c>
      <c r="R178" s="117"/>
      <c r="U178" s="99" t="str">
        <v>투명</v>
      </c>
      <c r="V178" s="99">
        <v>1</v>
      </c>
      <c r="W178" s="109">
        <v>0</v>
      </c>
      <c r="AB178" t="s">
        <v>1966</v>
      </c>
      <c r="AC178" t="s">
        <v>684</v>
      </c>
      <c r="AD178" t="s">
        <v>685</v>
      </c>
      <c r="AE178">
        <v>1</v>
      </c>
      <c r="AF178" t="s">
        <v>350</v>
      </c>
      <c r="AG178" t="s">
        <v>1967</v>
      </c>
      <c r="AH178" t="s">
        <v>568</v>
      </c>
      <c r="AI178" t="s">
        <v>673</v>
      </c>
      <c r="AJ178" s="59">
        <v>45457</v>
      </c>
      <c r="AK178" t="s">
        <v>1968</v>
      </c>
      <c r="AM178" t="s">
        <v>1966</v>
      </c>
      <c r="AN178" t="s">
        <v>1969</v>
      </c>
      <c r="AO178" t="s">
        <v>1970</v>
      </c>
      <c r="AP178" s="59">
        <v>45457</v>
      </c>
      <c r="AQ178" t="s">
        <v>563</v>
      </c>
      <c r="AR178" t="s">
        <v>1970</v>
      </c>
      <c r="AS178" t="s">
        <v>560</v>
      </c>
      <c r="AT178" t="s">
        <v>1971</v>
      </c>
      <c r="AU178" t="s">
        <v>571</v>
      </c>
      <c r="AV178">
        <v>30240</v>
      </c>
      <c r="AW178">
        <v>30240</v>
      </c>
      <c r="AX178">
        <v>33240</v>
      </c>
      <c r="BA178">
        <v>3000</v>
      </c>
      <c r="BB178">
        <v>0</v>
      </c>
      <c r="BC178" t="s">
        <v>1972</v>
      </c>
      <c r="BD178" t="s">
        <v>560</v>
      </c>
      <c r="BE178" t="s">
        <v>1993</v>
      </c>
    </row>
  </sheetData>
  <phoneticPr fontId="4" type="noConversion"/>
  <conditionalFormatting sqref="W2:W21">
    <cfRule type="notContainsBlanks" dxfId="259" priority="1">
      <formula>LEN(TRIM(W2))&gt;0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66095-96AC-4AA4-BF57-85C3150FC7CF}">
  <sheetPr codeName="Sheet7"/>
  <dimension ref="A1:AE180"/>
  <sheetViews>
    <sheetView topLeftCell="X1" workbookViewId="0">
      <selection activeCell="AB11" sqref="AB11"/>
    </sheetView>
  </sheetViews>
  <sheetFormatPr defaultRowHeight="16.5"/>
  <cols>
    <col min="1" max="1" width="5.75" bestFit="1" customWidth="1"/>
    <col min="2" max="2" width="13.25" bestFit="1" customWidth="1"/>
    <col min="3" max="3" width="13.75" bestFit="1" customWidth="1"/>
    <col min="4" max="4" width="22.75" bestFit="1" customWidth="1"/>
    <col min="5" max="5" width="11.125" bestFit="1" customWidth="1"/>
    <col min="6" max="6" width="21.375" bestFit="1" customWidth="1"/>
    <col min="7" max="7" width="13.875" bestFit="1" customWidth="1"/>
    <col min="8" max="8" width="9.375" bestFit="1" customWidth="1"/>
    <col min="9" max="9" width="11.25" bestFit="1" customWidth="1"/>
    <col min="10" max="10" width="7.5" bestFit="1" customWidth="1"/>
    <col min="11" max="11" width="15.25" bestFit="1" customWidth="1"/>
    <col min="12" max="12" width="13.25" bestFit="1" customWidth="1"/>
    <col min="13" max="14" width="11.25" bestFit="1" customWidth="1"/>
    <col min="15" max="15" width="18.375" bestFit="1" customWidth="1"/>
    <col min="16" max="16" width="12.375" bestFit="1" customWidth="1"/>
    <col min="17" max="17" width="15.5" bestFit="1" customWidth="1"/>
    <col min="18" max="18" width="11" bestFit="1" customWidth="1"/>
    <col min="19" max="19" width="13.25" bestFit="1" customWidth="1"/>
    <col min="20" max="20" width="16.5" bestFit="1" customWidth="1"/>
    <col min="21" max="21" width="81" bestFit="1" customWidth="1"/>
    <col min="22" max="22" width="50.25" bestFit="1" customWidth="1"/>
    <col min="23" max="23" width="9.375" bestFit="1" customWidth="1"/>
    <col min="24" max="24" width="19.5" bestFit="1" customWidth="1"/>
    <col min="25" max="25" width="9.375" bestFit="1" customWidth="1"/>
    <col min="26" max="26" width="22.5" bestFit="1" customWidth="1"/>
    <col min="27" max="27" width="15.25" bestFit="1" customWidth="1"/>
    <col min="28" max="28" width="13.25" bestFit="1" customWidth="1"/>
    <col min="29" max="29" width="9.375" bestFit="1" customWidth="1"/>
    <col min="30" max="30" width="7.5" bestFit="1" customWidth="1"/>
    <col min="31" max="31" width="81" bestFit="1" customWidth="1"/>
  </cols>
  <sheetData>
    <row r="1" spans="1:31">
      <c r="A1" t="s">
        <v>660</v>
      </c>
      <c r="B1" t="s">
        <v>539</v>
      </c>
      <c r="C1" t="s">
        <v>538</v>
      </c>
      <c r="D1" t="s">
        <v>313</v>
      </c>
      <c r="E1" t="s">
        <v>127</v>
      </c>
      <c r="F1" t="s">
        <v>123</v>
      </c>
      <c r="G1" t="s">
        <v>116</v>
      </c>
      <c r="H1" t="s">
        <v>113</v>
      </c>
      <c r="I1" t="s">
        <v>624</v>
      </c>
      <c r="J1" t="s">
        <v>536</v>
      </c>
      <c r="K1" t="s">
        <v>119</v>
      </c>
      <c r="L1" t="s">
        <v>817</v>
      </c>
      <c r="M1" t="s">
        <v>824</v>
      </c>
      <c r="N1" t="s">
        <v>540</v>
      </c>
      <c r="O1" t="s">
        <v>633</v>
      </c>
      <c r="P1" t="s">
        <v>632</v>
      </c>
      <c r="Q1" t="s">
        <v>544</v>
      </c>
      <c r="R1" t="s">
        <v>546</v>
      </c>
      <c r="S1" t="s">
        <v>840</v>
      </c>
      <c r="T1" t="s">
        <v>626</v>
      </c>
      <c r="U1" t="s">
        <v>549</v>
      </c>
      <c r="V1" t="s">
        <v>550</v>
      </c>
      <c r="W1" t="s">
        <v>841</v>
      </c>
      <c r="X1" t="s">
        <v>845</v>
      </c>
      <c r="Y1" t="s">
        <v>842</v>
      </c>
      <c r="Z1" t="s">
        <v>846</v>
      </c>
      <c r="AA1" t="s">
        <v>843</v>
      </c>
      <c r="AB1" t="s">
        <v>847</v>
      </c>
      <c r="AC1" t="s">
        <v>825</v>
      </c>
      <c r="AD1" t="s">
        <v>701</v>
      </c>
      <c r="AE1" t="s">
        <v>609</v>
      </c>
    </row>
    <row r="2" spans="1:31">
      <c r="A2">
        <v>1</v>
      </c>
      <c r="B2" t="s">
        <v>562</v>
      </c>
      <c r="C2" t="s">
        <v>561</v>
      </c>
      <c r="D2" t="s">
        <v>848</v>
      </c>
      <c r="E2" s="59">
        <v>45293</v>
      </c>
      <c r="F2" t="s">
        <v>848</v>
      </c>
      <c r="G2" t="s">
        <v>849</v>
      </c>
      <c r="H2" t="s">
        <v>34</v>
      </c>
      <c r="I2" t="s">
        <v>353</v>
      </c>
      <c r="J2">
        <v>2</v>
      </c>
      <c r="K2">
        <v>45550</v>
      </c>
      <c r="L2">
        <v>4300</v>
      </c>
      <c r="M2">
        <v>1650</v>
      </c>
      <c r="N2" s="59">
        <v>45293</v>
      </c>
      <c r="O2" t="s">
        <v>850</v>
      </c>
      <c r="P2" t="s">
        <v>851</v>
      </c>
      <c r="R2" t="s">
        <v>563</v>
      </c>
      <c r="S2" s="59">
        <v>44929</v>
      </c>
      <c r="T2" t="s">
        <v>852</v>
      </c>
      <c r="U2" t="s">
        <v>853</v>
      </c>
      <c r="W2">
        <v>64800</v>
      </c>
      <c r="X2">
        <v>0</v>
      </c>
      <c r="Y2">
        <v>0</v>
      </c>
      <c r="Z2">
        <v>0</v>
      </c>
      <c r="AA2">
        <v>0</v>
      </c>
      <c r="AE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강경숙 강경숙 SE.206 투명 653499871196 010-9034-9537 2023010267662551</v>
      </c>
    </row>
    <row r="3" spans="1:31">
      <c r="A3">
        <v>2</v>
      </c>
      <c r="B3" t="s">
        <v>673</v>
      </c>
      <c r="C3" t="s">
        <v>568</v>
      </c>
      <c r="D3" t="s">
        <v>854</v>
      </c>
      <c r="E3" s="59">
        <v>45294</v>
      </c>
      <c r="F3" t="s">
        <v>855</v>
      </c>
      <c r="G3" t="s">
        <v>856</v>
      </c>
      <c r="H3" t="s">
        <v>211</v>
      </c>
      <c r="I3" t="s">
        <v>354</v>
      </c>
      <c r="J3">
        <v>1</v>
      </c>
      <c r="K3">
        <v>0</v>
      </c>
      <c r="L3">
        <v>2900</v>
      </c>
      <c r="M3">
        <v>0</v>
      </c>
      <c r="N3" s="59">
        <v>45292</v>
      </c>
      <c r="O3" t="s">
        <v>857</v>
      </c>
      <c r="Q3" t="s">
        <v>858</v>
      </c>
      <c r="R3" t="s">
        <v>563</v>
      </c>
      <c r="S3" s="59">
        <v>44930</v>
      </c>
      <c r="T3" t="s">
        <v>858</v>
      </c>
      <c r="U3" t="s">
        <v>859</v>
      </c>
      <c r="V3" t="s">
        <v>571</v>
      </c>
      <c r="W3">
        <v>2500</v>
      </c>
      <c r="X3">
        <v>0</v>
      </c>
      <c r="Y3">
        <v>3000</v>
      </c>
      <c r="Z3">
        <v>0</v>
      </c>
      <c r="AA3">
        <v>0</v>
      </c>
      <c r="AE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박혜영 Na SE.20 검정 653499871174 010-****-3618 25000163577498</v>
      </c>
    </row>
    <row r="4" spans="1:31">
      <c r="A4">
        <v>3</v>
      </c>
      <c r="B4" t="s">
        <v>673</v>
      </c>
      <c r="C4" t="s">
        <v>532</v>
      </c>
      <c r="E4" s="59">
        <v>45443</v>
      </c>
      <c r="F4" t="s">
        <v>918</v>
      </c>
      <c r="G4" t="s">
        <v>920</v>
      </c>
      <c r="H4" t="s">
        <v>531</v>
      </c>
      <c r="I4" t="s">
        <v>353</v>
      </c>
      <c r="J4">
        <v>1</v>
      </c>
      <c r="K4">
        <v>0</v>
      </c>
      <c r="L4">
        <v>4400</v>
      </c>
      <c r="M4">
        <v>0</v>
      </c>
      <c r="N4" s="59">
        <v>45443</v>
      </c>
      <c r="O4" t="s">
        <v>2075</v>
      </c>
      <c r="R4" t="s">
        <v>563</v>
      </c>
      <c r="S4" s="59"/>
      <c r="T4" t="s">
        <v>924</v>
      </c>
      <c r="U4" t="s">
        <v>925</v>
      </c>
      <c r="W4">
        <v>0</v>
      </c>
      <c r="X4">
        <v>0</v>
      </c>
      <c r="Y4">
        <v>0</v>
      </c>
      <c r="Z4">
        <v>0</v>
      </c>
      <c r="AE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감포건어물 SE.1000 투명 530211812532 010-3585-3937 45470338</v>
      </c>
    </row>
    <row r="5" spans="1:31">
      <c r="A5">
        <v>4</v>
      </c>
      <c r="B5" t="s">
        <v>562</v>
      </c>
      <c r="C5" t="s">
        <v>561</v>
      </c>
      <c r="D5" t="s">
        <v>926</v>
      </c>
      <c r="E5" s="59">
        <v>45443</v>
      </c>
      <c r="F5" t="s">
        <v>926</v>
      </c>
      <c r="G5" t="s">
        <v>928</v>
      </c>
      <c r="H5" t="s">
        <v>36</v>
      </c>
      <c r="I5" t="s">
        <v>353</v>
      </c>
      <c r="J5">
        <v>5</v>
      </c>
      <c r="K5">
        <v>86900</v>
      </c>
      <c r="L5">
        <v>4400</v>
      </c>
      <c r="M5">
        <v>0</v>
      </c>
      <c r="N5" s="59">
        <v>45443</v>
      </c>
      <c r="O5" t="s">
        <v>2076</v>
      </c>
      <c r="P5" t="s">
        <v>930</v>
      </c>
      <c r="Q5" t="s">
        <v>931</v>
      </c>
      <c r="R5" t="s">
        <v>563</v>
      </c>
      <c r="S5" s="59"/>
      <c r="T5" t="s">
        <v>931</v>
      </c>
      <c r="U5" t="s">
        <v>932</v>
      </c>
      <c r="W5">
        <v>135000</v>
      </c>
      <c r="X5">
        <v>0</v>
      </c>
      <c r="Y5">
        <v>0</v>
      </c>
      <c r="Z5">
        <v>0</v>
      </c>
      <c r="AE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530211675903 010-6614-9975 45470689</v>
      </c>
    </row>
    <row r="6" spans="1:31">
      <c r="A6">
        <v>5</v>
      </c>
      <c r="B6" t="s">
        <v>562</v>
      </c>
      <c r="C6" t="s">
        <v>561</v>
      </c>
      <c r="D6" t="s">
        <v>933</v>
      </c>
      <c r="E6" s="59">
        <v>45443</v>
      </c>
      <c r="F6" t="s">
        <v>933</v>
      </c>
      <c r="G6" t="s">
        <v>935</v>
      </c>
      <c r="H6" t="s">
        <v>34</v>
      </c>
      <c r="I6" t="s">
        <v>353</v>
      </c>
      <c r="J6">
        <v>1</v>
      </c>
      <c r="K6">
        <v>23300</v>
      </c>
      <c r="L6">
        <v>3500</v>
      </c>
      <c r="M6">
        <v>0</v>
      </c>
      <c r="N6" s="59">
        <v>45443</v>
      </c>
      <c r="O6" t="s">
        <v>937</v>
      </c>
      <c r="P6" t="s">
        <v>938</v>
      </c>
      <c r="Q6" t="s">
        <v>939</v>
      </c>
      <c r="R6" t="s">
        <v>563</v>
      </c>
      <c r="S6" s="59"/>
      <c r="T6" t="s">
        <v>939</v>
      </c>
      <c r="U6" t="s">
        <v>940</v>
      </c>
      <c r="W6">
        <v>28620</v>
      </c>
      <c r="X6">
        <v>3180</v>
      </c>
      <c r="Y6">
        <v>3000</v>
      </c>
      <c r="Z6">
        <v>0</v>
      </c>
      <c r="AE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윤은희 윤은희 SE.206 투명 530211538423 010-8865-8843 2024053156950031</v>
      </c>
    </row>
    <row r="7" spans="1:31">
      <c r="A7">
        <v>6</v>
      </c>
      <c r="B7" t="s">
        <v>562</v>
      </c>
      <c r="C7" t="s">
        <v>561</v>
      </c>
      <c r="D7" t="s">
        <v>942</v>
      </c>
      <c r="E7" s="59">
        <v>45443</v>
      </c>
      <c r="F7" t="s">
        <v>942</v>
      </c>
      <c r="G7" t="s">
        <v>945</v>
      </c>
      <c r="H7" t="s">
        <v>266</v>
      </c>
      <c r="I7" t="s">
        <v>380</v>
      </c>
      <c r="J7">
        <v>40</v>
      </c>
      <c r="K7">
        <v>35200</v>
      </c>
      <c r="L7">
        <v>4400</v>
      </c>
      <c r="M7">
        <v>0</v>
      </c>
      <c r="N7" s="59">
        <v>45443</v>
      </c>
      <c r="O7" t="s">
        <v>947</v>
      </c>
      <c r="P7" t="s">
        <v>948</v>
      </c>
      <c r="Q7" t="s">
        <v>949</v>
      </c>
      <c r="R7" t="s">
        <v>563</v>
      </c>
      <c r="S7" s="59"/>
      <c r="T7" t="s">
        <v>949</v>
      </c>
      <c r="U7" t="s">
        <v>950</v>
      </c>
      <c r="W7">
        <v>50400</v>
      </c>
      <c r="X7">
        <v>0</v>
      </c>
      <c r="Y7">
        <v>0</v>
      </c>
      <c r="Z7">
        <v>0</v>
      </c>
      <c r="AE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고수연 고수연 SE.9 보라 530211538681 010-9034-2127 2024053156943881</v>
      </c>
    </row>
    <row r="8" spans="1:31">
      <c r="A8">
        <v>7</v>
      </c>
      <c r="B8" t="s">
        <v>562</v>
      </c>
      <c r="C8" t="s">
        <v>561</v>
      </c>
      <c r="D8" t="s">
        <v>953</v>
      </c>
      <c r="E8" s="59">
        <v>45443</v>
      </c>
      <c r="F8" t="s">
        <v>953</v>
      </c>
      <c r="G8" t="s">
        <v>955</v>
      </c>
      <c r="H8" t="s">
        <v>18</v>
      </c>
      <c r="I8" t="s">
        <v>353</v>
      </c>
      <c r="J8">
        <v>1</v>
      </c>
      <c r="K8">
        <v>10260</v>
      </c>
      <c r="L8">
        <v>3000</v>
      </c>
      <c r="M8">
        <v>0</v>
      </c>
      <c r="N8" s="59">
        <v>45443</v>
      </c>
      <c r="O8" t="s">
        <v>957</v>
      </c>
      <c r="P8" t="s">
        <v>958</v>
      </c>
      <c r="Q8" t="s">
        <v>959</v>
      </c>
      <c r="R8" t="s">
        <v>563</v>
      </c>
      <c r="S8" s="59"/>
      <c r="T8" t="s">
        <v>959</v>
      </c>
      <c r="U8" t="s">
        <v>960</v>
      </c>
      <c r="W8">
        <v>10690</v>
      </c>
      <c r="X8">
        <v>1190</v>
      </c>
      <c r="Y8">
        <v>3000</v>
      </c>
      <c r="Z8">
        <v>0</v>
      </c>
      <c r="AE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김정윤 김정윤 SE.307 투명 530211538235 010-2715-3902 2024053153041311</v>
      </c>
    </row>
    <row r="9" spans="1:31">
      <c r="A9">
        <v>8</v>
      </c>
      <c r="B9" t="s">
        <v>562</v>
      </c>
      <c r="C9" t="s">
        <v>561</v>
      </c>
      <c r="D9" t="s">
        <v>962</v>
      </c>
      <c r="E9" s="59">
        <v>45443</v>
      </c>
      <c r="F9" t="s">
        <v>962</v>
      </c>
      <c r="G9" t="s">
        <v>964</v>
      </c>
      <c r="H9" t="s">
        <v>22</v>
      </c>
      <c r="I9" t="s">
        <v>353</v>
      </c>
      <c r="J9">
        <v>1</v>
      </c>
      <c r="K9">
        <v>16150</v>
      </c>
      <c r="L9">
        <v>3500</v>
      </c>
      <c r="M9">
        <v>0</v>
      </c>
      <c r="N9" s="59">
        <v>45442</v>
      </c>
      <c r="O9" t="s">
        <v>966</v>
      </c>
      <c r="P9" t="s">
        <v>967</v>
      </c>
      <c r="Q9" t="s">
        <v>968</v>
      </c>
      <c r="R9" t="s">
        <v>563</v>
      </c>
      <c r="S9" s="59"/>
      <c r="T9" t="s">
        <v>968</v>
      </c>
      <c r="U9" t="s">
        <v>969</v>
      </c>
      <c r="V9" t="s">
        <v>970</v>
      </c>
      <c r="W9">
        <v>18630</v>
      </c>
      <c r="X9">
        <v>2070</v>
      </c>
      <c r="Y9">
        <v>0</v>
      </c>
      <c r="Z9">
        <v>0</v>
      </c>
      <c r="AE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SE.305 투명 540210571793 010-3333-7515 2024053028699001</v>
      </c>
    </row>
    <row r="10" spans="1:31">
      <c r="A10">
        <v>9</v>
      </c>
      <c r="B10" t="s">
        <v>562</v>
      </c>
      <c r="C10" t="s">
        <v>561</v>
      </c>
      <c r="D10" t="s">
        <v>962</v>
      </c>
      <c r="E10" s="59">
        <v>45443</v>
      </c>
      <c r="F10" t="s">
        <v>962</v>
      </c>
      <c r="G10" t="s">
        <v>964</v>
      </c>
      <c r="H10" t="s">
        <v>24</v>
      </c>
      <c r="I10" t="s">
        <v>353</v>
      </c>
      <c r="J10">
        <v>1</v>
      </c>
      <c r="K10">
        <v>9350</v>
      </c>
      <c r="L10">
        <v>0</v>
      </c>
      <c r="M10">
        <v>0</v>
      </c>
      <c r="N10" s="59">
        <v>45442</v>
      </c>
      <c r="O10" t="s">
        <v>972</v>
      </c>
      <c r="P10" t="s">
        <v>967</v>
      </c>
      <c r="Q10" t="s">
        <v>968</v>
      </c>
      <c r="R10" t="s">
        <v>563</v>
      </c>
      <c r="S10" s="59"/>
      <c r="T10" t="s">
        <v>968</v>
      </c>
      <c r="U10" t="s">
        <v>969</v>
      </c>
      <c r="V10" t="s">
        <v>970</v>
      </c>
      <c r="W10">
        <v>13770</v>
      </c>
      <c r="X10">
        <v>1530</v>
      </c>
      <c r="Y10">
        <v>0</v>
      </c>
      <c r="Z10">
        <v>0</v>
      </c>
      <c r="AE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성호영 성호영 SE.304 투명 540210571793 010-3333-7515 2024053028698991</v>
      </c>
    </row>
    <row r="11" spans="1:31">
      <c r="A11">
        <v>10</v>
      </c>
      <c r="B11" t="s">
        <v>562</v>
      </c>
      <c r="C11" t="s">
        <v>561</v>
      </c>
      <c r="D11" t="s">
        <v>926</v>
      </c>
      <c r="E11" s="59">
        <v>45443</v>
      </c>
      <c r="F11" t="s">
        <v>926</v>
      </c>
      <c r="G11" t="s">
        <v>974</v>
      </c>
      <c r="H11" t="s">
        <v>36</v>
      </c>
      <c r="I11" t="s">
        <v>353</v>
      </c>
      <c r="J11">
        <v>5</v>
      </c>
      <c r="K11">
        <v>82500</v>
      </c>
      <c r="L11">
        <v>0</v>
      </c>
      <c r="M11">
        <v>0</v>
      </c>
      <c r="N11" s="59">
        <v>45442</v>
      </c>
      <c r="O11" t="s">
        <v>976</v>
      </c>
      <c r="P11" t="s">
        <v>930</v>
      </c>
      <c r="Q11" t="s">
        <v>931</v>
      </c>
      <c r="R11" t="s">
        <v>563</v>
      </c>
      <c r="S11" s="59"/>
      <c r="T11" t="s">
        <v>931</v>
      </c>
      <c r="U11" t="s">
        <v>932</v>
      </c>
      <c r="W11">
        <v>121500</v>
      </c>
      <c r="X11">
        <v>13500</v>
      </c>
      <c r="Y11">
        <v>0</v>
      </c>
      <c r="Z11">
        <v>0</v>
      </c>
      <c r="AE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정경섭 정경섭 SE.205 투명 540210571841 010-6614-9975 2024053027262361</v>
      </c>
    </row>
    <row r="12" spans="1:31">
      <c r="A12">
        <v>11</v>
      </c>
      <c r="B12" t="s">
        <v>673</v>
      </c>
      <c r="C12" t="s">
        <v>568</v>
      </c>
      <c r="D12" t="s">
        <v>981</v>
      </c>
      <c r="E12" s="59">
        <v>45443</v>
      </c>
      <c r="F12" t="s">
        <v>978</v>
      </c>
      <c r="G12" t="s">
        <v>979</v>
      </c>
      <c r="H12" t="s">
        <v>34</v>
      </c>
      <c r="I12" t="s">
        <v>353</v>
      </c>
      <c r="J12">
        <v>2</v>
      </c>
      <c r="K12">
        <v>0</v>
      </c>
      <c r="L12">
        <v>4400</v>
      </c>
      <c r="M12">
        <v>0</v>
      </c>
      <c r="N12" s="59">
        <v>45442</v>
      </c>
      <c r="O12" t="s">
        <v>980</v>
      </c>
      <c r="P12" t="s">
        <v>982</v>
      </c>
      <c r="Q12" t="s">
        <v>983</v>
      </c>
      <c r="R12" t="s">
        <v>563</v>
      </c>
      <c r="S12" s="59"/>
      <c r="T12" t="s">
        <v>983</v>
      </c>
      <c r="U12" t="s">
        <v>984</v>
      </c>
      <c r="V12" t="s">
        <v>569</v>
      </c>
      <c r="W12">
        <v>60480</v>
      </c>
      <c r="X12">
        <v>0</v>
      </c>
      <c r="Y12">
        <v>0</v>
      </c>
      <c r="Z12">
        <v>0</v>
      </c>
      <c r="AE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이성희 최선용 SE.206 투명 530211538526 0502-4619-0245 27100050255907</v>
      </c>
    </row>
    <row r="13" spans="1:31">
      <c r="A13">
        <v>12</v>
      </c>
      <c r="B13" t="s">
        <v>673</v>
      </c>
      <c r="C13" t="s">
        <v>568</v>
      </c>
      <c r="D13" t="s">
        <v>986</v>
      </c>
      <c r="E13" s="59">
        <v>45443</v>
      </c>
      <c r="F13" t="s">
        <v>986</v>
      </c>
      <c r="G13" t="s">
        <v>988</v>
      </c>
      <c r="H13" t="s">
        <v>133</v>
      </c>
      <c r="I13" t="s">
        <v>353</v>
      </c>
      <c r="J13">
        <v>1</v>
      </c>
      <c r="K13">
        <v>0</v>
      </c>
      <c r="L13">
        <v>3000</v>
      </c>
      <c r="M13">
        <v>0</v>
      </c>
      <c r="N13" s="59">
        <v>45443</v>
      </c>
      <c r="O13" t="s">
        <v>989</v>
      </c>
      <c r="P13" t="s">
        <v>990</v>
      </c>
      <c r="Q13" t="s">
        <v>991</v>
      </c>
      <c r="R13" t="s">
        <v>563</v>
      </c>
      <c r="S13" s="59"/>
      <c r="T13" t="s">
        <v>991</v>
      </c>
      <c r="U13" t="s">
        <v>992</v>
      </c>
      <c r="V13" t="s">
        <v>571</v>
      </c>
      <c r="W13">
        <v>10400</v>
      </c>
      <c r="X13">
        <v>0</v>
      </c>
      <c r="Y13">
        <v>3000</v>
      </c>
      <c r="Z13">
        <v>0</v>
      </c>
      <c r="AD13">
        <v>10</v>
      </c>
      <c r="AE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조선주 조선주 SE.101 투명 540210572073 0502-1425-4833 2100050428361</v>
      </c>
    </row>
    <row r="14" spans="1:31">
      <c r="A14">
        <v>13</v>
      </c>
      <c r="B14" t="s">
        <v>673</v>
      </c>
      <c r="C14" t="s">
        <v>568</v>
      </c>
      <c r="D14" t="s">
        <v>994</v>
      </c>
      <c r="E14" s="59">
        <v>45443</v>
      </c>
      <c r="F14" t="s">
        <v>994</v>
      </c>
      <c r="G14" t="s">
        <v>996</v>
      </c>
      <c r="H14" t="s">
        <v>133</v>
      </c>
      <c r="I14" t="s">
        <v>353</v>
      </c>
      <c r="J14">
        <v>1</v>
      </c>
      <c r="K14">
        <v>0</v>
      </c>
      <c r="L14">
        <v>3000</v>
      </c>
      <c r="M14">
        <v>0</v>
      </c>
      <c r="N14" s="59">
        <v>45443</v>
      </c>
      <c r="O14" t="s">
        <v>997</v>
      </c>
      <c r="P14" t="s">
        <v>998</v>
      </c>
      <c r="Q14" t="s">
        <v>999</v>
      </c>
      <c r="R14" t="s">
        <v>563</v>
      </c>
      <c r="S14" s="59"/>
      <c r="T14" t="s">
        <v>999</v>
      </c>
      <c r="U14" t="s">
        <v>1000</v>
      </c>
      <c r="V14" t="s">
        <v>571</v>
      </c>
      <c r="W14">
        <v>17300</v>
      </c>
      <c r="X14">
        <v>0</v>
      </c>
      <c r="Y14">
        <v>3000</v>
      </c>
      <c r="Z14">
        <v>0</v>
      </c>
      <c r="AD14">
        <v>10</v>
      </c>
      <c r="AE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오윤이 오윤이 SE.101 투명 540210665641 0502-1316-5124 10100050526476</v>
      </c>
    </row>
    <row r="15" spans="1:31">
      <c r="A15">
        <v>14</v>
      </c>
      <c r="B15" t="s">
        <v>562</v>
      </c>
      <c r="C15" t="s">
        <v>568</v>
      </c>
      <c r="D15" t="s">
        <v>1002</v>
      </c>
      <c r="E15" s="59">
        <v>45443</v>
      </c>
      <c r="F15" t="s">
        <v>1002</v>
      </c>
      <c r="G15" t="s">
        <v>1003</v>
      </c>
      <c r="H15" t="s">
        <v>34</v>
      </c>
      <c r="I15" t="s">
        <v>353</v>
      </c>
      <c r="J15">
        <v>1</v>
      </c>
      <c r="K15">
        <v>23300</v>
      </c>
      <c r="L15">
        <v>3500</v>
      </c>
      <c r="M15">
        <v>0</v>
      </c>
      <c r="N15" s="59">
        <v>45442</v>
      </c>
      <c r="O15" t="s">
        <v>1004</v>
      </c>
      <c r="P15" t="s">
        <v>1005</v>
      </c>
      <c r="Q15" t="s">
        <v>1006</v>
      </c>
      <c r="R15" t="s">
        <v>563</v>
      </c>
      <c r="S15" s="59"/>
      <c r="T15" t="s">
        <v>1006</v>
      </c>
      <c r="U15" t="s">
        <v>1007</v>
      </c>
      <c r="V15" t="s">
        <v>571</v>
      </c>
      <c r="W15">
        <v>34020</v>
      </c>
      <c r="X15">
        <v>0</v>
      </c>
      <c r="Y15">
        <v>3000</v>
      </c>
      <c r="Z15">
        <v>0</v>
      </c>
      <c r="AE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강인석 강인석 SE.206 투명 530211538213 0502-5120-3674 7100050532943</v>
      </c>
    </row>
    <row r="16" spans="1:31">
      <c r="A16">
        <v>15</v>
      </c>
      <c r="B16" t="s">
        <v>562</v>
      </c>
      <c r="C16" t="s">
        <v>568</v>
      </c>
      <c r="D16" t="s">
        <v>1012</v>
      </c>
      <c r="E16" s="59">
        <v>45443</v>
      </c>
      <c r="F16" t="s">
        <v>1009</v>
      </c>
      <c r="G16" t="s">
        <v>1010</v>
      </c>
      <c r="H16" t="s">
        <v>34</v>
      </c>
      <c r="I16" t="s">
        <v>353</v>
      </c>
      <c r="J16">
        <v>1</v>
      </c>
      <c r="K16">
        <v>23300</v>
      </c>
      <c r="L16">
        <v>3500</v>
      </c>
      <c r="M16">
        <v>0</v>
      </c>
      <c r="N16" s="59">
        <v>45443</v>
      </c>
      <c r="O16" t="s">
        <v>1011</v>
      </c>
      <c r="P16" t="s">
        <v>1013</v>
      </c>
      <c r="Q16" t="s">
        <v>1014</v>
      </c>
      <c r="R16" t="s">
        <v>563</v>
      </c>
      <c r="S16" s="59"/>
      <c r="T16" t="s">
        <v>1014</v>
      </c>
      <c r="U16" t="s">
        <v>1015</v>
      </c>
      <c r="V16" t="s">
        <v>1016</v>
      </c>
      <c r="W16">
        <v>34020</v>
      </c>
      <c r="X16">
        <v>0</v>
      </c>
      <c r="Y16">
        <v>3000</v>
      </c>
      <c r="Z16">
        <v>0</v>
      </c>
      <c r="AE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엄기성 굿푸드통상 SE.206 투명 540210571756 0504-4985-1324 2100050381770</v>
      </c>
    </row>
    <row r="17" spans="1:31">
      <c r="A17">
        <v>16</v>
      </c>
      <c r="B17" t="s">
        <v>562</v>
      </c>
      <c r="C17" t="s">
        <v>568</v>
      </c>
      <c r="D17" t="s">
        <v>1018</v>
      </c>
      <c r="E17" s="59">
        <v>45443</v>
      </c>
      <c r="F17" t="s">
        <v>1018</v>
      </c>
      <c r="G17" t="s">
        <v>1019</v>
      </c>
      <c r="H17" t="s">
        <v>34</v>
      </c>
      <c r="I17" t="s">
        <v>353</v>
      </c>
      <c r="J17">
        <v>1</v>
      </c>
      <c r="K17">
        <v>23300</v>
      </c>
      <c r="L17">
        <v>3500</v>
      </c>
      <c r="M17">
        <v>0</v>
      </c>
      <c r="N17" s="59">
        <v>45443</v>
      </c>
      <c r="O17" t="s">
        <v>1020</v>
      </c>
      <c r="P17" t="s">
        <v>1021</v>
      </c>
      <c r="Q17" t="s">
        <v>1022</v>
      </c>
      <c r="R17" t="s">
        <v>563</v>
      </c>
      <c r="S17" s="59"/>
      <c r="T17" t="s">
        <v>1022</v>
      </c>
      <c r="U17" t="s">
        <v>1023</v>
      </c>
      <c r="V17" t="s">
        <v>571</v>
      </c>
      <c r="W17">
        <v>34020</v>
      </c>
      <c r="X17">
        <v>0</v>
      </c>
      <c r="Y17">
        <v>3000</v>
      </c>
      <c r="Z17">
        <v>0</v>
      </c>
      <c r="AE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백유리 백유리 SE.206 투명 540210572272 0502-4703-9103 12100050430625</v>
      </c>
    </row>
    <row r="18" spans="1:31">
      <c r="A18">
        <v>17</v>
      </c>
      <c r="B18" t="s">
        <v>562</v>
      </c>
      <c r="C18" t="s">
        <v>568</v>
      </c>
      <c r="D18" t="s">
        <v>1028</v>
      </c>
      <c r="E18" s="59">
        <v>45443</v>
      </c>
      <c r="F18" t="s">
        <v>1025</v>
      </c>
      <c r="G18" t="s">
        <v>1026</v>
      </c>
      <c r="H18" t="s">
        <v>118</v>
      </c>
      <c r="I18" t="s">
        <v>353</v>
      </c>
      <c r="J18">
        <v>3</v>
      </c>
      <c r="K18">
        <v>7950</v>
      </c>
      <c r="L18">
        <v>3000</v>
      </c>
      <c r="M18">
        <v>0</v>
      </c>
      <c r="N18" s="59">
        <v>45443</v>
      </c>
      <c r="O18" t="s">
        <v>1027</v>
      </c>
      <c r="P18" t="s">
        <v>1029</v>
      </c>
      <c r="Q18" t="s">
        <v>1030</v>
      </c>
      <c r="R18" t="s">
        <v>563</v>
      </c>
      <c r="S18" s="59"/>
      <c r="T18" t="s">
        <v>1030</v>
      </c>
      <c r="U18" t="s">
        <v>1031</v>
      </c>
      <c r="V18" t="s">
        <v>571</v>
      </c>
      <c r="W18">
        <v>7320</v>
      </c>
      <c r="X18">
        <v>1320</v>
      </c>
      <c r="Y18">
        <v>0</v>
      </c>
      <c r="Z18">
        <v>0</v>
      </c>
      <c r="AE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SE.105 투명 530211538493 0502-4530-6882 29100050606795</v>
      </c>
    </row>
    <row r="19" spans="1:31">
      <c r="A19">
        <v>18</v>
      </c>
      <c r="B19" t="s">
        <v>562</v>
      </c>
      <c r="C19" t="s">
        <v>568</v>
      </c>
      <c r="D19" t="s">
        <v>1028</v>
      </c>
      <c r="E19" s="59">
        <v>45443</v>
      </c>
      <c r="F19" t="s">
        <v>1025</v>
      </c>
      <c r="G19" t="s">
        <v>1026</v>
      </c>
      <c r="H19" t="s">
        <v>50</v>
      </c>
      <c r="I19" t="s">
        <v>353</v>
      </c>
      <c r="J19">
        <v>3</v>
      </c>
      <c r="K19">
        <v>3960</v>
      </c>
      <c r="L19">
        <v>0</v>
      </c>
      <c r="M19">
        <v>0</v>
      </c>
      <c r="N19" s="59">
        <v>45443</v>
      </c>
      <c r="O19" t="s">
        <v>1027</v>
      </c>
      <c r="P19" t="s">
        <v>1029</v>
      </c>
      <c r="Q19" t="s">
        <v>1030</v>
      </c>
      <c r="R19" t="s">
        <v>563</v>
      </c>
      <c r="S19" s="59"/>
      <c r="T19" t="s">
        <v>1030</v>
      </c>
      <c r="U19" t="s">
        <v>1031</v>
      </c>
      <c r="V19" t="s">
        <v>571</v>
      </c>
      <c r="W19">
        <v>7620</v>
      </c>
      <c r="X19">
        <v>420</v>
      </c>
      <c r="Y19">
        <v>0</v>
      </c>
      <c r="Z19">
        <v>0</v>
      </c>
      <c r="AE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DUONG THANH HANH Duong Hanh SE.138 투명 530211538493 0502-4530-6882 29100050606795</v>
      </c>
    </row>
    <row r="20" spans="1:31">
      <c r="A20">
        <v>19</v>
      </c>
      <c r="B20" t="s">
        <v>673</v>
      </c>
      <c r="C20" t="s">
        <v>561</v>
      </c>
      <c r="D20" t="s">
        <v>1039</v>
      </c>
      <c r="E20" s="59">
        <v>45443</v>
      </c>
      <c r="F20" t="s">
        <v>1033</v>
      </c>
      <c r="G20" t="s">
        <v>1036</v>
      </c>
      <c r="H20" t="s">
        <v>34</v>
      </c>
      <c r="I20" t="s">
        <v>353</v>
      </c>
      <c r="J20">
        <v>2</v>
      </c>
      <c r="K20">
        <v>0</v>
      </c>
      <c r="L20">
        <v>4400</v>
      </c>
      <c r="M20">
        <v>0</v>
      </c>
      <c r="N20" s="59">
        <v>45442</v>
      </c>
      <c r="O20" t="s">
        <v>1038</v>
      </c>
      <c r="P20" t="s">
        <v>1040</v>
      </c>
      <c r="Q20" t="s">
        <v>1041</v>
      </c>
      <c r="R20" t="s">
        <v>563</v>
      </c>
      <c r="S20" s="59"/>
      <c r="T20" t="s">
        <v>1041</v>
      </c>
      <c r="U20" t="s">
        <v>1042</v>
      </c>
      <c r="V20" t="s">
        <v>1043</v>
      </c>
      <c r="W20">
        <v>56800</v>
      </c>
      <c r="X20">
        <v>0</v>
      </c>
      <c r="Y20">
        <v>0</v>
      </c>
      <c r="Z20">
        <v>0</v>
      </c>
      <c r="AE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정경진 더누벨예약실 SE.206 투명 540210578185 010-3046-3334 2024053032136921</v>
      </c>
    </row>
    <row r="21" spans="1:31">
      <c r="A21">
        <v>20</v>
      </c>
      <c r="B21" t="s">
        <v>673</v>
      </c>
      <c r="C21" t="s">
        <v>532</v>
      </c>
      <c r="E21" s="59">
        <v>45446</v>
      </c>
      <c r="F21" t="s">
        <v>1046</v>
      </c>
      <c r="G21" t="s">
        <v>1047</v>
      </c>
      <c r="H21" t="s">
        <v>531</v>
      </c>
      <c r="I21" t="s">
        <v>353</v>
      </c>
      <c r="J21">
        <v>1</v>
      </c>
      <c r="K21">
        <v>0</v>
      </c>
      <c r="L21">
        <v>0</v>
      </c>
      <c r="M21">
        <v>0</v>
      </c>
      <c r="N21" s="59">
        <v>45446</v>
      </c>
      <c r="O21" t="s">
        <v>2077</v>
      </c>
      <c r="R21" t="s">
        <v>563</v>
      </c>
      <c r="S21" s="59"/>
      <c r="T21" t="s">
        <v>1049</v>
      </c>
      <c r="U21" t="s">
        <v>1050</v>
      </c>
      <c r="W21">
        <v>0</v>
      </c>
      <c r="X21">
        <v>0</v>
      </c>
      <c r="Y21">
        <v>0</v>
      </c>
      <c r="Z21">
        <v>0</v>
      </c>
      <c r="AE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청도추어탕고디탕 SE.1000 투명 530213589552 010-8755-5098 45470286</v>
      </c>
    </row>
    <row r="22" spans="1:31">
      <c r="A22">
        <v>21</v>
      </c>
      <c r="B22" t="s">
        <v>673</v>
      </c>
      <c r="C22" t="s">
        <v>532</v>
      </c>
      <c r="E22" s="59">
        <v>45446</v>
      </c>
      <c r="F22" t="s">
        <v>1051</v>
      </c>
      <c r="G22" t="s">
        <v>1052</v>
      </c>
      <c r="H22" t="s">
        <v>531</v>
      </c>
      <c r="I22" t="s">
        <v>353</v>
      </c>
      <c r="J22">
        <v>1</v>
      </c>
      <c r="K22">
        <v>0</v>
      </c>
      <c r="L22">
        <v>0</v>
      </c>
      <c r="M22">
        <v>0</v>
      </c>
      <c r="N22" s="59">
        <v>45446</v>
      </c>
      <c r="O22" t="s">
        <v>2078</v>
      </c>
      <c r="R22" t="s">
        <v>563</v>
      </c>
      <c r="S22" s="59"/>
      <c r="T22" t="s">
        <v>1054</v>
      </c>
      <c r="U22" t="s">
        <v>1055</v>
      </c>
      <c r="W22">
        <v>0</v>
      </c>
      <c r="X22">
        <v>0</v>
      </c>
      <c r="Y22">
        <v>0</v>
      </c>
      <c r="Z22">
        <v>0</v>
      </c>
      <c r="AE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형제떡방앗간 SE.1000 투명 530213521733 010-6246-4029 45470237</v>
      </c>
    </row>
    <row r="23" spans="1:31">
      <c r="A23">
        <v>22</v>
      </c>
      <c r="B23" t="s">
        <v>673</v>
      </c>
      <c r="C23" t="s">
        <v>532</v>
      </c>
      <c r="E23" s="59">
        <v>45446</v>
      </c>
      <c r="F23" t="s">
        <v>1056</v>
      </c>
      <c r="G23" t="s">
        <v>1059</v>
      </c>
      <c r="H23" t="s">
        <v>531</v>
      </c>
      <c r="I23" t="s">
        <v>353</v>
      </c>
      <c r="J23">
        <v>4</v>
      </c>
      <c r="K23">
        <v>0</v>
      </c>
      <c r="L23">
        <v>5500</v>
      </c>
      <c r="M23">
        <v>0</v>
      </c>
      <c r="N23" s="59">
        <v>45446</v>
      </c>
      <c r="O23" t="s">
        <v>2079</v>
      </c>
      <c r="R23" t="s">
        <v>563</v>
      </c>
      <c r="S23" s="59"/>
      <c r="T23" t="s">
        <v>1061</v>
      </c>
      <c r="U23" t="s">
        <v>1062</v>
      </c>
      <c r="W23">
        <v>0</v>
      </c>
      <c r="X23">
        <v>0</v>
      </c>
      <c r="Y23">
        <v>0</v>
      </c>
      <c r="Z23">
        <v>0</v>
      </c>
      <c r="AE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역전떡집 SE.1000 투명 530213372596 010-4106-0020 45470899</v>
      </c>
    </row>
    <row r="24" spans="1:31">
      <c r="A24">
        <v>23</v>
      </c>
      <c r="B24" t="s">
        <v>562</v>
      </c>
      <c r="C24" t="s">
        <v>561</v>
      </c>
      <c r="D24" t="s">
        <v>1063</v>
      </c>
      <c r="E24" s="59">
        <v>45446</v>
      </c>
      <c r="F24" t="s">
        <v>1063</v>
      </c>
      <c r="G24" t="s">
        <v>1065</v>
      </c>
      <c r="H24" t="s">
        <v>44</v>
      </c>
      <c r="I24" t="s">
        <v>353</v>
      </c>
      <c r="J24">
        <v>1</v>
      </c>
      <c r="K24">
        <v>12900</v>
      </c>
      <c r="L24">
        <v>3000</v>
      </c>
      <c r="M24">
        <v>0</v>
      </c>
      <c r="N24" s="59">
        <v>45446</v>
      </c>
      <c r="O24" t="s">
        <v>1067</v>
      </c>
      <c r="P24" t="s">
        <v>1068</v>
      </c>
      <c r="Q24" t="s">
        <v>1069</v>
      </c>
      <c r="R24" t="s">
        <v>563</v>
      </c>
      <c r="S24" s="59"/>
      <c r="T24" t="s">
        <v>1069</v>
      </c>
      <c r="U24" t="s">
        <v>1070</v>
      </c>
      <c r="W24">
        <v>14580</v>
      </c>
      <c r="X24">
        <v>1620</v>
      </c>
      <c r="Y24">
        <v>3000</v>
      </c>
      <c r="Z24">
        <v>0</v>
      </c>
      <c r="AE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유승범 유승범 SE.201 투명 530213305035 010-5268-9041 2024060356409111</v>
      </c>
    </row>
    <row r="25" spans="1:31">
      <c r="A25">
        <v>24</v>
      </c>
      <c r="B25" t="s">
        <v>562</v>
      </c>
      <c r="C25" t="s">
        <v>561</v>
      </c>
      <c r="D25" t="s">
        <v>1072</v>
      </c>
      <c r="E25" s="59">
        <v>45446</v>
      </c>
      <c r="F25" t="s">
        <v>1072</v>
      </c>
      <c r="G25" t="s">
        <v>1073</v>
      </c>
      <c r="H25" t="s">
        <v>44</v>
      </c>
      <c r="I25" t="s">
        <v>353</v>
      </c>
      <c r="J25">
        <v>1</v>
      </c>
      <c r="K25">
        <v>12900</v>
      </c>
      <c r="L25">
        <v>3000</v>
      </c>
      <c r="M25">
        <v>0</v>
      </c>
      <c r="N25" s="59">
        <v>45445</v>
      </c>
      <c r="O25" t="s">
        <v>1075</v>
      </c>
      <c r="P25" t="s">
        <v>1076</v>
      </c>
      <c r="Q25" t="s">
        <v>1077</v>
      </c>
      <c r="R25" t="s">
        <v>563</v>
      </c>
      <c r="S25" s="59"/>
      <c r="T25" t="s">
        <v>1077</v>
      </c>
      <c r="U25" t="s">
        <v>1078</v>
      </c>
      <c r="W25">
        <v>14580</v>
      </c>
      <c r="X25">
        <v>1620</v>
      </c>
      <c r="Y25">
        <v>3000</v>
      </c>
      <c r="Z25">
        <v>0</v>
      </c>
      <c r="AE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강정화 강정화 SE.201 투명 530213305105 010-2849-9914 2024060217398401</v>
      </c>
    </row>
    <row r="26" spans="1:31">
      <c r="A26">
        <v>25</v>
      </c>
      <c r="B26" t="s">
        <v>562</v>
      </c>
      <c r="C26" t="s">
        <v>561</v>
      </c>
      <c r="D26" t="s">
        <v>1080</v>
      </c>
      <c r="E26" s="59">
        <v>45446</v>
      </c>
      <c r="F26" t="s">
        <v>1080</v>
      </c>
      <c r="G26" t="s">
        <v>1081</v>
      </c>
      <c r="H26" t="s">
        <v>34</v>
      </c>
      <c r="I26" t="s">
        <v>353</v>
      </c>
      <c r="J26">
        <v>2</v>
      </c>
      <c r="K26">
        <v>44000</v>
      </c>
      <c r="L26">
        <v>4400</v>
      </c>
      <c r="M26">
        <v>0</v>
      </c>
      <c r="N26" s="59">
        <v>45444</v>
      </c>
      <c r="O26" t="s">
        <v>1083</v>
      </c>
      <c r="P26" t="s">
        <v>1084</v>
      </c>
      <c r="Q26" t="s">
        <v>1085</v>
      </c>
      <c r="R26" t="s">
        <v>563</v>
      </c>
      <c r="S26" s="59"/>
      <c r="T26" t="s">
        <v>1086</v>
      </c>
      <c r="U26" t="s">
        <v>1087</v>
      </c>
      <c r="W26">
        <v>57240</v>
      </c>
      <c r="X26">
        <v>6360</v>
      </c>
      <c r="Y26">
        <v>0</v>
      </c>
      <c r="Z26">
        <v>0</v>
      </c>
      <c r="AE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윤춘자 윤춘자 SE.206 투명 530213304965 0502-3570-4749 2024060182579771</v>
      </c>
    </row>
    <row r="27" spans="1:31">
      <c r="A27">
        <v>26</v>
      </c>
      <c r="B27" t="s">
        <v>673</v>
      </c>
      <c r="C27" t="s">
        <v>561</v>
      </c>
      <c r="D27" t="s">
        <v>1089</v>
      </c>
      <c r="E27" s="59">
        <v>45446</v>
      </c>
      <c r="F27" t="s">
        <v>1089</v>
      </c>
      <c r="G27" t="s">
        <v>1091</v>
      </c>
      <c r="H27" t="s">
        <v>36</v>
      </c>
      <c r="I27" t="s">
        <v>353</v>
      </c>
      <c r="J27">
        <v>1</v>
      </c>
      <c r="K27">
        <v>0</v>
      </c>
      <c r="L27">
        <v>3000</v>
      </c>
      <c r="M27">
        <v>0</v>
      </c>
      <c r="N27" s="59">
        <v>45446</v>
      </c>
      <c r="O27" t="s">
        <v>1093</v>
      </c>
      <c r="P27" t="s">
        <v>1094</v>
      </c>
      <c r="Q27" t="s">
        <v>1095</v>
      </c>
      <c r="R27" t="s">
        <v>563</v>
      </c>
      <c r="S27" s="59"/>
      <c r="T27" t="s">
        <v>1095</v>
      </c>
      <c r="U27" t="s">
        <v>1096</v>
      </c>
      <c r="W27">
        <v>24000</v>
      </c>
      <c r="X27">
        <v>0</v>
      </c>
      <c r="Y27">
        <v>3000</v>
      </c>
      <c r="Z27">
        <v>0</v>
      </c>
      <c r="AE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노민정 노민정 SE.205 투명 530213304862 010-2714-7704 2024060349869161</v>
      </c>
    </row>
    <row r="28" spans="1:31">
      <c r="A28">
        <v>27</v>
      </c>
      <c r="B28" t="s">
        <v>673</v>
      </c>
      <c r="C28" t="s">
        <v>561</v>
      </c>
      <c r="D28" t="s">
        <v>1098</v>
      </c>
      <c r="E28" s="59">
        <v>45446</v>
      </c>
      <c r="F28" t="s">
        <v>1098</v>
      </c>
      <c r="G28" t="s">
        <v>1100</v>
      </c>
      <c r="H28" t="s">
        <v>40</v>
      </c>
      <c r="I28" t="s">
        <v>353</v>
      </c>
      <c r="J28">
        <v>1</v>
      </c>
      <c r="K28">
        <v>0</v>
      </c>
      <c r="L28">
        <v>3000</v>
      </c>
      <c r="M28">
        <v>0</v>
      </c>
      <c r="N28" s="59">
        <v>45445</v>
      </c>
      <c r="O28" t="s">
        <v>1102</v>
      </c>
      <c r="P28" t="s">
        <v>1103</v>
      </c>
      <c r="Q28" t="s">
        <v>1104</v>
      </c>
      <c r="R28" t="s">
        <v>563</v>
      </c>
      <c r="S28" s="59"/>
      <c r="T28" t="s">
        <v>1104</v>
      </c>
      <c r="U28" t="s">
        <v>1105</v>
      </c>
      <c r="W28">
        <v>17600</v>
      </c>
      <c r="X28">
        <v>0</v>
      </c>
      <c r="Y28">
        <v>3000</v>
      </c>
      <c r="Z28">
        <v>0</v>
      </c>
      <c r="AE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한찬범 한찬범 SE.203 투명 530213304980 010-9589-2203 2024060234540801</v>
      </c>
    </row>
    <row r="29" spans="1:31">
      <c r="A29">
        <v>28</v>
      </c>
      <c r="B29" t="s">
        <v>673</v>
      </c>
      <c r="C29" t="s">
        <v>561</v>
      </c>
      <c r="D29" t="s">
        <v>1112</v>
      </c>
      <c r="E29" s="59">
        <v>45446</v>
      </c>
      <c r="F29" t="s">
        <v>1107</v>
      </c>
      <c r="G29" t="s">
        <v>1109</v>
      </c>
      <c r="H29" t="s">
        <v>38</v>
      </c>
      <c r="I29" t="s">
        <v>353</v>
      </c>
      <c r="J29">
        <v>1</v>
      </c>
      <c r="K29">
        <v>0</v>
      </c>
      <c r="L29">
        <v>3500</v>
      </c>
      <c r="M29">
        <v>0</v>
      </c>
      <c r="N29" s="59">
        <v>45444</v>
      </c>
      <c r="O29" t="s">
        <v>1111</v>
      </c>
      <c r="P29" t="s">
        <v>1113</v>
      </c>
      <c r="Q29" t="s">
        <v>1114</v>
      </c>
      <c r="R29" t="s">
        <v>563</v>
      </c>
      <c r="S29" s="59"/>
      <c r="T29" t="s">
        <v>1114</v>
      </c>
      <c r="U29" t="s">
        <v>1115</v>
      </c>
      <c r="W29">
        <v>20800</v>
      </c>
      <c r="X29">
        <v>0</v>
      </c>
      <c r="Y29">
        <v>3000</v>
      </c>
      <c r="Z29">
        <v>0</v>
      </c>
      <c r="AE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JINXIANGHUA 김단혜 SE.204 투명 530213304910 010-5313-3880 2024060186841831</v>
      </c>
    </row>
    <row r="30" spans="1:31">
      <c r="A30">
        <v>29</v>
      </c>
      <c r="B30" t="s">
        <v>673</v>
      </c>
      <c r="C30" t="s">
        <v>561</v>
      </c>
      <c r="D30" t="s">
        <v>1123</v>
      </c>
      <c r="E30" s="59">
        <v>45446</v>
      </c>
      <c r="F30" t="s">
        <v>1117</v>
      </c>
      <c r="G30" t="s">
        <v>1120</v>
      </c>
      <c r="H30" t="s">
        <v>224</v>
      </c>
      <c r="I30" t="s">
        <v>368</v>
      </c>
      <c r="J30">
        <v>1</v>
      </c>
      <c r="K30">
        <v>0</v>
      </c>
      <c r="L30">
        <v>3000</v>
      </c>
      <c r="M30">
        <v>0</v>
      </c>
      <c r="N30" s="59">
        <v>45444</v>
      </c>
      <c r="O30" t="s">
        <v>1122</v>
      </c>
      <c r="P30" t="s">
        <v>1124</v>
      </c>
      <c r="Q30" t="s">
        <v>1125</v>
      </c>
      <c r="R30" t="s">
        <v>563</v>
      </c>
      <c r="S30" s="59"/>
      <c r="T30" t="s">
        <v>1125</v>
      </c>
      <c r="U30" t="s">
        <v>1126</v>
      </c>
      <c r="W30">
        <v>1770</v>
      </c>
      <c r="X30">
        <v>1440</v>
      </c>
      <c r="Y30">
        <v>0</v>
      </c>
      <c r="Z30">
        <v>0</v>
      </c>
      <c r="AE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SE.18 청백 530213304895 010-9518-2588 2024060185000311</v>
      </c>
    </row>
    <row r="31" spans="1:31">
      <c r="A31">
        <v>30</v>
      </c>
      <c r="B31" t="s">
        <v>673</v>
      </c>
      <c r="C31" t="s">
        <v>561</v>
      </c>
      <c r="D31" t="s">
        <v>1123</v>
      </c>
      <c r="E31" s="59">
        <v>45446</v>
      </c>
      <c r="F31" t="s">
        <v>1117</v>
      </c>
      <c r="G31" t="s">
        <v>1120</v>
      </c>
      <c r="H31" t="s">
        <v>271</v>
      </c>
      <c r="I31" t="s">
        <v>375</v>
      </c>
      <c r="J31">
        <v>10</v>
      </c>
      <c r="K31">
        <v>0</v>
      </c>
      <c r="L31">
        <v>0</v>
      </c>
      <c r="M31">
        <v>0</v>
      </c>
      <c r="N31" s="59">
        <v>45444</v>
      </c>
      <c r="O31" t="s">
        <v>1130</v>
      </c>
      <c r="P31" t="s">
        <v>1124</v>
      </c>
      <c r="Q31" t="s">
        <v>1125</v>
      </c>
      <c r="R31" t="s">
        <v>563</v>
      </c>
      <c r="S31" s="59"/>
      <c r="T31" t="s">
        <v>1125</v>
      </c>
      <c r="U31" t="s">
        <v>1126</v>
      </c>
      <c r="W31">
        <v>9800</v>
      </c>
      <c r="X31">
        <v>14400</v>
      </c>
      <c r="Y31">
        <v>0</v>
      </c>
      <c r="Z31">
        <v>0</v>
      </c>
      <c r="AE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SE.8 유백 530213304895 010-9518-2588 2024060185000301</v>
      </c>
    </row>
    <row r="32" spans="1:31">
      <c r="A32">
        <v>31</v>
      </c>
      <c r="B32" t="s">
        <v>673</v>
      </c>
      <c r="C32" t="s">
        <v>561</v>
      </c>
      <c r="D32" t="s">
        <v>1123</v>
      </c>
      <c r="E32" s="59">
        <v>45446</v>
      </c>
      <c r="F32" t="s">
        <v>1117</v>
      </c>
      <c r="G32" t="s">
        <v>1120</v>
      </c>
      <c r="H32" t="s">
        <v>6</v>
      </c>
      <c r="I32" t="s">
        <v>353</v>
      </c>
      <c r="J32">
        <v>1</v>
      </c>
      <c r="K32">
        <v>0</v>
      </c>
      <c r="L32">
        <v>0</v>
      </c>
      <c r="M32">
        <v>0</v>
      </c>
      <c r="N32" s="59">
        <v>45444</v>
      </c>
      <c r="O32" t="s">
        <v>1133</v>
      </c>
      <c r="P32" t="s">
        <v>1124</v>
      </c>
      <c r="Q32" t="s">
        <v>1125</v>
      </c>
      <c r="R32" t="s">
        <v>563</v>
      </c>
      <c r="S32" s="59"/>
      <c r="T32" t="s">
        <v>1125</v>
      </c>
      <c r="U32" t="s">
        <v>1126</v>
      </c>
      <c r="W32">
        <v>12600</v>
      </c>
      <c r="X32">
        <v>0</v>
      </c>
      <c r="Y32">
        <v>0</v>
      </c>
      <c r="Z32">
        <v>0</v>
      </c>
      <c r="AE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정유연 하루정육 SE.406 투명 530213304895 010-9518-2588 2024060185000291</v>
      </c>
    </row>
    <row r="33" spans="1:31">
      <c r="A33">
        <v>32</v>
      </c>
      <c r="B33" t="s">
        <v>673</v>
      </c>
      <c r="C33" t="s">
        <v>561</v>
      </c>
      <c r="D33" t="s">
        <v>1135</v>
      </c>
      <c r="E33" s="59">
        <v>45446</v>
      </c>
      <c r="F33" t="s">
        <v>1135</v>
      </c>
      <c r="G33" t="s">
        <v>1137</v>
      </c>
      <c r="H33" t="s">
        <v>38</v>
      </c>
      <c r="I33" t="s">
        <v>353</v>
      </c>
      <c r="J33">
        <v>1</v>
      </c>
      <c r="K33">
        <v>0</v>
      </c>
      <c r="L33">
        <v>3000</v>
      </c>
      <c r="M33">
        <v>0</v>
      </c>
      <c r="N33" s="59">
        <v>45443</v>
      </c>
      <c r="O33" t="s">
        <v>1139</v>
      </c>
      <c r="P33" t="s">
        <v>1140</v>
      </c>
      <c r="Q33" t="s">
        <v>1141</v>
      </c>
      <c r="R33" t="s">
        <v>563</v>
      </c>
      <c r="S33" s="59"/>
      <c r="T33" t="s">
        <v>1141</v>
      </c>
      <c r="U33" t="s">
        <v>1142</v>
      </c>
      <c r="W33">
        <v>20800</v>
      </c>
      <c r="X33">
        <v>0</v>
      </c>
      <c r="Y33">
        <v>3000</v>
      </c>
      <c r="Z33">
        <v>0</v>
      </c>
      <c r="AE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안태진 안태진 SE.204 투명 530213305013 010-3096-4296 2024053168578671</v>
      </c>
    </row>
    <row r="34" spans="1:31">
      <c r="A34">
        <v>33</v>
      </c>
      <c r="B34" t="s">
        <v>562</v>
      </c>
      <c r="C34" t="s">
        <v>568</v>
      </c>
      <c r="D34" t="s">
        <v>1149</v>
      </c>
      <c r="E34" s="59">
        <v>45446</v>
      </c>
      <c r="F34" t="s">
        <v>1144</v>
      </c>
      <c r="G34" t="s">
        <v>1147</v>
      </c>
      <c r="H34" t="s">
        <v>18</v>
      </c>
      <c r="I34" t="s">
        <v>353</v>
      </c>
      <c r="J34">
        <v>1</v>
      </c>
      <c r="K34">
        <v>10260</v>
      </c>
      <c r="L34">
        <v>3000</v>
      </c>
      <c r="M34">
        <v>0</v>
      </c>
      <c r="N34" s="59">
        <v>45444</v>
      </c>
      <c r="O34" t="s">
        <v>1148</v>
      </c>
      <c r="P34" t="s">
        <v>1150</v>
      </c>
      <c r="Q34" t="s">
        <v>1151</v>
      </c>
      <c r="R34" t="s">
        <v>563</v>
      </c>
      <c r="S34" s="59"/>
      <c r="T34" t="s">
        <v>1151</v>
      </c>
      <c r="U34" t="s">
        <v>1152</v>
      </c>
      <c r="V34" t="s">
        <v>571</v>
      </c>
      <c r="W34">
        <v>12470</v>
      </c>
      <c r="X34">
        <v>0</v>
      </c>
      <c r="Y34">
        <v>3000</v>
      </c>
      <c r="Z34">
        <v>0</v>
      </c>
      <c r="AE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손연주 손효정 SE.307 투명 530213305120 0502-4352-0407 28100050592430</v>
      </c>
    </row>
    <row r="35" spans="1:31">
      <c r="A35">
        <v>34</v>
      </c>
      <c r="B35" t="s">
        <v>562</v>
      </c>
      <c r="C35" t="s">
        <v>568</v>
      </c>
      <c r="D35" t="s">
        <v>1154</v>
      </c>
      <c r="E35" s="59">
        <v>45446</v>
      </c>
      <c r="F35" t="s">
        <v>1154</v>
      </c>
      <c r="G35" t="s">
        <v>1155</v>
      </c>
      <c r="H35" t="s">
        <v>34</v>
      </c>
      <c r="I35" t="s">
        <v>353</v>
      </c>
      <c r="J35">
        <v>1</v>
      </c>
      <c r="K35">
        <v>23300</v>
      </c>
      <c r="L35">
        <v>3500</v>
      </c>
      <c r="M35">
        <v>0</v>
      </c>
      <c r="N35" s="59">
        <v>45444</v>
      </c>
      <c r="O35" t="s">
        <v>1156</v>
      </c>
      <c r="P35" t="s">
        <v>982</v>
      </c>
      <c r="Q35" t="s">
        <v>1157</v>
      </c>
      <c r="R35" t="s">
        <v>563</v>
      </c>
      <c r="S35" s="59"/>
      <c r="T35" t="s">
        <v>1157</v>
      </c>
      <c r="U35" t="s">
        <v>1158</v>
      </c>
      <c r="V35" t="s">
        <v>571</v>
      </c>
      <c r="W35">
        <v>34020</v>
      </c>
      <c r="X35">
        <v>0</v>
      </c>
      <c r="Y35">
        <v>3000</v>
      </c>
      <c r="Z35">
        <v>0</v>
      </c>
      <c r="AE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정장숙 정장숙 SE.206 투명 530213304954 0502-4535-9645 6100050616121</v>
      </c>
    </row>
    <row r="36" spans="1:31">
      <c r="A36">
        <v>35</v>
      </c>
      <c r="B36" t="s">
        <v>562</v>
      </c>
      <c r="C36" t="s">
        <v>568</v>
      </c>
      <c r="D36" t="s">
        <v>1160</v>
      </c>
      <c r="E36" s="59">
        <v>45446</v>
      </c>
      <c r="F36" t="s">
        <v>1160</v>
      </c>
      <c r="G36" t="s">
        <v>1161</v>
      </c>
      <c r="H36" t="s">
        <v>129</v>
      </c>
      <c r="I36" t="s">
        <v>353</v>
      </c>
      <c r="J36">
        <v>40</v>
      </c>
      <c r="K36">
        <v>29900</v>
      </c>
      <c r="L36">
        <v>3500</v>
      </c>
      <c r="M36">
        <v>0</v>
      </c>
      <c r="N36" s="59">
        <v>45444</v>
      </c>
      <c r="O36" t="s">
        <v>1162</v>
      </c>
      <c r="P36" t="s">
        <v>1163</v>
      </c>
      <c r="Q36" t="s">
        <v>1164</v>
      </c>
      <c r="R36" t="s">
        <v>563</v>
      </c>
      <c r="S36" s="59"/>
      <c r="T36" t="s">
        <v>1164</v>
      </c>
      <c r="U36" t="s">
        <v>1165</v>
      </c>
      <c r="V36" t="s">
        <v>569</v>
      </c>
      <c r="W36">
        <v>46000</v>
      </c>
      <c r="X36">
        <v>0</v>
      </c>
      <c r="Y36">
        <v>0</v>
      </c>
      <c r="Z36">
        <v>0</v>
      </c>
      <c r="AE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박노홍 박노홍 SE.102 투명 530213305050 0502-4696-9661 27100050574722</v>
      </c>
    </row>
    <row r="37" spans="1:31">
      <c r="A37">
        <v>36</v>
      </c>
      <c r="B37" t="s">
        <v>562</v>
      </c>
      <c r="C37" t="s">
        <v>568</v>
      </c>
      <c r="D37" t="s">
        <v>1167</v>
      </c>
      <c r="E37" s="59">
        <v>45446</v>
      </c>
      <c r="F37" t="s">
        <v>1167</v>
      </c>
      <c r="G37" t="s">
        <v>1168</v>
      </c>
      <c r="H37" t="s">
        <v>133</v>
      </c>
      <c r="I37" t="s">
        <v>353</v>
      </c>
      <c r="J37">
        <v>30</v>
      </c>
      <c r="K37">
        <v>20000</v>
      </c>
      <c r="L37">
        <v>3500</v>
      </c>
      <c r="M37">
        <v>0</v>
      </c>
      <c r="N37" s="59">
        <v>45444</v>
      </c>
      <c r="O37" t="s">
        <v>1169</v>
      </c>
      <c r="P37" t="s">
        <v>1170</v>
      </c>
      <c r="Q37" t="s">
        <v>1171</v>
      </c>
      <c r="R37" t="s">
        <v>563</v>
      </c>
      <c r="S37" s="59"/>
      <c r="T37" t="s">
        <v>1171</v>
      </c>
      <c r="U37" t="s">
        <v>1172</v>
      </c>
      <c r="V37" t="s">
        <v>571</v>
      </c>
      <c r="W37">
        <v>28200</v>
      </c>
      <c r="X37">
        <v>0</v>
      </c>
      <c r="Y37">
        <v>3000</v>
      </c>
      <c r="Z37">
        <v>0</v>
      </c>
      <c r="AE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원미경 원미경 SE.101 투명 530213304932 0504-4989-8106 15100050838170</v>
      </c>
    </row>
    <row r="38" spans="1:31">
      <c r="A38">
        <v>37</v>
      </c>
      <c r="B38" t="s">
        <v>562</v>
      </c>
      <c r="C38" t="s">
        <v>568</v>
      </c>
      <c r="D38" t="s">
        <v>1174</v>
      </c>
      <c r="E38" s="59">
        <v>45446</v>
      </c>
      <c r="F38" t="s">
        <v>1174</v>
      </c>
      <c r="G38" t="s">
        <v>1176</v>
      </c>
      <c r="H38" t="s">
        <v>110</v>
      </c>
      <c r="I38" t="s">
        <v>353</v>
      </c>
      <c r="J38">
        <v>5</v>
      </c>
      <c r="K38">
        <v>6575</v>
      </c>
      <c r="L38">
        <v>3000</v>
      </c>
      <c r="M38">
        <v>0</v>
      </c>
      <c r="N38" s="59">
        <v>45445</v>
      </c>
      <c r="O38" t="s">
        <v>1177</v>
      </c>
      <c r="P38" t="s">
        <v>1178</v>
      </c>
      <c r="Q38" t="s">
        <v>1179</v>
      </c>
      <c r="R38" t="s">
        <v>563</v>
      </c>
      <c r="S38" s="59"/>
      <c r="T38" t="s">
        <v>1179</v>
      </c>
      <c r="U38" t="s">
        <v>1180</v>
      </c>
      <c r="V38" t="s">
        <v>571</v>
      </c>
      <c r="W38">
        <v>6250</v>
      </c>
      <c r="X38">
        <v>0</v>
      </c>
      <c r="Y38">
        <v>3000</v>
      </c>
      <c r="Z38">
        <v>0</v>
      </c>
      <c r="AE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이연재 이연재 SE.108 투명 530213305083 0502-4953-1822 16100051423052</v>
      </c>
    </row>
    <row r="39" spans="1:31">
      <c r="A39">
        <v>38</v>
      </c>
      <c r="B39" t="s">
        <v>673</v>
      </c>
      <c r="C39" t="s">
        <v>568</v>
      </c>
      <c r="D39" t="s">
        <v>1182</v>
      </c>
      <c r="E39" s="59">
        <v>45446</v>
      </c>
      <c r="F39" t="s">
        <v>1182</v>
      </c>
      <c r="G39" t="s">
        <v>1183</v>
      </c>
      <c r="H39" t="s">
        <v>133</v>
      </c>
      <c r="I39" t="s">
        <v>353</v>
      </c>
      <c r="J39">
        <v>1</v>
      </c>
      <c r="K39">
        <v>0</v>
      </c>
      <c r="L39">
        <v>3000</v>
      </c>
      <c r="M39">
        <v>0</v>
      </c>
      <c r="N39" s="59">
        <v>45444</v>
      </c>
      <c r="O39" t="s">
        <v>1184</v>
      </c>
      <c r="P39" t="s">
        <v>1185</v>
      </c>
      <c r="Q39" t="s">
        <v>1186</v>
      </c>
      <c r="R39" t="s">
        <v>563</v>
      </c>
      <c r="S39" s="59"/>
      <c r="T39" t="s">
        <v>1186</v>
      </c>
      <c r="U39" t="s">
        <v>1187</v>
      </c>
      <c r="V39" t="s">
        <v>571</v>
      </c>
      <c r="W39">
        <v>17300</v>
      </c>
      <c r="X39">
        <v>0</v>
      </c>
      <c r="Y39">
        <v>3000</v>
      </c>
      <c r="Z39">
        <v>0</v>
      </c>
      <c r="AD39">
        <v>10</v>
      </c>
      <c r="AE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이은주 이은주 SE.101 투명 530213304840 0504-4916-6426 2100050628554</v>
      </c>
    </row>
    <row r="40" spans="1:31">
      <c r="A40">
        <v>39</v>
      </c>
      <c r="B40" t="s">
        <v>562</v>
      </c>
      <c r="C40" t="s">
        <v>561</v>
      </c>
      <c r="D40" t="s">
        <v>1194</v>
      </c>
      <c r="E40" s="59">
        <v>45447</v>
      </c>
      <c r="F40" t="s">
        <v>1189</v>
      </c>
      <c r="G40" t="s">
        <v>1192</v>
      </c>
      <c r="H40" t="s">
        <v>176</v>
      </c>
      <c r="I40" t="s">
        <v>375</v>
      </c>
      <c r="J40">
        <v>6</v>
      </c>
      <c r="K40">
        <v>33220</v>
      </c>
      <c r="L40">
        <v>5500</v>
      </c>
      <c r="M40">
        <v>0</v>
      </c>
      <c r="N40" s="59">
        <v>45447</v>
      </c>
      <c r="O40" t="s">
        <v>2080</v>
      </c>
      <c r="P40" t="s">
        <v>1195</v>
      </c>
      <c r="Q40" t="s">
        <v>1196</v>
      </c>
      <c r="R40" t="s">
        <v>563</v>
      </c>
      <c r="S40" s="59"/>
      <c r="T40" t="s">
        <v>1196</v>
      </c>
      <c r="U40" t="s">
        <v>1197</v>
      </c>
      <c r="V40" t="s">
        <v>1198</v>
      </c>
      <c r="W40">
        <v>45360</v>
      </c>
      <c r="X40">
        <v>0</v>
      </c>
      <c r="Y40">
        <v>0</v>
      </c>
      <c r="AE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530214528101 010-9226-2126 45470995</v>
      </c>
    </row>
    <row r="41" spans="1:31">
      <c r="A41">
        <v>40</v>
      </c>
      <c r="B41" t="s">
        <v>562</v>
      </c>
      <c r="C41" t="s">
        <v>561</v>
      </c>
      <c r="D41" t="s">
        <v>1194</v>
      </c>
      <c r="E41" s="59">
        <v>45447</v>
      </c>
      <c r="F41" t="s">
        <v>1189</v>
      </c>
      <c r="G41" t="s">
        <v>1201</v>
      </c>
      <c r="H41" t="s">
        <v>180</v>
      </c>
      <c r="I41" t="s">
        <v>375</v>
      </c>
      <c r="J41">
        <v>16</v>
      </c>
      <c r="K41">
        <v>56320</v>
      </c>
      <c r="L41">
        <v>0</v>
      </c>
      <c r="M41">
        <v>0</v>
      </c>
      <c r="N41" s="59">
        <v>45447</v>
      </c>
      <c r="O41" t="s">
        <v>1203</v>
      </c>
      <c r="P41" t="s">
        <v>1195</v>
      </c>
      <c r="Q41" t="s">
        <v>1196</v>
      </c>
      <c r="R41" t="s">
        <v>563</v>
      </c>
      <c r="S41" s="59"/>
      <c r="T41" t="s">
        <v>1196</v>
      </c>
      <c r="U41" t="s">
        <v>1197</v>
      </c>
      <c r="V41" t="s">
        <v>1198</v>
      </c>
      <c r="W41">
        <v>92160</v>
      </c>
      <c r="X41">
        <v>0</v>
      </c>
      <c r="Y41">
        <v>0</v>
      </c>
      <c r="Z41">
        <v>0</v>
      </c>
      <c r="AE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SE.27 유백 540213347735 010-9226-2126 2024060498971601</v>
      </c>
    </row>
    <row r="42" spans="1:31">
      <c r="A42">
        <v>41</v>
      </c>
      <c r="B42" t="s">
        <v>562</v>
      </c>
      <c r="C42" t="s">
        <v>561</v>
      </c>
      <c r="D42" t="s">
        <v>1194</v>
      </c>
      <c r="E42" s="59">
        <v>45447</v>
      </c>
      <c r="F42" t="s">
        <v>1189</v>
      </c>
      <c r="G42" t="s">
        <v>1201</v>
      </c>
      <c r="H42" t="s">
        <v>176</v>
      </c>
      <c r="I42" t="s">
        <v>375</v>
      </c>
      <c r="J42">
        <v>6</v>
      </c>
      <c r="K42">
        <v>27720</v>
      </c>
      <c r="L42">
        <v>0</v>
      </c>
      <c r="M42">
        <v>0</v>
      </c>
      <c r="N42" s="59">
        <v>45447</v>
      </c>
      <c r="O42" t="s">
        <v>1207</v>
      </c>
      <c r="P42" t="s">
        <v>1195</v>
      </c>
      <c r="Q42" t="s">
        <v>1196</v>
      </c>
      <c r="R42" t="s">
        <v>563</v>
      </c>
      <c r="S42" s="59"/>
      <c r="T42" t="s">
        <v>1196</v>
      </c>
      <c r="U42" t="s">
        <v>1197</v>
      </c>
      <c r="V42" t="s">
        <v>1198</v>
      </c>
      <c r="W42">
        <v>45360</v>
      </c>
      <c r="X42">
        <v>0</v>
      </c>
      <c r="Y42">
        <v>0</v>
      </c>
      <c r="Z42">
        <v>0</v>
      </c>
      <c r="AE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강정환 경북대 생활협동조합 SE.28 유백 540213347735 010-9226-2126 2024060498672261</v>
      </c>
    </row>
    <row r="43" spans="1:31">
      <c r="A43">
        <v>42</v>
      </c>
      <c r="B43" t="s">
        <v>562</v>
      </c>
      <c r="C43" t="s">
        <v>561</v>
      </c>
      <c r="D43" t="s">
        <v>1209</v>
      </c>
      <c r="E43" s="59">
        <v>45447</v>
      </c>
      <c r="F43" t="s">
        <v>1209</v>
      </c>
      <c r="G43" t="s">
        <v>1210</v>
      </c>
      <c r="H43" t="s">
        <v>118</v>
      </c>
      <c r="I43" t="s">
        <v>353</v>
      </c>
      <c r="J43">
        <v>10</v>
      </c>
      <c r="K43">
        <v>20000</v>
      </c>
      <c r="L43">
        <v>3500</v>
      </c>
      <c r="M43">
        <v>0</v>
      </c>
      <c r="N43" s="59">
        <v>45447</v>
      </c>
      <c r="O43" t="s">
        <v>1212</v>
      </c>
      <c r="P43" t="s">
        <v>1213</v>
      </c>
      <c r="Q43" t="s">
        <v>1214</v>
      </c>
      <c r="R43" t="s">
        <v>563</v>
      </c>
      <c r="S43" s="59"/>
      <c r="T43" t="s">
        <v>1214</v>
      </c>
      <c r="U43" t="s">
        <v>1216</v>
      </c>
      <c r="W43">
        <v>27800</v>
      </c>
      <c r="X43">
        <v>0</v>
      </c>
      <c r="Y43">
        <v>3000</v>
      </c>
      <c r="Z43">
        <v>0</v>
      </c>
      <c r="AE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오충석 오충석 SE.105 투명 530214334433 010-9873-1982 2024060497952311</v>
      </c>
    </row>
    <row r="44" spans="1:31">
      <c r="A44">
        <v>43</v>
      </c>
      <c r="B44" t="s">
        <v>562</v>
      </c>
      <c r="C44" t="s">
        <v>561</v>
      </c>
      <c r="D44" t="s">
        <v>1218</v>
      </c>
      <c r="E44" s="59">
        <v>45447</v>
      </c>
      <c r="F44" t="s">
        <v>1218</v>
      </c>
      <c r="G44" t="s">
        <v>1220</v>
      </c>
      <c r="H44" t="s">
        <v>20</v>
      </c>
      <c r="I44" t="s">
        <v>353</v>
      </c>
      <c r="J44">
        <v>2</v>
      </c>
      <c r="K44">
        <v>22860</v>
      </c>
      <c r="L44">
        <v>3500</v>
      </c>
      <c r="M44">
        <v>0</v>
      </c>
      <c r="N44" s="59">
        <v>45446</v>
      </c>
      <c r="O44" t="s">
        <v>1222</v>
      </c>
      <c r="P44" t="s">
        <v>1223</v>
      </c>
      <c r="Q44" t="s">
        <v>1224</v>
      </c>
      <c r="R44" t="s">
        <v>563</v>
      </c>
      <c r="S44" s="59"/>
      <c r="T44" t="s">
        <v>1224</v>
      </c>
      <c r="U44" t="s">
        <v>1225</v>
      </c>
      <c r="V44" t="s">
        <v>1226</v>
      </c>
      <c r="W44">
        <v>28500</v>
      </c>
      <c r="X44">
        <v>3180</v>
      </c>
      <c r="Y44">
        <v>3000</v>
      </c>
      <c r="Z44">
        <v>0</v>
      </c>
      <c r="AE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정택균 정택균 SE.306 투명 530214334212 010-7110-0757 2024060373094231</v>
      </c>
    </row>
    <row r="45" spans="1:31">
      <c r="A45">
        <v>44</v>
      </c>
      <c r="B45" t="s">
        <v>562</v>
      </c>
      <c r="C45" t="s">
        <v>568</v>
      </c>
      <c r="D45" t="s">
        <v>1231</v>
      </c>
      <c r="E45" s="59">
        <v>45447</v>
      </c>
      <c r="F45" t="s">
        <v>1228</v>
      </c>
      <c r="G45" t="s">
        <v>1229</v>
      </c>
      <c r="H45" t="s">
        <v>18</v>
      </c>
      <c r="I45" t="s">
        <v>353</v>
      </c>
      <c r="J45">
        <v>1</v>
      </c>
      <c r="K45">
        <v>10260</v>
      </c>
      <c r="L45">
        <v>3000</v>
      </c>
      <c r="M45">
        <v>0</v>
      </c>
      <c r="N45" s="59">
        <v>45446</v>
      </c>
      <c r="O45" t="s">
        <v>1230</v>
      </c>
      <c r="P45" t="s">
        <v>1232</v>
      </c>
      <c r="Q45" t="s">
        <v>1233</v>
      </c>
      <c r="R45" t="s">
        <v>563</v>
      </c>
      <c r="S45" s="59"/>
      <c r="T45" t="s">
        <v>1233</v>
      </c>
      <c r="U45" t="s">
        <v>1234</v>
      </c>
      <c r="V45" t="s">
        <v>1235</v>
      </c>
      <c r="W45">
        <v>12470</v>
      </c>
      <c r="X45">
        <v>0</v>
      </c>
      <c r="Y45">
        <v>3000</v>
      </c>
      <c r="Z45">
        <v>0</v>
      </c>
      <c r="AE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방국희 방국희(부산집) SE.307 투명 540213347853 0502-1431-1508 7100051227112</v>
      </c>
    </row>
    <row r="46" spans="1:31">
      <c r="A46">
        <v>45</v>
      </c>
      <c r="B46" t="s">
        <v>562</v>
      </c>
      <c r="C46" t="s">
        <v>568</v>
      </c>
      <c r="D46" t="s">
        <v>1237</v>
      </c>
      <c r="E46" s="59">
        <v>45447</v>
      </c>
      <c r="F46" t="s">
        <v>1237</v>
      </c>
      <c r="G46" t="s">
        <v>1238</v>
      </c>
      <c r="H46" t="s">
        <v>129</v>
      </c>
      <c r="I46" t="s">
        <v>353</v>
      </c>
      <c r="J46">
        <v>1</v>
      </c>
      <c r="K46">
        <v>3660</v>
      </c>
      <c r="L46">
        <v>3000</v>
      </c>
      <c r="M46">
        <v>0</v>
      </c>
      <c r="N46" s="59">
        <v>45447</v>
      </c>
      <c r="O46" t="s">
        <v>1239</v>
      </c>
      <c r="P46" t="s">
        <v>1240</v>
      </c>
      <c r="Q46" t="s">
        <v>1241</v>
      </c>
      <c r="R46" t="s">
        <v>563</v>
      </c>
      <c r="S46" s="59"/>
      <c r="T46" t="s">
        <v>1241</v>
      </c>
      <c r="U46" t="s">
        <v>1242</v>
      </c>
      <c r="V46" t="s">
        <v>571</v>
      </c>
      <c r="W46">
        <v>1150</v>
      </c>
      <c r="X46">
        <v>0</v>
      </c>
      <c r="Y46">
        <v>3000</v>
      </c>
      <c r="Z46">
        <v>0</v>
      </c>
      <c r="AE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540213347094 0502-1752-6141 21100051322437</v>
      </c>
    </row>
    <row r="47" spans="1:31">
      <c r="A47">
        <v>46</v>
      </c>
      <c r="B47" t="s">
        <v>562</v>
      </c>
      <c r="C47" t="s">
        <v>568</v>
      </c>
      <c r="D47" t="s">
        <v>1247</v>
      </c>
      <c r="E47" s="59">
        <v>45447</v>
      </c>
      <c r="F47" t="s">
        <v>1244</v>
      </c>
      <c r="G47" t="s">
        <v>1245</v>
      </c>
      <c r="H47" t="s">
        <v>34</v>
      </c>
      <c r="I47" t="s">
        <v>353</v>
      </c>
      <c r="J47">
        <v>1</v>
      </c>
      <c r="K47">
        <v>23300</v>
      </c>
      <c r="L47">
        <v>3500</v>
      </c>
      <c r="M47">
        <v>0</v>
      </c>
      <c r="N47" s="59">
        <v>45447</v>
      </c>
      <c r="O47" t="s">
        <v>1246</v>
      </c>
      <c r="P47" t="s">
        <v>1248</v>
      </c>
      <c r="Q47" t="s">
        <v>1249</v>
      </c>
      <c r="R47" t="s">
        <v>563</v>
      </c>
      <c r="S47" s="59"/>
      <c r="T47" t="s">
        <v>1249</v>
      </c>
      <c r="U47" t="s">
        <v>1250</v>
      </c>
      <c r="V47" t="s">
        <v>571</v>
      </c>
      <c r="W47">
        <v>34020</v>
      </c>
      <c r="X47">
        <v>0</v>
      </c>
      <c r="Y47">
        <v>3000</v>
      </c>
      <c r="Z47">
        <v>0</v>
      </c>
      <c r="AE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김명준 김범준 SE.206 투명 530214334735 0504-4953-1243 11100051193765</v>
      </c>
    </row>
    <row r="48" spans="1:31">
      <c r="A48">
        <v>47</v>
      </c>
      <c r="B48" t="s">
        <v>673</v>
      </c>
      <c r="C48" t="s">
        <v>561</v>
      </c>
      <c r="D48" t="s">
        <v>1252</v>
      </c>
      <c r="E48" s="59">
        <v>45447</v>
      </c>
      <c r="F48" t="s">
        <v>1252</v>
      </c>
      <c r="G48" t="s">
        <v>1255</v>
      </c>
      <c r="H48" t="s">
        <v>115</v>
      </c>
      <c r="I48" t="s">
        <v>353</v>
      </c>
      <c r="J48">
        <v>10</v>
      </c>
      <c r="K48">
        <v>0</v>
      </c>
      <c r="L48">
        <v>3500</v>
      </c>
      <c r="M48">
        <v>0</v>
      </c>
      <c r="N48" s="59">
        <v>45447</v>
      </c>
      <c r="O48" t="s">
        <v>1257</v>
      </c>
      <c r="P48" t="s">
        <v>1258</v>
      </c>
      <c r="Q48" t="s">
        <v>1259</v>
      </c>
      <c r="R48" t="s">
        <v>563</v>
      </c>
      <c r="S48" s="59"/>
      <c r="T48" t="s">
        <v>1259</v>
      </c>
      <c r="U48" t="s">
        <v>1260</v>
      </c>
      <c r="V48" t="s">
        <v>1261</v>
      </c>
      <c r="W48">
        <v>29700</v>
      </c>
      <c r="X48">
        <v>12900</v>
      </c>
      <c r="Y48">
        <v>0</v>
      </c>
      <c r="Z48">
        <v>0</v>
      </c>
      <c r="AE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고종연 고종연 SE.106 투명 540213347831 010-3789-6659 2024060499064921</v>
      </c>
    </row>
    <row r="49" spans="1:31">
      <c r="A49">
        <v>48</v>
      </c>
      <c r="B49" t="s">
        <v>673</v>
      </c>
      <c r="C49" t="s">
        <v>561</v>
      </c>
      <c r="D49" t="s">
        <v>1264</v>
      </c>
      <c r="E49" s="59">
        <v>45447</v>
      </c>
      <c r="F49" t="s">
        <v>1264</v>
      </c>
      <c r="G49" t="s">
        <v>1265</v>
      </c>
      <c r="H49" t="s">
        <v>38</v>
      </c>
      <c r="I49" t="s">
        <v>353</v>
      </c>
      <c r="J49">
        <v>1</v>
      </c>
      <c r="K49">
        <v>0</v>
      </c>
      <c r="L49">
        <v>3000</v>
      </c>
      <c r="M49">
        <v>0</v>
      </c>
      <c r="N49" s="59">
        <v>45446</v>
      </c>
      <c r="O49" t="s">
        <v>1267</v>
      </c>
      <c r="P49" t="s">
        <v>1268</v>
      </c>
      <c r="Q49" t="s">
        <v>1269</v>
      </c>
      <c r="R49" t="s">
        <v>563</v>
      </c>
      <c r="S49" s="59"/>
      <c r="T49" t="s">
        <v>1269</v>
      </c>
      <c r="U49" t="s">
        <v>1270</v>
      </c>
      <c r="W49">
        <v>20800</v>
      </c>
      <c r="X49">
        <v>0</v>
      </c>
      <c r="Y49">
        <v>3000</v>
      </c>
      <c r="Z49">
        <v>0</v>
      </c>
      <c r="AE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이은희 이은희 SE.204 투명 540213347444 010-6321-3452 2024060382796881</v>
      </c>
    </row>
    <row r="50" spans="1:31">
      <c r="A50">
        <v>49</v>
      </c>
      <c r="B50" t="s">
        <v>673</v>
      </c>
      <c r="C50" t="s">
        <v>561</v>
      </c>
      <c r="D50" t="s">
        <v>1272</v>
      </c>
      <c r="E50" s="59">
        <v>45447</v>
      </c>
      <c r="F50" t="s">
        <v>1272</v>
      </c>
      <c r="G50" t="s">
        <v>1273</v>
      </c>
      <c r="H50" t="s">
        <v>38</v>
      </c>
      <c r="I50" t="s">
        <v>353</v>
      </c>
      <c r="J50">
        <v>1</v>
      </c>
      <c r="K50">
        <v>0</v>
      </c>
      <c r="L50">
        <v>3000</v>
      </c>
      <c r="M50">
        <v>0</v>
      </c>
      <c r="N50" s="59">
        <v>45446</v>
      </c>
      <c r="O50" t="s">
        <v>1275</v>
      </c>
      <c r="P50" t="s">
        <v>1276</v>
      </c>
      <c r="Q50" t="s">
        <v>1277</v>
      </c>
      <c r="R50" t="s">
        <v>563</v>
      </c>
      <c r="S50" s="59"/>
      <c r="T50" t="s">
        <v>1277</v>
      </c>
      <c r="U50" t="s">
        <v>1278</v>
      </c>
      <c r="W50">
        <v>20800</v>
      </c>
      <c r="X50">
        <v>0</v>
      </c>
      <c r="Y50">
        <v>3000</v>
      </c>
      <c r="Z50">
        <v>0</v>
      </c>
      <c r="AE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조선옥 조선옥 SE.204 투명 540213347002 010-7321-8989 2024060374861381</v>
      </c>
    </row>
    <row r="51" spans="1:31">
      <c r="A51">
        <v>50</v>
      </c>
      <c r="B51" t="s">
        <v>673</v>
      </c>
      <c r="C51" t="s">
        <v>532</v>
      </c>
      <c r="E51" s="59">
        <v>45447</v>
      </c>
      <c r="F51" t="s">
        <v>1280</v>
      </c>
      <c r="G51" t="s">
        <v>1282</v>
      </c>
      <c r="H51" t="s">
        <v>531</v>
      </c>
      <c r="I51" t="s">
        <v>353</v>
      </c>
      <c r="J51">
        <v>1</v>
      </c>
      <c r="K51">
        <v>0</v>
      </c>
      <c r="L51">
        <v>0</v>
      </c>
      <c r="M51">
        <v>0</v>
      </c>
      <c r="N51" s="59">
        <v>45447</v>
      </c>
      <c r="O51" t="s">
        <v>2081</v>
      </c>
      <c r="R51" t="s">
        <v>563</v>
      </c>
      <c r="S51" s="59"/>
      <c r="T51" t="s">
        <v>1284</v>
      </c>
      <c r="U51" t="s">
        <v>1285</v>
      </c>
      <c r="W51">
        <v>0</v>
      </c>
      <c r="X51">
        <v>0</v>
      </c>
      <c r="Y51">
        <v>0</v>
      </c>
      <c r="Z51">
        <v>0</v>
      </c>
      <c r="AE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540213347956 054-372-8181 45470394</v>
      </c>
    </row>
    <row r="52" spans="1:31">
      <c r="A52">
        <v>51</v>
      </c>
      <c r="B52" t="s">
        <v>673</v>
      </c>
      <c r="C52" t="s">
        <v>532</v>
      </c>
      <c r="E52" s="59">
        <v>45447</v>
      </c>
      <c r="F52" t="s">
        <v>1280</v>
      </c>
      <c r="G52" t="s">
        <v>1287</v>
      </c>
      <c r="H52" t="s">
        <v>531</v>
      </c>
      <c r="I52" t="s">
        <v>353</v>
      </c>
      <c r="J52">
        <v>1</v>
      </c>
      <c r="K52">
        <v>0</v>
      </c>
      <c r="L52">
        <v>0</v>
      </c>
      <c r="M52">
        <v>0</v>
      </c>
      <c r="N52" s="59">
        <v>45447</v>
      </c>
      <c r="O52" t="s">
        <v>2082</v>
      </c>
      <c r="R52" t="s">
        <v>563</v>
      </c>
      <c r="S52" s="59"/>
      <c r="T52" t="s">
        <v>1284</v>
      </c>
      <c r="U52" t="s">
        <v>1285</v>
      </c>
      <c r="W52">
        <v>0</v>
      </c>
      <c r="X52">
        <v>0</v>
      </c>
      <c r="Y52">
        <v>0</v>
      </c>
      <c r="Z52">
        <v>0</v>
      </c>
      <c r="AE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530214334540 054-372-8181 45470734</v>
      </c>
    </row>
    <row r="53" spans="1:31">
      <c r="A53">
        <v>52</v>
      </c>
      <c r="B53" t="s">
        <v>673</v>
      </c>
      <c r="C53" t="s">
        <v>532</v>
      </c>
      <c r="E53" s="59">
        <v>45447</v>
      </c>
      <c r="F53" t="s">
        <v>1280</v>
      </c>
      <c r="G53" t="s">
        <v>1290</v>
      </c>
      <c r="H53" t="s">
        <v>531</v>
      </c>
      <c r="I53" t="s">
        <v>353</v>
      </c>
      <c r="J53">
        <v>1</v>
      </c>
      <c r="K53">
        <v>0</v>
      </c>
      <c r="L53">
        <v>5500</v>
      </c>
      <c r="M53">
        <v>0</v>
      </c>
      <c r="N53" s="59">
        <v>45447</v>
      </c>
      <c r="O53" t="s">
        <v>2083</v>
      </c>
      <c r="R53" t="s">
        <v>563</v>
      </c>
      <c r="S53" s="59"/>
      <c r="T53" t="s">
        <v>1284</v>
      </c>
      <c r="U53" t="s">
        <v>1285</v>
      </c>
      <c r="W53">
        <v>0</v>
      </c>
      <c r="X53">
        <v>0</v>
      </c>
      <c r="Y53">
        <v>0</v>
      </c>
      <c r="Z53">
        <v>0</v>
      </c>
      <c r="AE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운문로컬푸드 SE.1000 투명 530214334643 054-372-8181 45470770</v>
      </c>
    </row>
    <row r="54" spans="1:31">
      <c r="A54">
        <v>53</v>
      </c>
      <c r="B54" t="s">
        <v>562</v>
      </c>
      <c r="C54" t="s">
        <v>1294</v>
      </c>
      <c r="E54" s="59">
        <v>45447</v>
      </c>
      <c r="F54" t="s">
        <v>1291</v>
      </c>
      <c r="G54" t="s">
        <v>1293</v>
      </c>
      <c r="H54" t="s">
        <v>90</v>
      </c>
      <c r="I54" t="s">
        <v>353</v>
      </c>
      <c r="J54">
        <v>1</v>
      </c>
      <c r="K54">
        <v>0</v>
      </c>
      <c r="L54">
        <v>3000</v>
      </c>
      <c r="M54">
        <v>0</v>
      </c>
      <c r="N54" s="59">
        <v>45447</v>
      </c>
      <c r="O54" t="s">
        <v>1295</v>
      </c>
      <c r="R54" t="s">
        <v>563</v>
      </c>
      <c r="S54" s="59"/>
      <c r="T54" t="s">
        <v>1296</v>
      </c>
      <c r="U54" t="s">
        <v>1297</v>
      </c>
      <c r="W54">
        <v>0</v>
      </c>
      <c r="X54">
        <v>0</v>
      </c>
      <c r="Y54">
        <v>0</v>
      </c>
      <c r="Z54">
        <v>0</v>
      </c>
      <c r="AE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여나 SE.118 투명 540213347260 010-2959-1232 24060402</v>
      </c>
    </row>
    <row r="55" spans="1:31">
      <c r="A55">
        <v>54</v>
      </c>
      <c r="B55" t="s">
        <v>562</v>
      </c>
      <c r="C55" t="s">
        <v>1294</v>
      </c>
      <c r="E55" s="59">
        <v>45447</v>
      </c>
      <c r="F55" t="s">
        <v>1298</v>
      </c>
      <c r="G55" t="s">
        <v>1300</v>
      </c>
      <c r="H55" t="s">
        <v>84</v>
      </c>
      <c r="I55" t="s">
        <v>353</v>
      </c>
      <c r="J55">
        <v>1</v>
      </c>
      <c r="K55">
        <v>0</v>
      </c>
      <c r="L55">
        <v>3000</v>
      </c>
      <c r="M55">
        <v>0</v>
      </c>
      <c r="N55" s="59">
        <v>45447</v>
      </c>
      <c r="O55" t="s">
        <v>1301</v>
      </c>
      <c r="R55" t="s">
        <v>563</v>
      </c>
      <c r="S55" s="59"/>
      <c r="T55" t="s">
        <v>1302</v>
      </c>
      <c r="U55" t="s">
        <v>1303</v>
      </c>
      <c r="W55">
        <v>0</v>
      </c>
      <c r="X55">
        <v>0</v>
      </c>
      <c r="Y55">
        <v>0</v>
      </c>
      <c r="Z55">
        <v>0</v>
      </c>
      <c r="AE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올웨이즈  김양순	 SE.121 투명 530214334411 010-3637-9321 24060401</v>
      </c>
    </row>
    <row r="56" spans="1:31">
      <c r="A56">
        <v>55</v>
      </c>
      <c r="B56" t="s">
        <v>673</v>
      </c>
      <c r="C56" t="s">
        <v>568</v>
      </c>
      <c r="D56" t="s">
        <v>1304</v>
      </c>
      <c r="E56" s="59">
        <v>45447</v>
      </c>
      <c r="F56" t="s">
        <v>1304</v>
      </c>
      <c r="G56" t="s">
        <v>1307</v>
      </c>
      <c r="H56" t="s">
        <v>36</v>
      </c>
      <c r="I56" t="s">
        <v>353</v>
      </c>
      <c r="J56">
        <v>1</v>
      </c>
      <c r="K56">
        <v>0</v>
      </c>
      <c r="L56">
        <v>3000</v>
      </c>
      <c r="M56">
        <v>0</v>
      </c>
      <c r="N56" s="59">
        <v>45446</v>
      </c>
      <c r="O56" t="s">
        <v>1308</v>
      </c>
      <c r="P56" t="s">
        <v>1309</v>
      </c>
      <c r="Q56" t="s">
        <v>1310</v>
      </c>
      <c r="R56" t="s">
        <v>563</v>
      </c>
      <c r="S56" s="59"/>
      <c r="T56" t="s">
        <v>1310</v>
      </c>
      <c r="U56" t="s">
        <v>1311</v>
      </c>
      <c r="V56" t="s">
        <v>569</v>
      </c>
      <c r="W56">
        <v>25200</v>
      </c>
      <c r="X56">
        <v>0</v>
      </c>
      <c r="Y56">
        <v>3000</v>
      </c>
      <c r="Z56">
        <v>0</v>
      </c>
      <c r="AE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김형희 김형희 SE.205 투명 530214334702 0502-4733-5563 25100051185893</v>
      </c>
    </row>
    <row r="57" spans="1:31">
      <c r="A57">
        <v>56</v>
      </c>
      <c r="B57" t="s">
        <v>673</v>
      </c>
      <c r="C57" t="s">
        <v>568</v>
      </c>
      <c r="D57" t="s">
        <v>1317</v>
      </c>
      <c r="E57" s="59">
        <v>45447</v>
      </c>
      <c r="F57" t="s">
        <v>1313</v>
      </c>
      <c r="G57" t="s">
        <v>1315</v>
      </c>
      <c r="H57" t="s">
        <v>44</v>
      </c>
      <c r="I57" t="s">
        <v>353</v>
      </c>
      <c r="J57">
        <v>1</v>
      </c>
      <c r="K57">
        <v>0</v>
      </c>
      <c r="L57">
        <v>3000</v>
      </c>
      <c r="M57">
        <v>0</v>
      </c>
      <c r="N57" s="59">
        <v>45446</v>
      </c>
      <c r="O57" t="s">
        <v>1316</v>
      </c>
      <c r="P57" t="s">
        <v>1318</v>
      </c>
      <c r="Q57" t="s">
        <v>1319</v>
      </c>
      <c r="R57" t="s">
        <v>563</v>
      </c>
      <c r="S57" s="59"/>
      <c r="T57" t="s">
        <v>1319</v>
      </c>
      <c r="U57" t="s">
        <v>1320</v>
      </c>
      <c r="V57" t="s">
        <v>569</v>
      </c>
      <c r="W57">
        <v>15120</v>
      </c>
      <c r="X57">
        <v>0</v>
      </c>
      <c r="Y57">
        <v>3000</v>
      </c>
      <c r="Z57">
        <v>0</v>
      </c>
      <c r="AE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박인섭 김지언 SE.201 투명 540213351456 0502-4802-6019 26100051000988</v>
      </c>
    </row>
    <row r="58" spans="1:31">
      <c r="A58">
        <v>57</v>
      </c>
      <c r="B58" t="s">
        <v>673</v>
      </c>
      <c r="C58" t="s">
        <v>532</v>
      </c>
      <c r="E58" s="59">
        <v>45448</v>
      </c>
      <c r="F58" t="s">
        <v>1322</v>
      </c>
      <c r="G58" t="s">
        <v>1324</v>
      </c>
      <c r="H58" t="s">
        <v>531</v>
      </c>
      <c r="I58" t="s">
        <v>353</v>
      </c>
      <c r="J58">
        <v>3</v>
      </c>
      <c r="K58">
        <v>0</v>
      </c>
      <c r="L58">
        <v>5500</v>
      </c>
      <c r="M58">
        <v>0</v>
      </c>
      <c r="N58" s="59">
        <v>45448</v>
      </c>
      <c r="O58" t="s">
        <v>2084</v>
      </c>
      <c r="R58" t="s">
        <v>563</v>
      </c>
      <c r="S58" s="59"/>
      <c r="T58" t="s">
        <v>1326</v>
      </c>
      <c r="U58" t="s">
        <v>1327</v>
      </c>
      <c r="W58">
        <v>0</v>
      </c>
      <c r="X58">
        <v>0</v>
      </c>
      <c r="Y58">
        <v>0</v>
      </c>
      <c r="Z58">
        <v>0</v>
      </c>
      <c r="AE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530215380023 010-4902-5844 45470535</v>
      </c>
    </row>
    <row r="59" spans="1:31">
      <c r="A59">
        <v>58</v>
      </c>
      <c r="B59" t="s">
        <v>673</v>
      </c>
      <c r="C59" t="s">
        <v>532</v>
      </c>
      <c r="E59" s="59">
        <v>45448</v>
      </c>
      <c r="F59" t="s">
        <v>1322</v>
      </c>
      <c r="G59" t="s">
        <v>1328</v>
      </c>
      <c r="H59" t="s">
        <v>531</v>
      </c>
      <c r="I59" t="s">
        <v>353</v>
      </c>
      <c r="J59">
        <v>3</v>
      </c>
      <c r="K59">
        <v>0</v>
      </c>
      <c r="L59">
        <v>5500</v>
      </c>
      <c r="M59">
        <v>0</v>
      </c>
      <c r="N59" s="59">
        <v>45448</v>
      </c>
      <c r="O59" t="s">
        <v>2085</v>
      </c>
      <c r="R59" t="s">
        <v>563</v>
      </c>
      <c r="S59" s="59"/>
      <c r="T59" t="s">
        <v>1326</v>
      </c>
      <c r="U59" t="s">
        <v>1327</v>
      </c>
      <c r="W59">
        <v>0</v>
      </c>
      <c r="X59">
        <v>0</v>
      </c>
      <c r="Y59">
        <v>0</v>
      </c>
      <c r="Z59">
        <v>0</v>
      </c>
      <c r="AE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이동한 SE.1000 투명 530215380001 010-4902-5844 45470453</v>
      </c>
    </row>
    <row r="60" spans="1:31">
      <c r="A60">
        <v>59</v>
      </c>
      <c r="B60" t="s">
        <v>673</v>
      </c>
      <c r="C60" t="s">
        <v>532</v>
      </c>
      <c r="E60" s="59">
        <v>45448</v>
      </c>
      <c r="F60" t="s">
        <v>1330</v>
      </c>
      <c r="G60" t="s">
        <v>1331</v>
      </c>
      <c r="H60" t="s">
        <v>531</v>
      </c>
      <c r="I60" t="s">
        <v>353</v>
      </c>
      <c r="J60">
        <v>1</v>
      </c>
      <c r="K60">
        <v>0</v>
      </c>
      <c r="L60">
        <v>0</v>
      </c>
      <c r="M60">
        <v>0</v>
      </c>
      <c r="N60" s="59">
        <v>45448</v>
      </c>
      <c r="O60" t="s">
        <v>2086</v>
      </c>
      <c r="R60" t="s">
        <v>563</v>
      </c>
      <c r="S60" s="59"/>
      <c r="T60" t="s">
        <v>1333</v>
      </c>
      <c r="U60" t="s">
        <v>1334</v>
      </c>
      <c r="W60">
        <v>0</v>
      </c>
      <c r="X60">
        <v>0</v>
      </c>
      <c r="Y60">
        <v>0</v>
      </c>
      <c r="Z60">
        <v>0</v>
      </c>
      <c r="AE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풍년농약사 SE.1000 투명 540214280603 010-2049-5007 45470870</v>
      </c>
    </row>
    <row r="61" spans="1:31">
      <c r="A61">
        <v>60</v>
      </c>
      <c r="B61" t="s">
        <v>562</v>
      </c>
      <c r="C61" t="s">
        <v>561</v>
      </c>
      <c r="D61" t="s">
        <v>1339</v>
      </c>
      <c r="E61" s="59">
        <v>45448</v>
      </c>
      <c r="F61" t="s">
        <v>1335</v>
      </c>
      <c r="G61" t="s">
        <v>1336</v>
      </c>
      <c r="H61" t="s">
        <v>44</v>
      </c>
      <c r="I61" t="s">
        <v>353</v>
      </c>
      <c r="J61">
        <v>1</v>
      </c>
      <c r="K61">
        <v>12900</v>
      </c>
      <c r="L61">
        <v>3000</v>
      </c>
      <c r="M61">
        <v>0</v>
      </c>
      <c r="N61" s="59">
        <v>45448</v>
      </c>
      <c r="O61" t="s">
        <v>1338</v>
      </c>
      <c r="P61" t="s">
        <v>1340</v>
      </c>
      <c r="Q61" t="s">
        <v>1341</v>
      </c>
      <c r="R61" t="s">
        <v>563</v>
      </c>
      <c r="S61" s="59"/>
      <c r="T61" t="s">
        <v>1341</v>
      </c>
      <c r="U61" t="s">
        <v>1342</v>
      </c>
      <c r="W61">
        <v>14580</v>
      </c>
      <c r="X61">
        <v>1620</v>
      </c>
      <c r="Y61">
        <v>3000</v>
      </c>
      <c r="Z61">
        <v>0</v>
      </c>
      <c r="AE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이상숙 카페모들 SE.201 투명 530215355501 010-7458-6672 2024060553504051</v>
      </c>
    </row>
    <row r="62" spans="1:31">
      <c r="A62">
        <v>61</v>
      </c>
      <c r="B62" t="s">
        <v>562</v>
      </c>
      <c r="C62" t="s">
        <v>561</v>
      </c>
      <c r="D62" t="s">
        <v>1349</v>
      </c>
      <c r="E62" s="59">
        <v>45448</v>
      </c>
      <c r="F62" t="s">
        <v>1344</v>
      </c>
      <c r="G62" t="s">
        <v>1346</v>
      </c>
      <c r="H62" t="s">
        <v>38</v>
      </c>
      <c r="I62" t="s">
        <v>353</v>
      </c>
      <c r="J62">
        <v>2</v>
      </c>
      <c r="K62">
        <v>33000</v>
      </c>
      <c r="L62">
        <v>4400</v>
      </c>
      <c r="M62">
        <v>0</v>
      </c>
      <c r="N62" s="59">
        <v>45448</v>
      </c>
      <c r="O62" t="s">
        <v>1348</v>
      </c>
      <c r="P62" t="s">
        <v>1350</v>
      </c>
      <c r="Q62" t="s">
        <v>1351</v>
      </c>
      <c r="R62" t="s">
        <v>563</v>
      </c>
      <c r="S62" s="59"/>
      <c r="T62" t="s">
        <v>1351</v>
      </c>
      <c r="U62" t="s">
        <v>1353</v>
      </c>
      <c r="V62" t="s">
        <v>1354</v>
      </c>
      <c r="W62">
        <v>42120</v>
      </c>
      <c r="X62">
        <v>4680</v>
      </c>
      <c r="Y62">
        <v>0</v>
      </c>
      <c r="Z62">
        <v>0</v>
      </c>
      <c r="AE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송순희 이레떡방 SE.204 투명 530215273800 010-4118-9402 2024060541249481</v>
      </c>
    </row>
    <row r="63" spans="1:31">
      <c r="A63">
        <v>62</v>
      </c>
      <c r="B63" t="s">
        <v>562</v>
      </c>
      <c r="C63" t="s">
        <v>561</v>
      </c>
      <c r="D63" t="s">
        <v>1356</v>
      </c>
      <c r="E63" s="59">
        <v>45448</v>
      </c>
      <c r="F63" t="s">
        <v>1356</v>
      </c>
      <c r="G63" t="s">
        <v>1359</v>
      </c>
      <c r="H63" t="s">
        <v>206</v>
      </c>
      <c r="I63" t="s">
        <v>354</v>
      </c>
      <c r="J63">
        <v>4</v>
      </c>
      <c r="K63">
        <v>12460</v>
      </c>
      <c r="L63">
        <v>3000</v>
      </c>
      <c r="M63">
        <v>0</v>
      </c>
      <c r="N63" s="59">
        <v>45447</v>
      </c>
      <c r="O63" t="s">
        <v>1361</v>
      </c>
      <c r="P63" t="s">
        <v>1362</v>
      </c>
      <c r="Q63" t="s">
        <v>1363</v>
      </c>
      <c r="R63" t="s">
        <v>563</v>
      </c>
      <c r="S63" s="59"/>
      <c r="T63" t="s">
        <v>1363</v>
      </c>
      <c r="U63" t="s">
        <v>1364</v>
      </c>
      <c r="W63">
        <v>15480</v>
      </c>
      <c r="X63">
        <v>0</v>
      </c>
      <c r="Y63">
        <v>3000</v>
      </c>
      <c r="Z63">
        <v>0</v>
      </c>
      <c r="AE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박경숙 박경숙 SE.22 검정 530215273892 010-2684-8642 2024060427503191</v>
      </c>
    </row>
    <row r="64" spans="1:31">
      <c r="A64">
        <v>63</v>
      </c>
      <c r="B64" t="s">
        <v>562</v>
      </c>
      <c r="C64" t="s">
        <v>561</v>
      </c>
      <c r="D64" t="s">
        <v>1367</v>
      </c>
      <c r="E64" s="59">
        <v>45448</v>
      </c>
      <c r="F64" t="s">
        <v>1367</v>
      </c>
      <c r="G64" t="s">
        <v>1369</v>
      </c>
      <c r="H64" t="s">
        <v>26</v>
      </c>
      <c r="I64" t="s">
        <v>353</v>
      </c>
      <c r="J64">
        <v>1</v>
      </c>
      <c r="K64">
        <v>18070</v>
      </c>
      <c r="L64">
        <v>3000</v>
      </c>
      <c r="M64">
        <v>0</v>
      </c>
      <c r="N64" s="59">
        <v>45447</v>
      </c>
      <c r="O64" t="s">
        <v>1371</v>
      </c>
      <c r="P64" t="s">
        <v>1372</v>
      </c>
      <c r="Q64" t="s">
        <v>1373</v>
      </c>
      <c r="R64" t="s">
        <v>563</v>
      </c>
      <c r="S64" s="59"/>
      <c r="T64" t="s">
        <v>1373</v>
      </c>
      <c r="U64" t="s">
        <v>1374</v>
      </c>
      <c r="W64">
        <v>22190</v>
      </c>
      <c r="X64">
        <v>2470</v>
      </c>
      <c r="Y64">
        <v>3000</v>
      </c>
      <c r="Z64">
        <v>0</v>
      </c>
      <c r="AE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장미미 장미미 SE.303 투명 540214280673 010-9415-1378 2024060414211401</v>
      </c>
    </row>
    <row r="65" spans="1:31">
      <c r="A65">
        <v>64</v>
      </c>
      <c r="B65" t="s">
        <v>673</v>
      </c>
      <c r="C65" t="s">
        <v>561</v>
      </c>
      <c r="D65" t="s">
        <v>1376</v>
      </c>
      <c r="E65" s="59">
        <v>45448</v>
      </c>
      <c r="F65" t="s">
        <v>1376</v>
      </c>
      <c r="G65" t="s">
        <v>1377</v>
      </c>
      <c r="H65" t="s">
        <v>34</v>
      </c>
      <c r="I65" t="s">
        <v>353</v>
      </c>
      <c r="J65">
        <v>3</v>
      </c>
      <c r="K65">
        <v>0</v>
      </c>
      <c r="L65">
        <v>0</v>
      </c>
      <c r="M65">
        <v>0</v>
      </c>
      <c r="N65" s="59">
        <v>45448</v>
      </c>
      <c r="O65" t="s">
        <v>1379</v>
      </c>
      <c r="P65" t="s">
        <v>1380</v>
      </c>
      <c r="Q65" t="s">
        <v>1381</v>
      </c>
      <c r="R65" t="s">
        <v>563</v>
      </c>
      <c r="S65" s="59"/>
      <c r="T65" t="s">
        <v>1381</v>
      </c>
      <c r="U65" t="s">
        <v>1383</v>
      </c>
      <c r="W65">
        <v>85200</v>
      </c>
      <c r="X65">
        <v>0</v>
      </c>
      <c r="Y65">
        <v>0</v>
      </c>
      <c r="Z65">
        <v>0</v>
      </c>
      <c r="AE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방현진 방현진 SE.206 투명 540214302620 010-8671-1750 2024060552559121</v>
      </c>
    </row>
    <row r="66" spans="1:31">
      <c r="A66">
        <v>65</v>
      </c>
      <c r="B66" t="s">
        <v>673</v>
      </c>
      <c r="C66" t="s">
        <v>561</v>
      </c>
      <c r="D66" t="s">
        <v>1385</v>
      </c>
      <c r="E66" s="59">
        <v>45448</v>
      </c>
      <c r="F66" t="s">
        <v>1385</v>
      </c>
      <c r="G66" t="s">
        <v>1386</v>
      </c>
      <c r="H66" t="s">
        <v>38</v>
      </c>
      <c r="I66" t="s">
        <v>353</v>
      </c>
      <c r="J66">
        <v>1</v>
      </c>
      <c r="K66">
        <v>0</v>
      </c>
      <c r="L66">
        <v>3000</v>
      </c>
      <c r="M66">
        <v>0</v>
      </c>
      <c r="N66" s="59">
        <v>45448</v>
      </c>
      <c r="O66" t="s">
        <v>1388</v>
      </c>
      <c r="P66" t="s">
        <v>1389</v>
      </c>
      <c r="Q66" t="s">
        <v>1390</v>
      </c>
      <c r="R66" t="s">
        <v>563</v>
      </c>
      <c r="S66" s="59"/>
      <c r="T66" t="s">
        <v>1390</v>
      </c>
      <c r="U66" t="s">
        <v>1391</v>
      </c>
      <c r="V66" t="s">
        <v>1392</v>
      </c>
      <c r="W66">
        <v>20800</v>
      </c>
      <c r="X66">
        <v>0</v>
      </c>
      <c r="Y66">
        <v>3000</v>
      </c>
      <c r="Z66">
        <v>0</v>
      </c>
      <c r="AE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신성자 신성자 SE.204 투명 530215273844 010-4806-1561 2024060550366461</v>
      </c>
    </row>
    <row r="67" spans="1:31">
      <c r="A67">
        <v>66</v>
      </c>
      <c r="B67" t="s">
        <v>673</v>
      </c>
      <c r="C67" t="s">
        <v>568</v>
      </c>
      <c r="D67" t="s">
        <v>1398</v>
      </c>
      <c r="E67" s="59">
        <v>45448</v>
      </c>
      <c r="F67" t="s">
        <v>1394</v>
      </c>
      <c r="G67" t="s">
        <v>1396</v>
      </c>
      <c r="H67" t="s">
        <v>18</v>
      </c>
      <c r="I67" t="s">
        <v>353</v>
      </c>
      <c r="J67">
        <v>10</v>
      </c>
      <c r="K67">
        <v>0</v>
      </c>
      <c r="L67">
        <v>0</v>
      </c>
      <c r="M67">
        <v>0</v>
      </c>
      <c r="N67" s="59">
        <v>45447</v>
      </c>
      <c r="O67" t="s">
        <v>1397</v>
      </c>
      <c r="P67" t="s">
        <v>1399</v>
      </c>
      <c r="Q67" t="s">
        <v>1400</v>
      </c>
      <c r="R67" t="s">
        <v>563</v>
      </c>
      <c r="S67" s="59"/>
      <c r="T67" t="s">
        <v>1400</v>
      </c>
      <c r="U67" t="s">
        <v>1401</v>
      </c>
      <c r="V67" t="s">
        <v>571</v>
      </c>
      <c r="W67">
        <v>110900</v>
      </c>
      <c r="X67">
        <v>0</v>
      </c>
      <c r="Y67">
        <v>0</v>
      </c>
      <c r="Z67">
        <v>0</v>
      </c>
      <c r="AE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PIAO SHUNDAO 황용해 SE.307 투명 530215273870 0502-4630-5725 29100051408736</v>
      </c>
    </row>
    <row r="68" spans="1:31">
      <c r="A68">
        <v>67</v>
      </c>
      <c r="B68" t="s">
        <v>562</v>
      </c>
      <c r="C68" t="s">
        <v>568</v>
      </c>
      <c r="D68" t="s">
        <v>1403</v>
      </c>
      <c r="E68" s="59">
        <v>45448</v>
      </c>
      <c r="F68" t="s">
        <v>1403</v>
      </c>
      <c r="G68" t="s">
        <v>1404</v>
      </c>
      <c r="H68" t="s">
        <v>129</v>
      </c>
      <c r="I68" t="s">
        <v>353</v>
      </c>
      <c r="J68">
        <v>10</v>
      </c>
      <c r="K68">
        <v>9600</v>
      </c>
      <c r="L68">
        <v>3000</v>
      </c>
      <c r="M68">
        <v>0</v>
      </c>
      <c r="N68" s="59">
        <v>45447</v>
      </c>
      <c r="O68" t="s">
        <v>1405</v>
      </c>
      <c r="P68" t="s">
        <v>1406</v>
      </c>
      <c r="Q68" t="s">
        <v>1407</v>
      </c>
      <c r="R68" t="s">
        <v>563</v>
      </c>
      <c r="S68" s="59"/>
      <c r="T68" t="s">
        <v>1407</v>
      </c>
      <c r="U68" t="s">
        <v>1408</v>
      </c>
      <c r="V68" t="s">
        <v>571</v>
      </c>
      <c r="W68">
        <v>11500</v>
      </c>
      <c r="X68">
        <v>0</v>
      </c>
      <c r="Y68">
        <v>3000</v>
      </c>
      <c r="Z68">
        <v>0</v>
      </c>
      <c r="AE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유윤정 유윤정 SE.102 투명 540214280640 0504-4333-5093 17100051349040</v>
      </c>
    </row>
    <row r="69" spans="1:31">
      <c r="A69">
        <v>68</v>
      </c>
      <c r="B69" t="s">
        <v>562</v>
      </c>
      <c r="C69" t="s">
        <v>568</v>
      </c>
      <c r="D69" t="s">
        <v>1413</v>
      </c>
      <c r="E69" s="59">
        <v>45448</v>
      </c>
      <c r="F69" t="s">
        <v>1410</v>
      </c>
      <c r="G69" t="s">
        <v>1411</v>
      </c>
      <c r="H69" t="s">
        <v>18</v>
      </c>
      <c r="I69" t="s">
        <v>353</v>
      </c>
      <c r="J69">
        <v>1</v>
      </c>
      <c r="K69">
        <v>10260</v>
      </c>
      <c r="L69">
        <v>3000</v>
      </c>
      <c r="M69">
        <v>0</v>
      </c>
      <c r="N69" s="59">
        <v>45447</v>
      </c>
      <c r="O69" t="s">
        <v>1412</v>
      </c>
      <c r="P69" t="s">
        <v>1414</v>
      </c>
      <c r="Q69" t="s">
        <v>1415</v>
      </c>
      <c r="R69" t="s">
        <v>563</v>
      </c>
      <c r="S69" s="59"/>
      <c r="T69" t="s">
        <v>1415</v>
      </c>
      <c r="U69" t="s">
        <v>1416</v>
      </c>
      <c r="V69" t="s">
        <v>571</v>
      </c>
      <c r="W69">
        <v>12470</v>
      </c>
      <c r="X69">
        <v>0</v>
      </c>
      <c r="Y69">
        <v>3000</v>
      </c>
      <c r="Z69">
        <v>0</v>
      </c>
      <c r="AE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고성관 을찌로떡볶이 SE.307 투명 530215273796 0502-4654-2053 24100051338432</v>
      </c>
    </row>
    <row r="70" spans="1:31">
      <c r="A70">
        <v>69</v>
      </c>
      <c r="B70" t="s">
        <v>673</v>
      </c>
      <c r="C70" t="s">
        <v>532</v>
      </c>
      <c r="E70" s="59">
        <v>45450</v>
      </c>
      <c r="F70" t="s">
        <v>1418</v>
      </c>
      <c r="G70" t="s">
        <v>1419</v>
      </c>
      <c r="H70" t="s">
        <v>531</v>
      </c>
      <c r="I70" t="s">
        <v>353</v>
      </c>
      <c r="J70">
        <v>1</v>
      </c>
      <c r="K70">
        <v>0</v>
      </c>
      <c r="L70">
        <v>5500</v>
      </c>
      <c r="M70">
        <v>0</v>
      </c>
      <c r="N70" s="59">
        <v>45450</v>
      </c>
      <c r="O70" t="s">
        <v>2087</v>
      </c>
      <c r="R70" t="s">
        <v>563</v>
      </c>
      <c r="S70" s="59"/>
      <c r="T70" t="s">
        <v>1421</v>
      </c>
      <c r="U70" t="s">
        <v>1422</v>
      </c>
      <c r="W70">
        <v>0</v>
      </c>
      <c r="X70">
        <v>0</v>
      </c>
      <c r="Y70">
        <v>0</v>
      </c>
      <c r="Z70">
        <v>0</v>
      </c>
      <c r="AE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540215666102 010-2104-9556 45470585</v>
      </c>
    </row>
    <row r="71" spans="1:31">
      <c r="A71">
        <v>70</v>
      </c>
      <c r="B71" t="s">
        <v>673</v>
      </c>
      <c r="C71" t="s">
        <v>532</v>
      </c>
      <c r="E71" s="59">
        <v>45450</v>
      </c>
      <c r="F71" t="s">
        <v>1418</v>
      </c>
      <c r="G71" t="s">
        <v>1423</v>
      </c>
      <c r="H71" t="s">
        <v>531</v>
      </c>
      <c r="I71" t="s">
        <v>353</v>
      </c>
      <c r="J71">
        <v>1</v>
      </c>
      <c r="K71">
        <v>0</v>
      </c>
      <c r="L71">
        <v>0</v>
      </c>
      <c r="M71">
        <v>0</v>
      </c>
      <c r="N71" s="59">
        <v>45450</v>
      </c>
      <c r="O71" t="s">
        <v>2088</v>
      </c>
      <c r="R71" t="s">
        <v>563</v>
      </c>
      <c r="S71" s="59"/>
      <c r="T71" t="s">
        <v>1421</v>
      </c>
      <c r="U71" t="s">
        <v>1422</v>
      </c>
      <c r="W71">
        <v>0</v>
      </c>
      <c r="X71">
        <v>0</v>
      </c>
      <c r="Y71">
        <v>0</v>
      </c>
      <c r="Z71">
        <v>0</v>
      </c>
      <c r="AE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530216665551 010-2104-9556 45470121</v>
      </c>
    </row>
    <row r="72" spans="1:31">
      <c r="A72">
        <v>71</v>
      </c>
      <c r="B72" t="s">
        <v>673</v>
      </c>
      <c r="C72" t="s">
        <v>532</v>
      </c>
      <c r="E72" s="59">
        <v>45450</v>
      </c>
      <c r="F72" t="s">
        <v>1425</v>
      </c>
      <c r="G72" t="s">
        <v>1426</v>
      </c>
      <c r="H72" t="s">
        <v>531</v>
      </c>
      <c r="I72" t="s">
        <v>353</v>
      </c>
      <c r="J72">
        <v>1</v>
      </c>
      <c r="K72">
        <v>0</v>
      </c>
      <c r="L72">
        <v>3000</v>
      </c>
      <c r="M72">
        <v>0</v>
      </c>
      <c r="N72" s="59">
        <v>45450</v>
      </c>
      <c r="O72" t="s">
        <v>2089</v>
      </c>
      <c r="R72" t="s">
        <v>563</v>
      </c>
      <c r="S72" s="59"/>
      <c r="T72" t="s">
        <v>1428</v>
      </c>
      <c r="U72" t="s">
        <v>1429</v>
      </c>
      <c r="W72">
        <v>0</v>
      </c>
      <c r="X72">
        <v>0</v>
      </c>
      <c r="Y72">
        <v>0</v>
      </c>
      <c r="Z72">
        <v>0</v>
      </c>
      <c r="AE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김필순 SE.1000 투명 540215527244 010-6590-0696 45470272</v>
      </c>
    </row>
    <row r="73" spans="1:31">
      <c r="A73">
        <v>72</v>
      </c>
      <c r="B73" t="s">
        <v>673</v>
      </c>
      <c r="C73" t="s">
        <v>532</v>
      </c>
      <c r="E73" s="59">
        <v>45450</v>
      </c>
      <c r="F73" t="s">
        <v>1418</v>
      </c>
      <c r="G73" t="s">
        <v>1430</v>
      </c>
      <c r="H73" t="s">
        <v>531</v>
      </c>
      <c r="I73" t="s">
        <v>353</v>
      </c>
      <c r="J73">
        <v>1</v>
      </c>
      <c r="K73">
        <v>0</v>
      </c>
      <c r="L73">
        <v>0</v>
      </c>
      <c r="M73">
        <v>0</v>
      </c>
      <c r="N73" s="59">
        <v>45450</v>
      </c>
      <c r="O73" t="s">
        <v>2090</v>
      </c>
      <c r="R73" t="s">
        <v>563</v>
      </c>
      <c r="S73" s="59"/>
      <c r="T73" t="s">
        <v>1421</v>
      </c>
      <c r="U73" t="s">
        <v>1422</v>
      </c>
      <c r="W73">
        <v>0</v>
      </c>
      <c r="X73">
        <v>0</v>
      </c>
      <c r="Y73">
        <v>0</v>
      </c>
      <c r="Z73">
        <v>0</v>
      </c>
      <c r="AE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효떡집 SE.1000 투명 540215666216 010-2104-9556 45470646</v>
      </c>
    </row>
    <row r="74" spans="1:31">
      <c r="A74">
        <v>73</v>
      </c>
      <c r="B74" t="s">
        <v>673</v>
      </c>
      <c r="C74" t="s">
        <v>561</v>
      </c>
      <c r="D74" t="s">
        <v>1432</v>
      </c>
      <c r="E74" s="59">
        <v>45450</v>
      </c>
      <c r="F74" t="s">
        <v>1432</v>
      </c>
      <c r="G74" t="s">
        <v>1433</v>
      </c>
      <c r="H74" t="s">
        <v>34</v>
      </c>
      <c r="I74" t="s">
        <v>353</v>
      </c>
      <c r="J74">
        <v>1</v>
      </c>
      <c r="K74">
        <v>0</v>
      </c>
      <c r="L74">
        <v>3000</v>
      </c>
      <c r="M74">
        <v>0</v>
      </c>
      <c r="N74" s="59">
        <v>45450</v>
      </c>
      <c r="O74" t="s">
        <v>1435</v>
      </c>
      <c r="P74" t="s">
        <v>1436</v>
      </c>
      <c r="Q74" t="s">
        <v>1437</v>
      </c>
      <c r="R74" t="s">
        <v>563</v>
      </c>
      <c r="S74" s="59"/>
      <c r="T74" t="s">
        <v>1438</v>
      </c>
      <c r="U74" t="s">
        <v>1439</v>
      </c>
      <c r="W74">
        <v>28400</v>
      </c>
      <c r="X74">
        <v>0</v>
      </c>
      <c r="Y74">
        <v>3000</v>
      </c>
      <c r="Z74">
        <v>0</v>
      </c>
      <c r="AE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김영희 김영희 SE.206 투명 540215483284 0502-3778-2814 2024060720131911</v>
      </c>
    </row>
    <row r="75" spans="1:31">
      <c r="A75">
        <v>74</v>
      </c>
      <c r="B75" t="s">
        <v>673</v>
      </c>
      <c r="C75" t="s">
        <v>561</v>
      </c>
      <c r="D75" t="s">
        <v>1445</v>
      </c>
      <c r="E75" s="59">
        <v>45450</v>
      </c>
      <c r="F75" t="s">
        <v>1441</v>
      </c>
      <c r="G75" t="s">
        <v>1442</v>
      </c>
      <c r="H75" t="s">
        <v>18</v>
      </c>
      <c r="I75" t="s">
        <v>353</v>
      </c>
      <c r="J75">
        <v>2</v>
      </c>
      <c r="K75">
        <v>0</v>
      </c>
      <c r="L75">
        <v>3500</v>
      </c>
      <c r="M75">
        <v>0</v>
      </c>
      <c r="N75" s="59">
        <v>45449</v>
      </c>
      <c r="O75" t="s">
        <v>1444</v>
      </c>
      <c r="P75" t="s">
        <v>1446</v>
      </c>
      <c r="Q75" t="s">
        <v>1447</v>
      </c>
      <c r="R75" t="s">
        <v>563</v>
      </c>
      <c r="S75" s="59"/>
      <c r="T75" t="s">
        <v>1447</v>
      </c>
      <c r="U75" t="s">
        <v>1449</v>
      </c>
      <c r="W75">
        <v>21120</v>
      </c>
      <c r="X75">
        <v>0</v>
      </c>
      <c r="Y75">
        <v>0</v>
      </c>
      <c r="Z75">
        <v>0</v>
      </c>
      <c r="AE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SE.307 투명 540215391691 010-7444-5029 2024060673126881</v>
      </c>
    </row>
    <row r="76" spans="1:31">
      <c r="A76">
        <v>75</v>
      </c>
      <c r="B76" t="s">
        <v>673</v>
      </c>
      <c r="C76" t="s">
        <v>561</v>
      </c>
      <c r="D76" t="s">
        <v>1445</v>
      </c>
      <c r="E76" s="59">
        <v>45450</v>
      </c>
      <c r="F76" t="s">
        <v>1441</v>
      </c>
      <c r="G76" t="s">
        <v>1442</v>
      </c>
      <c r="H76" t="s">
        <v>243</v>
      </c>
      <c r="I76" t="s">
        <v>354</v>
      </c>
      <c r="J76">
        <v>5</v>
      </c>
      <c r="K76">
        <v>0</v>
      </c>
      <c r="L76">
        <v>0</v>
      </c>
      <c r="M76">
        <v>0</v>
      </c>
      <c r="N76" s="59">
        <v>45449</v>
      </c>
      <c r="O76" t="s">
        <v>1452</v>
      </c>
      <c r="P76" t="s">
        <v>1446</v>
      </c>
      <c r="Q76" t="s">
        <v>1447</v>
      </c>
      <c r="R76" t="s">
        <v>563</v>
      </c>
      <c r="S76" s="59"/>
      <c r="T76" t="s">
        <v>1447</v>
      </c>
      <c r="U76" t="s">
        <v>1449</v>
      </c>
      <c r="W76">
        <v>7150</v>
      </c>
      <c r="X76">
        <v>7200</v>
      </c>
      <c r="Y76">
        <v>0</v>
      </c>
      <c r="Z76">
        <v>0</v>
      </c>
      <c r="AE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SE.14 검정 540215391691 010-7444-5029 2024060673126871</v>
      </c>
    </row>
    <row r="77" spans="1:31">
      <c r="A77">
        <v>76</v>
      </c>
      <c r="B77" t="s">
        <v>673</v>
      </c>
      <c r="C77" t="s">
        <v>561</v>
      </c>
      <c r="D77" t="s">
        <v>1445</v>
      </c>
      <c r="E77" s="59">
        <v>45450</v>
      </c>
      <c r="F77" t="s">
        <v>1441</v>
      </c>
      <c r="G77" t="s">
        <v>1442</v>
      </c>
      <c r="H77" t="s">
        <v>112</v>
      </c>
      <c r="I77" t="s">
        <v>353</v>
      </c>
      <c r="J77">
        <v>3</v>
      </c>
      <c r="K77">
        <v>0</v>
      </c>
      <c r="L77">
        <v>0</v>
      </c>
      <c r="M77">
        <v>0</v>
      </c>
      <c r="N77" s="59">
        <v>45449</v>
      </c>
      <c r="O77" t="s">
        <v>1454</v>
      </c>
      <c r="P77" t="s">
        <v>1446</v>
      </c>
      <c r="Q77" t="s">
        <v>1447</v>
      </c>
      <c r="R77" t="s">
        <v>563</v>
      </c>
      <c r="S77" s="59"/>
      <c r="T77" t="s">
        <v>1447</v>
      </c>
      <c r="U77" t="s">
        <v>1449</v>
      </c>
      <c r="W77">
        <v>9720</v>
      </c>
      <c r="X77">
        <v>3870</v>
      </c>
      <c r="Y77">
        <v>0</v>
      </c>
      <c r="Z77">
        <v>0</v>
      </c>
      <c r="AE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한은혜 기찬수제돈까스 SE.107 투명 540215391691 010-7444-5029 2024060673126861</v>
      </c>
    </row>
    <row r="78" spans="1:31">
      <c r="A78">
        <v>77</v>
      </c>
      <c r="B78" t="s">
        <v>562</v>
      </c>
      <c r="C78" t="s">
        <v>561</v>
      </c>
      <c r="D78" t="s">
        <v>1460</v>
      </c>
      <c r="E78" s="59">
        <v>45450</v>
      </c>
      <c r="F78" t="s">
        <v>1455</v>
      </c>
      <c r="G78" t="s">
        <v>1457</v>
      </c>
      <c r="H78" t="s">
        <v>208</v>
      </c>
      <c r="I78" t="s">
        <v>375</v>
      </c>
      <c r="J78">
        <v>5</v>
      </c>
      <c r="K78">
        <v>14550</v>
      </c>
      <c r="L78">
        <v>3000</v>
      </c>
      <c r="M78">
        <v>0</v>
      </c>
      <c r="N78" s="59">
        <v>45450</v>
      </c>
      <c r="O78" t="s">
        <v>1459</v>
      </c>
      <c r="P78" t="s">
        <v>1461</v>
      </c>
      <c r="Q78" t="s">
        <v>1462</v>
      </c>
      <c r="R78" t="s">
        <v>563</v>
      </c>
      <c r="S78" s="59"/>
      <c r="T78" t="s">
        <v>1463</v>
      </c>
      <c r="U78" t="s">
        <v>1464</v>
      </c>
      <c r="W78">
        <v>18900</v>
      </c>
      <c r="X78">
        <v>0</v>
      </c>
      <c r="Y78">
        <v>3000</v>
      </c>
      <c r="Z78">
        <v>0</v>
      </c>
      <c r="AE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이재영 더리터 경산 사동점 SE.21 유백 540215391525 053-814-3337 2024060719461551</v>
      </c>
    </row>
    <row r="79" spans="1:31">
      <c r="A79">
        <v>78</v>
      </c>
      <c r="B79" t="s">
        <v>562</v>
      </c>
      <c r="C79" t="s">
        <v>561</v>
      </c>
      <c r="D79" t="s">
        <v>1467</v>
      </c>
      <c r="E79" s="59">
        <v>45450</v>
      </c>
      <c r="F79" t="s">
        <v>1467</v>
      </c>
      <c r="G79" t="s">
        <v>1468</v>
      </c>
      <c r="H79" t="s">
        <v>34</v>
      </c>
      <c r="I79" t="s">
        <v>353</v>
      </c>
      <c r="J79">
        <v>1</v>
      </c>
      <c r="K79">
        <v>23300</v>
      </c>
      <c r="L79">
        <v>3500</v>
      </c>
      <c r="M79">
        <v>0</v>
      </c>
      <c r="N79" s="59">
        <v>45450</v>
      </c>
      <c r="O79" t="s">
        <v>1470</v>
      </c>
      <c r="P79" t="s">
        <v>1471</v>
      </c>
      <c r="Q79" t="s">
        <v>1472</v>
      </c>
      <c r="R79" t="s">
        <v>563</v>
      </c>
      <c r="S79" s="59"/>
      <c r="T79" t="s">
        <v>1472</v>
      </c>
      <c r="U79" t="s">
        <v>1473</v>
      </c>
      <c r="W79">
        <v>28620</v>
      </c>
      <c r="X79">
        <v>3180</v>
      </c>
      <c r="Y79">
        <v>3000</v>
      </c>
      <c r="Z79">
        <v>0</v>
      </c>
      <c r="AE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최동호 최동호 SE.206 투명 540215391433 010-3465-3768 2024060715739931</v>
      </c>
    </row>
    <row r="80" spans="1:31">
      <c r="A80">
        <v>79</v>
      </c>
      <c r="B80" t="s">
        <v>562</v>
      </c>
      <c r="C80" t="s">
        <v>561</v>
      </c>
      <c r="D80" t="s">
        <v>1475</v>
      </c>
      <c r="E80" s="59">
        <v>45450</v>
      </c>
      <c r="F80" t="s">
        <v>1475</v>
      </c>
      <c r="G80" t="s">
        <v>1478</v>
      </c>
      <c r="H80" t="s">
        <v>224</v>
      </c>
      <c r="I80" t="s">
        <v>368</v>
      </c>
      <c r="J80">
        <v>4</v>
      </c>
      <c r="K80">
        <v>8172</v>
      </c>
      <c r="L80">
        <v>3000</v>
      </c>
      <c r="M80">
        <v>0</v>
      </c>
      <c r="N80" s="59">
        <v>45449</v>
      </c>
      <c r="O80" t="s">
        <v>1480</v>
      </c>
      <c r="P80" t="s">
        <v>1481</v>
      </c>
      <c r="Q80" t="s">
        <v>1482</v>
      </c>
      <c r="R80" t="s">
        <v>563</v>
      </c>
      <c r="S80" s="59"/>
      <c r="T80" t="s">
        <v>1482</v>
      </c>
      <c r="U80" t="s">
        <v>1483</v>
      </c>
      <c r="W80">
        <v>8480</v>
      </c>
      <c r="X80">
        <v>0</v>
      </c>
      <c r="Y80">
        <v>3000</v>
      </c>
      <c r="Z80">
        <v>0</v>
      </c>
      <c r="AE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이정민 이정민 SE.18 청백 540215391746 010-3712-4033 2024060689730391</v>
      </c>
    </row>
    <row r="81" spans="1:31">
      <c r="A81">
        <v>80</v>
      </c>
      <c r="B81" t="s">
        <v>562</v>
      </c>
      <c r="C81" t="s">
        <v>561</v>
      </c>
      <c r="D81" t="s">
        <v>1486</v>
      </c>
      <c r="E81" s="59">
        <v>45450</v>
      </c>
      <c r="F81" t="s">
        <v>1486</v>
      </c>
      <c r="G81" t="s">
        <v>1487</v>
      </c>
      <c r="H81" t="s">
        <v>118</v>
      </c>
      <c r="I81" t="s">
        <v>353</v>
      </c>
      <c r="J81">
        <v>1</v>
      </c>
      <c r="K81">
        <v>4650</v>
      </c>
      <c r="L81">
        <v>3000</v>
      </c>
      <c r="M81">
        <v>0</v>
      </c>
      <c r="N81" s="59">
        <v>45448</v>
      </c>
      <c r="O81" t="s">
        <v>1489</v>
      </c>
      <c r="P81" t="s">
        <v>1490</v>
      </c>
      <c r="Q81" t="s">
        <v>1491</v>
      </c>
      <c r="R81" t="s">
        <v>563</v>
      </c>
      <c r="S81" s="59"/>
      <c r="T81" t="s">
        <v>1492</v>
      </c>
      <c r="U81" t="s">
        <v>1493</v>
      </c>
      <c r="W81">
        <v>2780</v>
      </c>
      <c r="X81">
        <v>0</v>
      </c>
      <c r="Y81">
        <v>3000</v>
      </c>
      <c r="Z81">
        <v>0</v>
      </c>
      <c r="AE8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SE.105 투명 540215391643 010-4696-2023 2024060556292961</v>
      </c>
    </row>
    <row r="82" spans="1:31">
      <c r="A82">
        <v>81</v>
      </c>
      <c r="B82" t="s">
        <v>562</v>
      </c>
      <c r="C82" t="s">
        <v>561</v>
      </c>
      <c r="D82" t="s">
        <v>1486</v>
      </c>
      <c r="E82" s="59">
        <v>45450</v>
      </c>
      <c r="F82" t="s">
        <v>1486</v>
      </c>
      <c r="G82" t="s">
        <v>1487</v>
      </c>
      <c r="H82" t="s">
        <v>112</v>
      </c>
      <c r="I82" t="s">
        <v>353</v>
      </c>
      <c r="J82">
        <v>1</v>
      </c>
      <c r="K82">
        <v>2156</v>
      </c>
      <c r="L82">
        <v>0</v>
      </c>
      <c r="M82">
        <v>0</v>
      </c>
      <c r="N82" s="59">
        <v>45448</v>
      </c>
      <c r="O82" t="s">
        <v>1496</v>
      </c>
      <c r="P82" t="s">
        <v>1490</v>
      </c>
      <c r="Q82" t="s">
        <v>1491</v>
      </c>
      <c r="R82" t="s">
        <v>563</v>
      </c>
      <c r="S82" s="59"/>
      <c r="T82" t="s">
        <v>1492</v>
      </c>
      <c r="U82" t="s">
        <v>1493</v>
      </c>
      <c r="W82">
        <v>3330</v>
      </c>
      <c r="X82">
        <v>0</v>
      </c>
      <c r="Y82">
        <v>0</v>
      </c>
      <c r="Z82">
        <v>0</v>
      </c>
      <c r="AE8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SE.107 투명 540215391643 010-4696-2023 2024060556292951</v>
      </c>
    </row>
    <row r="83" spans="1:31">
      <c r="A83">
        <v>82</v>
      </c>
      <c r="B83" t="s">
        <v>562</v>
      </c>
      <c r="C83" t="s">
        <v>561</v>
      </c>
      <c r="D83" t="s">
        <v>1486</v>
      </c>
      <c r="E83" s="59">
        <v>45450</v>
      </c>
      <c r="F83" t="s">
        <v>1486</v>
      </c>
      <c r="G83" t="s">
        <v>1487</v>
      </c>
      <c r="H83" t="s">
        <v>110</v>
      </c>
      <c r="I83" t="s">
        <v>353</v>
      </c>
      <c r="J83">
        <v>1</v>
      </c>
      <c r="K83">
        <v>715</v>
      </c>
      <c r="L83">
        <v>0</v>
      </c>
      <c r="M83">
        <v>0</v>
      </c>
      <c r="N83" s="59">
        <v>45448</v>
      </c>
      <c r="O83" t="s">
        <v>1499</v>
      </c>
      <c r="P83" t="s">
        <v>1490</v>
      </c>
      <c r="Q83" t="s">
        <v>1491</v>
      </c>
      <c r="R83" t="s">
        <v>563</v>
      </c>
      <c r="S83" s="59"/>
      <c r="T83" t="s">
        <v>1492</v>
      </c>
      <c r="U83" t="s">
        <v>1493</v>
      </c>
      <c r="W83">
        <v>1640</v>
      </c>
      <c r="X83">
        <v>0</v>
      </c>
      <c r="Y83">
        <v>0</v>
      </c>
      <c r="Z83">
        <v>0</v>
      </c>
      <c r="AE8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SE.108 투명 540215391643 010-4696-2023 2024060556292941</v>
      </c>
    </row>
    <row r="84" spans="1:31">
      <c r="A84">
        <v>83</v>
      </c>
      <c r="B84" t="s">
        <v>562</v>
      </c>
      <c r="C84" t="s">
        <v>561</v>
      </c>
      <c r="D84" t="s">
        <v>1486</v>
      </c>
      <c r="E84" s="59">
        <v>45450</v>
      </c>
      <c r="F84" t="s">
        <v>1486</v>
      </c>
      <c r="G84" t="s">
        <v>1487</v>
      </c>
      <c r="H84" t="s">
        <v>125</v>
      </c>
      <c r="I84" t="s">
        <v>353</v>
      </c>
      <c r="J84">
        <v>1</v>
      </c>
      <c r="K84">
        <v>1100</v>
      </c>
      <c r="L84">
        <v>0</v>
      </c>
      <c r="M84">
        <v>0</v>
      </c>
      <c r="N84" s="59">
        <v>45448</v>
      </c>
      <c r="O84" t="s">
        <v>1502</v>
      </c>
      <c r="P84" t="s">
        <v>1490</v>
      </c>
      <c r="Q84" t="s">
        <v>1491</v>
      </c>
      <c r="R84" t="s">
        <v>563</v>
      </c>
      <c r="S84" s="59"/>
      <c r="T84" t="s">
        <v>1492</v>
      </c>
      <c r="U84" t="s">
        <v>1493</v>
      </c>
      <c r="W84">
        <v>1800</v>
      </c>
      <c r="X84">
        <v>0</v>
      </c>
      <c r="Y84">
        <v>0</v>
      </c>
      <c r="Z84">
        <v>0</v>
      </c>
      <c r="AE8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임선화 임선화 SE.103 투명 540215391643 010-4696-2023 2024060556292931</v>
      </c>
    </row>
    <row r="85" spans="1:31">
      <c r="A85">
        <v>84</v>
      </c>
      <c r="B85" t="s">
        <v>673</v>
      </c>
      <c r="C85" t="s">
        <v>568</v>
      </c>
      <c r="D85" t="s">
        <v>1504</v>
      </c>
      <c r="E85" s="59">
        <v>45450</v>
      </c>
      <c r="F85" t="s">
        <v>1504</v>
      </c>
      <c r="G85" t="s">
        <v>1506</v>
      </c>
      <c r="H85" t="s">
        <v>36</v>
      </c>
      <c r="I85" t="s">
        <v>353</v>
      </c>
      <c r="J85">
        <v>1</v>
      </c>
      <c r="K85">
        <v>0</v>
      </c>
      <c r="L85">
        <v>3500</v>
      </c>
      <c r="M85">
        <v>0</v>
      </c>
      <c r="N85" s="59">
        <v>45448</v>
      </c>
      <c r="O85" t="s">
        <v>1507</v>
      </c>
      <c r="P85" t="s">
        <v>1508</v>
      </c>
      <c r="Q85" t="s">
        <v>1509</v>
      </c>
      <c r="R85" t="s">
        <v>563</v>
      </c>
      <c r="S85" s="59"/>
      <c r="T85" t="s">
        <v>1509</v>
      </c>
      <c r="U85" t="s">
        <v>1510</v>
      </c>
      <c r="V85" t="s">
        <v>569</v>
      </c>
      <c r="W85">
        <v>25200</v>
      </c>
      <c r="X85">
        <v>0</v>
      </c>
      <c r="Y85">
        <v>3000</v>
      </c>
      <c r="Z85">
        <v>0</v>
      </c>
      <c r="AE8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김서영 김서영 SE.205 투명 540215391573 0502-4860-8914 5100051437810</v>
      </c>
    </row>
    <row r="86" spans="1:31">
      <c r="A86">
        <v>85</v>
      </c>
      <c r="B86" t="s">
        <v>673</v>
      </c>
      <c r="C86" t="s">
        <v>568</v>
      </c>
      <c r="D86" t="s">
        <v>1512</v>
      </c>
      <c r="E86" s="59">
        <v>45450</v>
      </c>
      <c r="F86" t="s">
        <v>1512</v>
      </c>
      <c r="G86" t="s">
        <v>1513</v>
      </c>
      <c r="H86" t="s">
        <v>34</v>
      </c>
      <c r="I86" t="s">
        <v>353</v>
      </c>
      <c r="J86">
        <v>1</v>
      </c>
      <c r="K86">
        <v>0</v>
      </c>
      <c r="L86">
        <v>3500</v>
      </c>
      <c r="M86">
        <v>0</v>
      </c>
      <c r="N86" s="59">
        <v>45449</v>
      </c>
      <c r="O86" t="s">
        <v>1514</v>
      </c>
      <c r="P86" t="s">
        <v>1005</v>
      </c>
      <c r="Q86" t="s">
        <v>1515</v>
      </c>
      <c r="R86" t="s">
        <v>563</v>
      </c>
      <c r="S86" s="59"/>
      <c r="T86" t="s">
        <v>1515</v>
      </c>
      <c r="U86" t="s">
        <v>1516</v>
      </c>
      <c r="V86" t="s">
        <v>571</v>
      </c>
      <c r="W86">
        <v>30240</v>
      </c>
      <c r="X86">
        <v>0</v>
      </c>
      <c r="Y86">
        <v>3000</v>
      </c>
      <c r="Z86">
        <v>0</v>
      </c>
      <c r="AE8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김기옥 김기옥 SE.206 투명 540215391374 0502-4592-1021 13100051693704</v>
      </c>
    </row>
    <row r="87" spans="1:31">
      <c r="A87">
        <v>86</v>
      </c>
      <c r="B87" t="s">
        <v>562</v>
      </c>
      <c r="C87" t="s">
        <v>568</v>
      </c>
      <c r="D87" t="s">
        <v>1521</v>
      </c>
      <c r="E87" s="59">
        <v>45450</v>
      </c>
      <c r="F87" t="s">
        <v>1518</v>
      </c>
      <c r="G87" t="s">
        <v>1519</v>
      </c>
      <c r="H87" t="s">
        <v>34</v>
      </c>
      <c r="I87" t="s">
        <v>353</v>
      </c>
      <c r="J87">
        <v>1</v>
      </c>
      <c r="K87">
        <v>23300</v>
      </c>
      <c r="L87">
        <v>3500</v>
      </c>
      <c r="M87">
        <v>0</v>
      </c>
      <c r="N87" s="59">
        <v>45448</v>
      </c>
      <c r="O87" t="s">
        <v>1520</v>
      </c>
      <c r="P87" t="s">
        <v>1522</v>
      </c>
      <c r="Q87" t="s">
        <v>1523</v>
      </c>
      <c r="R87" t="s">
        <v>563</v>
      </c>
      <c r="S87" s="59"/>
      <c r="T87" t="s">
        <v>1523</v>
      </c>
      <c r="U87" t="s">
        <v>1524</v>
      </c>
      <c r="V87" t="s">
        <v>1525</v>
      </c>
      <c r="W87">
        <v>34020</v>
      </c>
      <c r="X87">
        <v>0</v>
      </c>
      <c r="Y87">
        <v>3000</v>
      </c>
      <c r="Z87">
        <v>0</v>
      </c>
      <c r="AE8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권유진 다다하다장산점 SE.206 투명 540215391470 0502-1654-1737 25100051580368</v>
      </c>
    </row>
    <row r="88" spans="1:31">
      <c r="A88">
        <v>87</v>
      </c>
      <c r="B88" t="s">
        <v>562</v>
      </c>
      <c r="C88" t="s">
        <v>568</v>
      </c>
      <c r="D88" t="s">
        <v>1527</v>
      </c>
      <c r="E88" s="59">
        <v>45450</v>
      </c>
      <c r="F88" t="s">
        <v>1527</v>
      </c>
      <c r="G88" t="s">
        <v>1529</v>
      </c>
      <c r="H88" t="s">
        <v>22</v>
      </c>
      <c r="I88" t="s">
        <v>353</v>
      </c>
      <c r="J88">
        <v>2</v>
      </c>
      <c r="K88">
        <v>28800</v>
      </c>
      <c r="L88">
        <v>3500</v>
      </c>
      <c r="M88">
        <v>0</v>
      </c>
      <c r="N88" s="59">
        <v>45448</v>
      </c>
      <c r="O88" t="s">
        <v>1530</v>
      </c>
      <c r="P88" t="s">
        <v>1531</v>
      </c>
      <c r="Q88" t="s">
        <v>1532</v>
      </c>
      <c r="R88" t="s">
        <v>563</v>
      </c>
      <c r="S88" s="59"/>
      <c r="T88" t="s">
        <v>1532</v>
      </c>
      <c r="U88" t="s">
        <v>1533</v>
      </c>
      <c r="V88" t="s">
        <v>571</v>
      </c>
      <c r="W88">
        <v>43480</v>
      </c>
      <c r="X88">
        <v>0</v>
      </c>
      <c r="Y88">
        <v>0</v>
      </c>
      <c r="Z88">
        <v>0</v>
      </c>
      <c r="AE8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임무열 임무열 SE.305 투명 540215391632 0502-1744-6419 21100051630553</v>
      </c>
    </row>
    <row r="89" spans="1:31">
      <c r="A89">
        <v>88</v>
      </c>
      <c r="B89" t="s">
        <v>673</v>
      </c>
      <c r="C89" t="s">
        <v>532</v>
      </c>
      <c r="E89" s="59">
        <v>45453</v>
      </c>
      <c r="F89" t="s">
        <v>1535</v>
      </c>
      <c r="G89" t="s">
        <v>1536</v>
      </c>
      <c r="H89" t="s">
        <v>531</v>
      </c>
      <c r="I89" t="s">
        <v>353</v>
      </c>
      <c r="J89">
        <v>1</v>
      </c>
      <c r="K89">
        <v>0</v>
      </c>
      <c r="L89">
        <v>5500</v>
      </c>
      <c r="M89">
        <v>0</v>
      </c>
      <c r="N89" s="59">
        <v>45453</v>
      </c>
      <c r="O89" t="s">
        <v>2091</v>
      </c>
      <c r="R89" t="s">
        <v>563</v>
      </c>
      <c r="S89" s="59"/>
      <c r="T89" t="s">
        <v>1538</v>
      </c>
      <c r="U89" t="s">
        <v>1539</v>
      </c>
      <c r="W89">
        <v>0</v>
      </c>
      <c r="X89">
        <v>0</v>
      </c>
      <c r="Y89">
        <v>0</v>
      </c>
      <c r="Z89">
        <v>0</v>
      </c>
      <c r="AE8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530218428490 010-6313-8011 45470688</v>
      </c>
    </row>
    <row r="90" spans="1:31">
      <c r="A90">
        <v>89</v>
      </c>
      <c r="B90" t="s">
        <v>673</v>
      </c>
      <c r="C90" t="s">
        <v>532</v>
      </c>
      <c r="E90" s="59">
        <v>45453</v>
      </c>
      <c r="F90" t="s">
        <v>1535</v>
      </c>
      <c r="G90" t="s">
        <v>1540</v>
      </c>
      <c r="H90" t="s">
        <v>531</v>
      </c>
      <c r="I90" t="s">
        <v>353</v>
      </c>
      <c r="J90">
        <v>1</v>
      </c>
      <c r="K90">
        <v>0</v>
      </c>
      <c r="L90">
        <v>5500</v>
      </c>
      <c r="M90">
        <v>0</v>
      </c>
      <c r="N90" s="59">
        <v>45453</v>
      </c>
      <c r="O90" t="s">
        <v>2092</v>
      </c>
      <c r="R90" t="s">
        <v>563</v>
      </c>
      <c r="S90" s="59"/>
      <c r="T90" t="s">
        <v>1538</v>
      </c>
      <c r="U90" t="s">
        <v>1539</v>
      </c>
      <c r="W90">
        <v>0</v>
      </c>
      <c r="X90">
        <v>0</v>
      </c>
      <c r="Y90">
        <v>0</v>
      </c>
      <c r="Z90">
        <v>0</v>
      </c>
      <c r="AE9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동해수산 SE.1000 투명 530218428431 010-6313-8011 45470625</v>
      </c>
    </row>
    <row r="91" spans="1:31">
      <c r="A91">
        <v>90</v>
      </c>
      <c r="B91" t="s">
        <v>562</v>
      </c>
      <c r="C91" t="s">
        <v>568</v>
      </c>
      <c r="D91" t="s">
        <v>1542</v>
      </c>
      <c r="E91" s="59">
        <v>45453</v>
      </c>
      <c r="F91" t="s">
        <v>1542</v>
      </c>
      <c r="G91" t="s">
        <v>1545</v>
      </c>
      <c r="H91" t="s">
        <v>38</v>
      </c>
      <c r="I91" t="s">
        <v>353</v>
      </c>
      <c r="J91">
        <v>1</v>
      </c>
      <c r="K91">
        <v>18700</v>
      </c>
      <c r="L91">
        <v>4400</v>
      </c>
      <c r="M91">
        <v>0</v>
      </c>
      <c r="N91" s="59">
        <v>45450</v>
      </c>
      <c r="O91" t="s">
        <v>1546</v>
      </c>
      <c r="P91" t="s">
        <v>1547</v>
      </c>
      <c r="Q91" t="s">
        <v>1548</v>
      </c>
      <c r="R91" t="s">
        <v>563</v>
      </c>
      <c r="S91" s="59"/>
      <c r="T91" t="s">
        <v>1548</v>
      </c>
      <c r="U91" t="s">
        <v>1549</v>
      </c>
      <c r="V91" t="s">
        <v>1550</v>
      </c>
      <c r="W91">
        <v>24570</v>
      </c>
      <c r="X91">
        <v>0</v>
      </c>
      <c r="Y91">
        <v>0</v>
      </c>
      <c r="Z91">
        <v>0</v>
      </c>
      <c r="AE9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SE.204 투명 540216967170 0502-1675-6673 16100052233808</v>
      </c>
    </row>
    <row r="92" spans="1:31">
      <c r="A92">
        <v>91</v>
      </c>
      <c r="B92" t="s">
        <v>562</v>
      </c>
      <c r="C92" t="s">
        <v>568</v>
      </c>
      <c r="D92" t="s">
        <v>1542</v>
      </c>
      <c r="E92" s="59">
        <v>45453</v>
      </c>
      <c r="F92" t="s">
        <v>1542</v>
      </c>
      <c r="G92" t="s">
        <v>1545</v>
      </c>
      <c r="H92" t="s">
        <v>36</v>
      </c>
      <c r="I92" t="s">
        <v>353</v>
      </c>
      <c r="J92">
        <v>1</v>
      </c>
      <c r="K92">
        <v>16500</v>
      </c>
      <c r="L92">
        <v>0</v>
      </c>
      <c r="M92">
        <v>0</v>
      </c>
      <c r="N92" s="59">
        <v>45450</v>
      </c>
      <c r="O92" t="s">
        <v>1546</v>
      </c>
      <c r="P92" t="s">
        <v>1547</v>
      </c>
      <c r="Q92" t="s">
        <v>1548</v>
      </c>
      <c r="R92" t="s">
        <v>563</v>
      </c>
      <c r="S92" s="59"/>
      <c r="T92" t="s">
        <v>1548</v>
      </c>
      <c r="U92" t="s">
        <v>1549</v>
      </c>
      <c r="V92" t="s">
        <v>1550</v>
      </c>
      <c r="W92">
        <v>28350</v>
      </c>
      <c r="X92">
        <v>0</v>
      </c>
      <c r="Y92">
        <v>0</v>
      </c>
      <c r="Z92">
        <v>0</v>
      </c>
      <c r="AE9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박명미란 박명미란 SE.205 투명 540216967170 0502-1675-6673 16100052233808</v>
      </c>
    </row>
    <row r="93" spans="1:31">
      <c r="A93">
        <v>92</v>
      </c>
      <c r="B93" t="s">
        <v>562</v>
      </c>
      <c r="C93" t="s">
        <v>568</v>
      </c>
      <c r="D93" t="s">
        <v>1554</v>
      </c>
      <c r="E93" s="59">
        <v>45453</v>
      </c>
      <c r="F93" t="s">
        <v>1554</v>
      </c>
      <c r="G93" t="s">
        <v>1555</v>
      </c>
      <c r="H93" t="s">
        <v>34</v>
      </c>
      <c r="I93" t="s">
        <v>353</v>
      </c>
      <c r="J93">
        <v>1</v>
      </c>
      <c r="K93">
        <v>23300</v>
      </c>
      <c r="L93">
        <v>3500</v>
      </c>
      <c r="M93">
        <v>0</v>
      </c>
      <c r="N93" s="59">
        <v>45450</v>
      </c>
      <c r="O93" t="s">
        <v>1556</v>
      </c>
      <c r="P93" t="s">
        <v>1557</v>
      </c>
      <c r="Q93" t="s">
        <v>1558</v>
      </c>
      <c r="R93" t="s">
        <v>563</v>
      </c>
      <c r="S93" s="59"/>
      <c r="T93" t="s">
        <v>1558</v>
      </c>
      <c r="U93" t="s">
        <v>1559</v>
      </c>
      <c r="V93" t="s">
        <v>569</v>
      </c>
      <c r="W93">
        <v>34020</v>
      </c>
      <c r="X93">
        <v>0</v>
      </c>
      <c r="Y93">
        <v>3000</v>
      </c>
      <c r="Z93">
        <v>0</v>
      </c>
      <c r="AE9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류용재 류용재 SE.206 투명 540216957786 0502-1241-0308 16100052244396</v>
      </c>
    </row>
    <row r="94" spans="1:31">
      <c r="A94">
        <v>93</v>
      </c>
      <c r="B94" t="s">
        <v>562</v>
      </c>
      <c r="C94" t="s">
        <v>568</v>
      </c>
      <c r="D94" t="s">
        <v>1564</v>
      </c>
      <c r="E94" s="59">
        <v>45453</v>
      </c>
      <c r="F94" t="s">
        <v>1561</v>
      </c>
      <c r="G94" t="s">
        <v>1562</v>
      </c>
      <c r="H94" t="s">
        <v>18</v>
      </c>
      <c r="I94" t="s">
        <v>353</v>
      </c>
      <c r="J94">
        <v>1</v>
      </c>
      <c r="K94">
        <v>10260</v>
      </c>
      <c r="L94">
        <v>3000</v>
      </c>
      <c r="M94">
        <v>0</v>
      </c>
      <c r="N94" s="59">
        <v>45450</v>
      </c>
      <c r="O94" t="s">
        <v>1563</v>
      </c>
      <c r="P94" t="s">
        <v>1565</v>
      </c>
      <c r="Q94" t="s">
        <v>1566</v>
      </c>
      <c r="R94" t="s">
        <v>563</v>
      </c>
      <c r="S94" s="59"/>
      <c r="T94" t="s">
        <v>1566</v>
      </c>
      <c r="U94" t="s">
        <v>1567</v>
      </c>
      <c r="V94" t="s">
        <v>571</v>
      </c>
      <c r="W94">
        <v>12470</v>
      </c>
      <c r="X94">
        <v>0</v>
      </c>
      <c r="Y94">
        <v>3000</v>
      </c>
      <c r="Z94">
        <v>0</v>
      </c>
      <c r="AE9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권보민 해피앤댕 SE.307 투명 530217935675 0502-1253-6938 8100051985118</v>
      </c>
    </row>
    <row r="95" spans="1:31">
      <c r="A95">
        <v>94</v>
      </c>
      <c r="B95" t="s">
        <v>562</v>
      </c>
      <c r="C95" t="s">
        <v>568</v>
      </c>
      <c r="D95" t="s">
        <v>1572</v>
      </c>
      <c r="E95" s="59">
        <v>45453</v>
      </c>
      <c r="F95" t="s">
        <v>1569</v>
      </c>
      <c r="G95" t="s">
        <v>1570</v>
      </c>
      <c r="H95" t="s">
        <v>129</v>
      </c>
      <c r="I95" t="s">
        <v>353</v>
      </c>
      <c r="J95">
        <v>1</v>
      </c>
      <c r="K95">
        <v>3660</v>
      </c>
      <c r="L95">
        <v>3000</v>
      </c>
      <c r="M95">
        <v>0</v>
      </c>
      <c r="N95" s="59">
        <v>45451</v>
      </c>
      <c r="O95" t="s">
        <v>1571</v>
      </c>
      <c r="P95" t="s">
        <v>1573</v>
      </c>
      <c r="Q95" t="s">
        <v>1574</v>
      </c>
      <c r="R95" t="s">
        <v>563</v>
      </c>
      <c r="S95" s="59"/>
      <c r="T95" t="s">
        <v>1574</v>
      </c>
      <c r="U95" t="s">
        <v>1575</v>
      </c>
      <c r="V95" t="s">
        <v>571</v>
      </c>
      <c r="W95">
        <v>1150</v>
      </c>
      <c r="X95">
        <v>0</v>
      </c>
      <c r="Y95">
        <v>3000</v>
      </c>
      <c r="Z95">
        <v>0</v>
      </c>
      <c r="AE9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김유리 부평집 SE.102 투명 540216957602 0502-1492-5252 3100052051031</v>
      </c>
    </row>
    <row r="96" spans="1:31">
      <c r="A96">
        <v>95</v>
      </c>
      <c r="B96" t="s">
        <v>562</v>
      </c>
      <c r="C96" t="s">
        <v>568</v>
      </c>
      <c r="D96" t="s">
        <v>1577</v>
      </c>
      <c r="E96" s="59">
        <v>45453</v>
      </c>
      <c r="F96" t="s">
        <v>1577</v>
      </c>
      <c r="G96" t="s">
        <v>1579</v>
      </c>
      <c r="H96" t="s">
        <v>20</v>
      </c>
      <c r="I96" t="s">
        <v>353</v>
      </c>
      <c r="J96">
        <v>1</v>
      </c>
      <c r="K96">
        <v>12680</v>
      </c>
      <c r="L96">
        <v>3000</v>
      </c>
      <c r="M96">
        <v>0</v>
      </c>
      <c r="N96" s="59">
        <v>45451</v>
      </c>
      <c r="O96" t="s">
        <v>1580</v>
      </c>
      <c r="P96" t="s">
        <v>1581</v>
      </c>
      <c r="Q96" t="s">
        <v>1582</v>
      </c>
      <c r="R96" t="s">
        <v>563</v>
      </c>
      <c r="S96" s="59"/>
      <c r="T96" t="s">
        <v>1582</v>
      </c>
      <c r="U96" t="s">
        <v>1583</v>
      </c>
      <c r="V96" t="s">
        <v>569</v>
      </c>
      <c r="W96">
        <v>16630</v>
      </c>
      <c r="X96">
        <v>0</v>
      </c>
      <c r="Y96">
        <v>3000</v>
      </c>
      <c r="Z96">
        <v>0</v>
      </c>
      <c r="AE9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이향수 이향수 SE.306 투명 540216957624 0502-1355-3176 29100051943650</v>
      </c>
    </row>
    <row r="97" spans="1:31">
      <c r="A97">
        <v>96</v>
      </c>
      <c r="B97" t="s">
        <v>562</v>
      </c>
      <c r="C97" t="s">
        <v>568</v>
      </c>
      <c r="D97" t="s">
        <v>1585</v>
      </c>
      <c r="E97" s="59">
        <v>45453</v>
      </c>
      <c r="F97" t="s">
        <v>1585</v>
      </c>
      <c r="G97" t="s">
        <v>1587</v>
      </c>
      <c r="H97" t="s">
        <v>104</v>
      </c>
      <c r="I97" t="s">
        <v>353</v>
      </c>
      <c r="J97">
        <v>2</v>
      </c>
      <c r="K97">
        <v>7900</v>
      </c>
      <c r="L97">
        <v>3500</v>
      </c>
      <c r="M97">
        <v>0</v>
      </c>
      <c r="N97" s="59">
        <v>45451</v>
      </c>
      <c r="O97" t="s">
        <v>1588</v>
      </c>
      <c r="P97" t="s">
        <v>1399</v>
      </c>
      <c r="Q97" t="s">
        <v>1589</v>
      </c>
      <c r="R97" t="s">
        <v>563</v>
      </c>
      <c r="S97" s="59"/>
      <c r="T97" t="s">
        <v>1589</v>
      </c>
      <c r="U97" t="s">
        <v>1590</v>
      </c>
      <c r="V97" t="s">
        <v>571</v>
      </c>
      <c r="W97">
        <v>7700</v>
      </c>
      <c r="X97">
        <v>0</v>
      </c>
      <c r="Y97">
        <v>0</v>
      </c>
      <c r="Z97">
        <v>0</v>
      </c>
      <c r="AE9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SE.111 투명 540216957565 0502-1490-2390 2100051837419</v>
      </c>
    </row>
    <row r="98" spans="1:31">
      <c r="A98">
        <v>97</v>
      </c>
      <c r="B98" t="s">
        <v>562</v>
      </c>
      <c r="C98" t="s">
        <v>568</v>
      </c>
      <c r="D98" t="s">
        <v>1585</v>
      </c>
      <c r="E98" s="59">
        <v>45453</v>
      </c>
      <c r="F98" t="s">
        <v>1585</v>
      </c>
      <c r="G98" t="s">
        <v>1587</v>
      </c>
      <c r="H98" t="s">
        <v>98</v>
      </c>
      <c r="I98" t="s">
        <v>353</v>
      </c>
      <c r="J98">
        <v>2</v>
      </c>
      <c r="K98">
        <v>7920</v>
      </c>
      <c r="L98">
        <v>0</v>
      </c>
      <c r="M98">
        <v>0</v>
      </c>
      <c r="N98" s="59">
        <v>45451</v>
      </c>
      <c r="O98" t="s">
        <v>1588</v>
      </c>
      <c r="P98" t="s">
        <v>1399</v>
      </c>
      <c r="Q98" t="s">
        <v>1589</v>
      </c>
      <c r="R98" t="s">
        <v>563</v>
      </c>
      <c r="S98" s="59"/>
      <c r="T98" t="s">
        <v>1589</v>
      </c>
      <c r="U98" t="s">
        <v>1590</v>
      </c>
      <c r="V98" t="s">
        <v>571</v>
      </c>
      <c r="W98">
        <v>12240</v>
      </c>
      <c r="X98">
        <v>1360</v>
      </c>
      <c r="Y98">
        <v>0</v>
      </c>
      <c r="Z98">
        <v>0</v>
      </c>
      <c r="AE9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SE.114 투명 540216957565 0502-1490-2390 2100051837419</v>
      </c>
    </row>
    <row r="99" spans="1:31">
      <c r="A99">
        <v>98</v>
      </c>
      <c r="B99" t="s">
        <v>562</v>
      </c>
      <c r="C99" t="s">
        <v>568</v>
      </c>
      <c r="D99" t="s">
        <v>1585</v>
      </c>
      <c r="E99" s="59">
        <v>45453</v>
      </c>
      <c r="F99" t="s">
        <v>1585</v>
      </c>
      <c r="G99" t="s">
        <v>1587</v>
      </c>
      <c r="H99" t="s">
        <v>96</v>
      </c>
      <c r="I99" t="s">
        <v>353</v>
      </c>
      <c r="J99">
        <v>1</v>
      </c>
      <c r="K99">
        <v>3025</v>
      </c>
      <c r="L99">
        <v>0</v>
      </c>
      <c r="M99">
        <v>0</v>
      </c>
      <c r="N99" s="59">
        <v>45451</v>
      </c>
      <c r="O99" t="s">
        <v>1588</v>
      </c>
      <c r="P99" t="s">
        <v>1399</v>
      </c>
      <c r="Q99" t="s">
        <v>1589</v>
      </c>
      <c r="R99" t="s">
        <v>563</v>
      </c>
      <c r="S99" s="59"/>
      <c r="T99" t="s">
        <v>1589</v>
      </c>
      <c r="U99" t="s">
        <v>1590</v>
      </c>
      <c r="V99" t="s">
        <v>571</v>
      </c>
      <c r="W99">
        <v>5320</v>
      </c>
      <c r="X99">
        <v>0</v>
      </c>
      <c r="Y99">
        <v>0</v>
      </c>
      <c r="Z99">
        <v>0</v>
      </c>
      <c r="AE9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이혜영 이혜영 SE.115 투명 540216957565 0502-1490-2390 2100051837419</v>
      </c>
    </row>
    <row r="100" spans="1:31">
      <c r="A100">
        <v>99</v>
      </c>
      <c r="B100" t="s">
        <v>562</v>
      </c>
      <c r="C100" t="s">
        <v>568</v>
      </c>
      <c r="D100" t="s">
        <v>1237</v>
      </c>
      <c r="E100" s="59">
        <v>45453</v>
      </c>
      <c r="F100" t="s">
        <v>1237</v>
      </c>
      <c r="G100" t="s">
        <v>1594</v>
      </c>
      <c r="H100" t="s">
        <v>129</v>
      </c>
      <c r="I100" t="s">
        <v>353</v>
      </c>
      <c r="J100">
        <v>20</v>
      </c>
      <c r="K100">
        <v>16700</v>
      </c>
      <c r="L100">
        <v>3500</v>
      </c>
      <c r="M100">
        <v>0</v>
      </c>
      <c r="N100" s="59">
        <v>45451</v>
      </c>
      <c r="O100" t="s">
        <v>1595</v>
      </c>
      <c r="P100" t="s">
        <v>1240</v>
      </c>
      <c r="Q100" t="s">
        <v>1596</v>
      </c>
      <c r="R100" t="s">
        <v>563</v>
      </c>
      <c r="S100" s="59"/>
      <c r="T100" t="s">
        <v>1596</v>
      </c>
      <c r="U100" t="s">
        <v>1242</v>
      </c>
      <c r="V100" t="s">
        <v>571</v>
      </c>
      <c r="W100">
        <v>23000</v>
      </c>
      <c r="X100">
        <v>0</v>
      </c>
      <c r="Y100">
        <v>3000</v>
      </c>
      <c r="Z100">
        <v>0</v>
      </c>
      <c r="AE10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성준우 성준우 SE.102 투명 540216957672 0502-5189-7894 21100052102927</v>
      </c>
    </row>
    <row r="101" spans="1:31">
      <c r="A101">
        <v>100</v>
      </c>
      <c r="B101" t="s">
        <v>562</v>
      </c>
      <c r="C101" t="s">
        <v>568</v>
      </c>
      <c r="D101" t="s">
        <v>1598</v>
      </c>
      <c r="E101" s="59">
        <v>45453</v>
      </c>
      <c r="F101" t="s">
        <v>1598</v>
      </c>
      <c r="G101" t="s">
        <v>1601</v>
      </c>
      <c r="H101" t="s">
        <v>44</v>
      </c>
      <c r="I101" t="s">
        <v>353</v>
      </c>
      <c r="J101">
        <v>1</v>
      </c>
      <c r="K101">
        <v>12900</v>
      </c>
      <c r="L101">
        <v>3000</v>
      </c>
      <c r="M101">
        <v>0</v>
      </c>
      <c r="N101" s="59">
        <v>45452</v>
      </c>
      <c r="O101" t="s">
        <v>1602</v>
      </c>
      <c r="P101" t="s">
        <v>1603</v>
      </c>
      <c r="Q101" t="s">
        <v>1604</v>
      </c>
      <c r="R101" t="s">
        <v>563</v>
      </c>
      <c r="S101" s="59"/>
      <c r="T101" t="s">
        <v>1604</v>
      </c>
      <c r="U101" t="s">
        <v>1605</v>
      </c>
      <c r="V101" t="s">
        <v>571</v>
      </c>
      <c r="W101">
        <v>17010</v>
      </c>
      <c r="X101">
        <v>0</v>
      </c>
      <c r="Y101">
        <v>3000</v>
      </c>
      <c r="Z101">
        <v>0</v>
      </c>
      <c r="AE10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박창보 박창보 SE.201 투명 540216957543 0504-4963-2948 22100051795908</v>
      </c>
    </row>
    <row r="102" spans="1:31">
      <c r="A102">
        <v>101</v>
      </c>
      <c r="B102" t="s">
        <v>562</v>
      </c>
      <c r="C102" t="s">
        <v>568</v>
      </c>
      <c r="D102" t="s">
        <v>1612</v>
      </c>
      <c r="E102" s="59">
        <v>45453</v>
      </c>
      <c r="F102" t="s">
        <v>1607</v>
      </c>
      <c r="G102" t="s">
        <v>1610</v>
      </c>
      <c r="H102" t="s">
        <v>82</v>
      </c>
      <c r="I102" t="s">
        <v>387</v>
      </c>
      <c r="J102">
        <v>2</v>
      </c>
      <c r="K102">
        <v>10980</v>
      </c>
      <c r="L102">
        <v>3500</v>
      </c>
      <c r="M102">
        <v>0</v>
      </c>
      <c r="N102" s="59">
        <v>45452</v>
      </c>
      <c r="O102" t="s">
        <v>1611</v>
      </c>
      <c r="P102" t="s">
        <v>1613</v>
      </c>
      <c r="Q102" t="s">
        <v>1614</v>
      </c>
      <c r="R102" t="s">
        <v>563</v>
      </c>
      <c r="S102" s="59"/>
      <c r="T102" t="s">
        <v>1614</v>
      </c>
      <c r="U102" t="s">
        <v>1615</v>
      </c>
      <c r="V102" t="s">
        <v>571</v>
      </c>
      <c r="W102">
        <v>12560</v>
      </c>
      <c r="X102">
        <v>680</v>
      </c>
      <c r="Y102">
        <v>0</v>
      </c>
      <c r="Z102">
        <v>0</v>
      </c>
      <c r="AE10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한동현 하노이맥주밤거리 SE.122 청색 540216957451 0502-4368-8242 13100052165268</v>
      </c>
    </row>
    <row r="103" spans="1:31">
      <c r="A103">
        <v>102</v>
      </c>
      <c r="B103" t="s">
        <v>562</v>
      </c>
      <c r="C103" t="s">
        <v>568</v>
      </c>
      <c r="D103" t="s">
        <v>1617</v>
      </c>
      <c r="E103" s="59">
        <v>45453</v>
      </c>
      <c r="F103" t="s">
        <v>1617</v>
      </c>
      <c r="G103" t="s">
        <v>1618</v>
      </c>
      <c r="H103" t="s">
        <v>34</v>
      </c>
      <c r="I103" t="s">
        <v>353</v>
      </c>
      <c r="J103">
        <v>1</v>
      </c>
      <c r="K103">
        <v>23300</v>
      </c>
      <c r="L103">
        <v>3500</v>
      </c>
      <c r="M103">
        <v>0</v>
      </c>
      <c r="N103" s="59">
        <v>45452</v>
      </c>
      <c r="O103" t="s">
        <v>1619</v>
      </c>
      <c r="P103" t="s">
        <v>1620</v>
      </c>
      <c r="Q103" t="s">
        <v>1621</v>
      </c>
      <c r="R103" t="s">
        <v>563</v>
      </c>
      <c r="S103" s="59"/>
      <c r="T103" t="s">
        <v>1621</v>
      </c>
      <c r="U103" t="s">
        <v>1622</v>
      </c>
      <c r="V103" t="s">
        <v>571</v>
      </c>
      <c r="W103">
        <v>34020</v>
      </c>
      <c r="X103">
        <v>0</v>
      </c>
      <c r="Y103">
        <v>3000</v>
      </c>
      <c r="Z103">
        <v>0</v>
      </c>
      <c r="AE10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김은희 김은희 SE.206 투명 530217935815 0502-4284-9467 23100052114583</v>
      </c>
    </row>
    <row r="104" spans="1:31">
      <c r="A104">
        <v>103</v>
      </c>
      <c r="B104" t="s">
        <v>562</v>
      </c>
      <c r="C104" t="s">
        <v>568</v>
      </c>
      <c r="D104" t="s">
        <v>1624</v>
      </c>
      <c r="E104" s="59">
        <v>45453</v>
      </c>
      <c r="F104" t="s">
        <v>1624</v>
      </c>
      <c r="G104" t="s">
        <v>1625</v>
      </c>
      <c r="H104" t="s">
        <v>133</v>
      </c>
      <c r="I104" t="s">
        <v>353</v>
      </c>
      <c r="J104">
        <v>40</v>
      </c>
      <c r="K104">
        <v>25500</v>
      </c>
      <c r="L104">
        <v>3500</v>
      </c>
      <c r="M104">
        <v>0</v>
      </c>
      <c r="N104" s="59">
        <v>45453</v>
      </c>
      <c r="O104" t="s">
        <v>1626</v>
      </c>
      <c r="P104" t="s">
        <v>707</v>
      </c>
      <c r="Q104" t="s">
        <v>1627</v>
      </c>
      <c r="R104" t="s">
        <v>563</v>
      </c>
      <c r="S104" s="59"/>
      <c r="T104" t="s">
        <v>1627</v>
      </c>
      <c r="U104" t="s">
        <v>1628</v>
      </c>
      <c r="V104" t="s">
        <v>1629</v>
      </c>
      <c r="W104">
        <v>37600</v>
      </c>
      <c r="X104">
        <v>0</v>
      </c>
      <c r="Y104">
        <v>0</v>
      </c>
      <c r="Z104">
        <v>0</v>
      </c>
      <c r="AE10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최희지 최희지 SE.101 투명 530217935760 0502-4218-4060 13100052294586</v>
      </c>
    </row>
    <row r="105" spans="1:31">
      <c r="A105">
        <v>104</v>
      </c>
      <c r="B105" t="s">
        <v>673</v>
      </c>
      <c r="C105" t="s">
        <v>568</v>
      </c>
      <c r="D105" t="s">
        <v>1634</v>
      </c>
      <c r="E105" s="59">
        <v>45453</v>
      </c>
      <c r="F105" t="s">
        <v>1631</v>
      </c>
      <c r="G105" t="s">
        <v>1632</v>
      </c>
      <c r="H105" t="s">
        <v>26</v>
      </c>
      <c r="I105" t="s">
        <v>353</v>
      </c>
      <c r="J105">
        <v>10</v>
      </c>
      <c r="K105">
        <v>0</v>
      </c>
      <c r="L105">
        <v>5500</v>
      </c>
      <c r="M105">
        <v>0</v>
      </c>
      <c r="N105" s="59">
        <v>45453</v>
      </c>
      <c r="O105" t="s">
        <v>1633</v>
      </c>
      <c r="P105" t="s">
        <v>1635</v>
      </c>
      <c r="Q105" t="s">
        <v>1636</v>
      </c>
      <c r="R105" t="s">
        <v>563</v>
      </c>
      <c r="S105" s="59"/>
      <c r="T105" t="s">
        <v>1636</v>
      </c>
      <c r="U105" t="s">
        <v>1637</v>
      </c>
      <c r="V105" t="s">
        <v>571</v>
      </c>
      <c r="W105">
        <v>230200</v>
      </c>
      <c r="X105">
        <v>0</v>
      </c>
      <c r="Y105">
        <v>0</v>
      </c>
      <c r="Z105">
        <v>0</v>
      </c>
      <c r="AE10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530217935804 0502-4691-3281 24061001</v>
      </c>
    </row>
    <row r="106" spans="1:31">
      <c r="A106">
        <v>105</v>
      </c>
      <c r="B106" t="s">
        <v>673</v>
      </c>
      <c r="C106" t="s">
        <v>568</v>
      </c>
      <c r="D106" t="s">
        <v>1642</v>
      </c>
      <c r="E106" s="59">
        <v>45453</v>
      </c>
      <c r="F106" t="s">
        <v>1638</v>
      </c>
      <c r="G106" t="s">
        <v>1640</v>
      </c>
      <c r="H106" t="s">
        <v>22</v>
      </c>
      <c r="I106" t="s">
        <v>353</v>
      </c>
      <c r="J106">
        <v>1</v>
      </c>
      <c r="K106">
        <v>0</v>
      </c>
      <c r="L106">
        <v>3000</v>
      </c>
      <c r="M106">
        <v>0</v>
      </c>
      <c r="N106" s="59">
        <v>45451</v>
      </c>
      <c r="O106" t="s">
        <v>1641</v>
      </c>
      <c r="P106" t="s">
        <v>1643</v>
      </c>
      <c r="Q106" t="s">
        <v>1644</v>
      </c>
      <c r="R106" t="s">
        <v>563</v>
      </c>
      <c r="S106" s="59"/>
      <c r="T106" t="s">
        <v>1644</v>
      </c>
      <c r="U106" t="s">
        <v>1645</v>
      </c>
      <c r="V106" t="s">
        <v>571</v>
      </c>
      <c r="W106">
        <v>19320</v>
      </c>
      <c r="X106">
        <v>0</v>
      </c>
      <c r="Y106">
        <v>3000</v>
      </c>
      <c r="Z106">
        <v>0</v>
      </c>
      <c r="AE10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이유미 권세희 SE.305 투명 540216957661 0502-4626-7359 29100051972880</v>
      </c>
    </row>
    <row r="107" spans="1:31">
      <c r="A107">
        <v>106</v>
      </c>
      <c r="B107" t="s">
        <v>673</v>
      </c>
      <c r="C107" t="s">
        <v>568</v>
      </c>
      <c r="D107" t="s">
        <v>1634</v>
      </c>
      <c r="E107" s="59">
        <v>45453</v>
      </c>
      <c r="F107" t="s">
        <v>1631</v>
      </c>
      <c r="G107" t="s">
        <v>1647</v>
      </c>
      <c r="H107" t="s">
        <v>26</v>
      </c>
      <c r="I107" t="s">
        <v>353</v>
      </c>
      <c r="J107">
        <v>10</v>
      </c>
      <c r="K107">
        <v>0</v>
      </c>
      <c r="L107">
        <v>0</v>
      </c>
      <c r="M107">
        <v>0</v>
      </c>
      <c r="N107" s="59">
        <v>45452</v>
      </c>
      <c r="O107" t="s">
        <v>1648</v>
      </c>
      <c r="P107" t="s">
        <v>1635</v>
      </c>
      <c r="Q107" t="s">
        <v>1636</v>
      </c>
      <c r="R107" t="s">
        <v>563</v>
      </c>
      <c r="S107" s="59"/>
      <c r="T107" t="s">
        <v>1636</v>
      </c>
      <c r="U107" t="s">
        <v>1637</v>
      </c>
      <c r="V107" t="s">
        <v>571</v>
      </c>
      <c r="W107">
        <v>230200</v>
      </c>
      <c r="X107">
        <v>0</v>
      </c>
      <c r="Y107">
        <v>0</v>
      </c>
      <c r="Z107">
        <v>0</v>
      </c>
      <c r="AE10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모응순 김종욱 SE.303 투명 530217935734 0502-4691-3281 6100052038770</v>
      </c>
    </row>
    <row r="108" spans="1:31">
      <c r="A108">
        <v>107</v>
      </c>
      <c r="B108" t="s">
        <v>562</v>
      </c>
      <c r="C108" t="s">
        <v>561</v>
      </c>
      <c r="D108" t="s">
        <v>1650</v>
      </c>
      <c r="E108" s="59">
        <v>45453</v>
      </c>
      <c r="F108" t="s">
        <v>1650</v>
      </c>
      <c r="G108" t="s">
        <v>1651</v>
      </c>
      <c r="H108" t="s">
        <v>24</v>
      </c>
      <c r="I108" t="s">
        <v>353</v>
      </c>
      <c r="J108">
        <v>2</v>
      </c>
      <c r="K108">
        <v>22200</v>
      </c>
      <c r="L108">
        <v>3500</v>
      </c>
      <c r="M108">
        <v>0</v>
      </c>
      <c r="N108" s="59">
        <v>45452</v>
      </c>
      <c r="O108" t="s">
        <v>1653</v>
      </c>
      <c r="P108" t="s">
        <v>1654</v>
      </c>
      <c r="Q108" t="s">
        <v>1655</v>
      </c>
      <c r="R108" t="s">
        <v>563</v>
      </c>
      <c r="S108" s="59"/>
      <c r="T108" t="s">
        <v>1655</v>
      </c>
      <c r="U108" t="s">
        <v>1656</v>
      </c>
      <c r="W108">
        <v>27540</v>
      </c>
      <c r="X108">
        <v>3060</v>
      </c>
      <c r="Y108">
        <v>0</v>
      </c>
      <c r="Z108">
        <v>0</v>
      </c>
      <c r="AE10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SE.304 투명 540216957716 010-8636-4037 2024060990524471</v>
      </c>
    </row>
    <row r="109" spans="1:31">
      <c r="A109">
        <v>108</v>
      </c>
      <c r="B109" t="s">
        <v>562</v>
      </c>
      <c r="C109" t="s">
        <v>561</v>
      </c>
      <c r="D109" t="s">
        <v>1650</v>
      </c>
      <c r="E109" s="59">
        <v>45453</v>
      </c>
      <c r="F109" t="s">
        <v>1650</v>
      </c>
      <c r="G109" t="s">
        <v>1651</v>
      </c>
      <c r="H109" t="s">
        <v>18</v>
      </c>
      <c r="I109" t="s">
        <v>353</v>
      </c>
      <c r="J109">
        <v>1</v>
      </c>
      <c r="K109">
        <v>7260</v>
      </c>
      <c r="L109">
        <v>0</v>
      </c>
      <c r="M109">
        <v>0</v>
      </c>
      <c r="N109" s="59">
        <v>45452</v>
      </c>
      <c r="O109" t="s">
        <v>1658</v>
      </c>
      <c r="P109" t="s">
        <v>1654</v>
      </c>
      <c r="Q109" t="s">
        <v>1655</v>
      </c>
      <c r="R109" t="s">
        <v>563</v>
      </c>
      <c r="S109" s="59"/>
      <c r="T109" t="s">
        <v>1655</v>
      </c>
      <c r="U109" t="s">
        <v>1656</v>
      </c>
      <c r="W109">
        <v>10690</v>
      </c>
      <c r="X109">
        <v>1190</v>
      </c>
      <c r="Y109">
        <v>0</v>
      </c>
      <c r="Z109">
        <v>0</v>
      </c>
      <c r="AE10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유금숙 유금숙 SE.307 투명 540216957716 010-8636-4037 2024060990524461</v>
      </c>
    </row>
    <row r="110" spans="1:31">
      <c r="A110">
        <v>109</v>
      </c>
      <c r="B110" t="s">
        <v>562</v>
      </c>
      <c r="C110" t="s">
        <v>561</v>
      </c>
      <c r="D110" t="s">
        <v>1659</v>
      </c>
      <c r="E110" s="59">
        <v>45453</v>
      </c>
      <c r="F110" t="s">
        <v>1659</v>
      </c>
      <c r="G110" t="s">
        <v>1660</v>
      </c>
      <c r="H110" t="s">
        <v>34</v>
      </c>
      <c r="I110" t="s">
        <v>353</v>
      </c>
      <c r="J110">
        <v>1</v>
      </c>
      <c r="K110">
        <v>23300</v>
      </c>
      <c r="L110">
        <v>3500</v>
      </c>
      <c r="M110">
        <v>0</v>
      </c>
      <c r="N110" s="59">
        <v>45452</v>
      </c>
      <c r="O110" t="s">
        <v>1662</v>
      </c>
      <c r="P110" t="s">
        <v>1663</v>
      </c>
      <c r="Q110" t="s">
        <v>1664</v>
      </c>
      <c r="R110" t="s">
        <v>563</v>
      </c>
      <c r="S110" s="59"/>
      <c r="T110" t="s">
        <v>1664</v>
      </c>
      <c r="U110" t="s">
        <v>1665</v>
      </c>
      <c r="V110" t="s">
        <v>1261</v>
      </c>
      <c r="W110">
        <v>28620</v>
      </c>
      <c r="X110">
        <v>3180</v>
      </c>
      <c r="Y110">
        <v>3000</v>
      </c>
      <c r="Z110">
        <v>0</v>
      </c>
      <c r="AE11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윤혜영 윤혜영 SE.206 투명 540216957801 010-4599-0208 2024060970463081</v>
      </c>
    </row>
    <row r="111" spans="1:31">
      <c r="A111">
        <v>110</v>
      </c>
      <c r="B111" t="s">
        <v>562</v>
      </c>
      <c r="C111" t="s">
        <v>561</v>
      </c>
      <c r="D111" t="s">
        <v>1667</v>
      </c>
      <c r="E111" s="59">
        <v>45453</v>
      </c>
      <c r="F111" t="s">
        <v>1667</v>
      </c>
      <c r="G111" t="s">
        <v>1668</v>
      </c>
      <c r="H111" t="s">
        <v>20</v>
      </c>
      <c r="I111" t="s">
        <v>353</v>
      </c>
      <c r="J111">
        <v>4</v>
      </c>
      <c r="K111">
        <v>43120</v>
      </c>
      <c r="L111">
        <v>4400</v>
      </c>
      <c r="M111">
        <v>0</v>
      </c>
      <c r="N111" s="59">
        <v>45452</v>
      </c>
      <c r="O111" t="s">
        <v>1670</v>
      </c>
      <c r="P111" t="s">
        <v>1671</v>
      </c>
      <c r="Q111" t="s">
        <v>1672</v>
      </c>
      <c r="R111" t="s">
        <v>563</v>
      </c>
      <c r="S111" s="59"/>
      <c r="T111" t="s">
        <v>1672</v>
      </c>
      <c r="U111" t="s">
        <v>1673</v>
      </c>
      <c r="W111">
        <v>57000</v>
      </c>
      <c r="X111">
        <v>6360</v>
      </c>
      <c r="Y111">
        <v>0</v>
      </c>
      <c r="Z111">
        <v>0</v>
      </c>
      <c r="AE11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김영균 김영균 SE.306 투명 540216957510 010-3481-7254 2024060970394221</v>
      </c>
    </row>
    <row r="112" spans="1:31">
      <c r="A112">
        <v>111</v>
      </c>
      <c r="B112" t="s">
        <v>562</v>
      </c>
      <c r="C112" t="s">
        <v>561</v>
      </c>
      <c r="D112" t="s">
        <v>1679</v>
      </c>
      <c r="E112" s="59">
        <v>45453</v>
      </c>
      <c r="F112" t="s">
        <v>1675</v>
      </c>
      <c r="G112" t="s">
        <v>1676</v>
      </c>
      <c r="H112" t="s">
        <v>34</v>
      </c>
      <c r="I112" t="s">
        <v>353</v>
      </c>
      <c r="J112">
        <v>1</v>
      </c>
      <c r="K112">
        <v>23300</v>
      </c>
      <c r="L112">
        <v>3500</v>
      </c>
      <c r="M112">
        <v>0</v>
      </c>
      <c r="N112" s="59">
        <v>45451</v>
      </c>
      <c r="O112" t="s">
        <v>1678</v>
      </c>
      <c r="P112" t="s">
        <v>1680</v>
      </c>
      <c r="Q112" t="s">
        <v>1681</v>
      </c>
      <c r="R112" t="s">
        <v>563</v>
      </c>
      <c r="S112" s="59"/>
      <c r="T112" t="s">
        <v>1681</v>
      </c>
      <c r="U112" t="s">
        <v>1682</v>
      </c>
      <c r="W112">
        <v>28620</v>
      </c>
      <c r="X112">
        <v>3180</v>
      </c>
      <c r="Y112">
        <v>3000</v>
      </c>
      <c r="Z112">
        <v>0</v>
      </c>
      <c r="AE11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박일섭 소풍가다 SE.206 투명 530217935701 010-4812-3989 2024060843149951</v>
      </c>
    </row>
    <row r="113" spans="1:31">
      <c r="A113">
        <v>112</v>
      </c>
      <c r="B113" t="s">
        <v>673</v>
      </c>
      <c r="C113" t="s">
        <v>561</v>
      </c>
      <c r="D113" t="s">
        <v>1684</v>
      </c>
      <c r="E113" s="59">
        <v>45453</v>
      </c>
      <c r="F113" t="s">
        <v>1684</v>
      </c>
      <c r="G113" t="s">
        <v>1686</v>
      </c>
      <c r="H113" t="s">
        <v>18</v>
      </c>
      <c r="I113" t="s">
        <v>353</v>
      </c>
      <c r="J113">
        <v>1</v>
      </c>
      <c r="K113">
        <v>0</v>
      </c>
      <c r="L113">
        <v>3000</v>
      </c>
      <c r="M113">
        <v>0</v>
      </c>
      <c r="N113" s="59">
        <v>45452</v>
      </c>
      <c r="O113" t="s">
        <v>1688</v>
      </c>
      <c r="P113" t="s">
        <v>1689</v>
      </c>
      <c r="Q113" t="s">
        <v>1690</v>
      </c>
      <c r="R113" t="s">
        <v>563</v>
      </c>
      <c r="S113" s="59"/>
      <c r="T113" t="s">
        <v>1690</v>
      </c>
      <c r="U113" t="s">
        <v>1691</v>
      </c>
      <c r="W113">
        <v>10560</v>
      </c>
      <c r="X113">
        <v>0</v>
      </c>
      <c r="Y113">
        <v>3000</v>
      </c>
      <c r="Z113">
        <v>0</v>
      </c>
      <c r="AE11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심정훈 심정훈 SE.307 투명 540216957580 010-9011-7913 2024060974196421</v>
      </c>
    </row>
    <row r="114" spans="1:31">
      <c r="A114">
        <v>113</v>
      </c>
      <c r="B114" t="s">
        <v>673</v>
      </c>
      <c r="C114" t="s">
        <v>561</v>
      </c>
      <c r="D114" t="s">
        <v>1693</v>
      </c>
      <c r="E114" s="59">
        <v>45453</v>
      </c>
      <c r="F114" t="s">
        <v>1693</v>
      </c>
      <c r="G114" t="s">
        <v>1695</v>
      </c>
      <c r="H114" t="s">
        <v>20</v>
      </c>
      <c r="I114" t="s">
        <v>353</v>
      </c>
      <c r="J114">
        <v>1</v>
      </c>
      <c r="K114">
        <v>0</v>
      </c>
      <c r="L114">
        <v>3000</v>
      </c>
      <c r="M114">
        <v>0</v>
      </c>
      <c r="N114" s="59">
        <v>45450</v>
      </c>
      <c r="O114" t="s">
        <v>1697</v>
      </c>
      <c r="P114" t="s">
        <v>1698</v>
      </c>
      <c r="Q114" t="s">
        <v>1699</v>
      </c>
      <c r="R114" t="s">
        <v>563</v>
      </c>
      <c r="S114" s="59"/>
      <c r="T114" t="s">
        <v>1699</v>
      </c>
      <c r="U114" t="s">
        <v>1700</v>
      </c>
      <c r="W114">
        <v>14080</v>
      </c>
      <c r="X114">
        <v>0</v>
      </c>
      <c r="Y114">
        <v>3000</v>
      </c>
      <c r="Z114">
        <v>0</v>
      </c>
      <c r="AE11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이호준 이호준 SE.306 투명 540216957753 010-2665-5633 2024060728991501</v>
      </c>
    </row>
    <row r="115" spans="1:31">
      <c r="A115">
        <v>114</v>
      </c>
      <c r="B115" t="s">
        <v>673</v>
      </c>
      <c r="C115" t="s">
        <v>532</v>
      </c>
      <c r="E115" s="59">
        <v>45454</v>
      </c>
      <c r="F115" t="s">
        <v>1702</v>
      </c>
      <c r="G115" t="s">
        <v>1703</v>
      </c>
      <c r="H115" t="s">
        <v>531</v>
      </c>
      <c r="I115" t="s">
        <v>353</v>
      </c>
      <c r="J115">
        <v>1</v>
      </c>
      <c r="K115">
        <v>0</v>
      </c>
      <c r="L115">
        <v>3500</v>
      </c>
      <c r="M115">
        <v>0</v>
      </c>
      <c r="N115" s="59">
        <v>45454</v>
      </c>
      <c r="O115" t="s">
        <v>2093</v>
      </c>
      <c r="R115" t="s">
        <v>563</v>
      </c>
      <c r="S115" s="59"/>
      <c r="T115" t="s">
        <v>1705</v>
      </c>
      <c r="U115" t="s">
        <v>1706</v>
      </c>
      <c r="W115">
        <v>0</v>
      </c>
      <c r="X115">
        <v>0</v>
      </c>
      <c r="Y115">
        <v>0</v>
      </c>
      <c r="Z115">
        <v>0</v>
      </c>
      <c r="AE11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540218460281 010-3539-1432 45470670</v>
      </c>
    </row>
    <row r="116" spans="1:31">
      <c r="A116">
        <v>115</v>
      </c>
      <c r="B116" t="s">
        <v>673</v>
      </c>
      <c r="C116" t="s">
        <v>532</v>
      </c>
      <c r="E116" s="59">
        <v>45454</v>
      </c>
      <c r="F116" t="s">
        <v>1707</v>
      </c>
      <c r="G116" t="s">
        <v>1708</v>
      </c>
      <c r="H116" t="s">
        <v>531</v>
      </c>
      <c r="I116" t="s">
        <v>353</v>
      </c>
      <c r="J116">
        <v>1</v>
      </c>
      <c r="K116">
        <v>0</v>
      </c>
      <c r="L116">
        <v>0</v>
      </c>
      <c r="M116">
        <v>0</v>
      </c>
      <c r="N116" s="59">
        <v>45454</v>
      </c>
      <c r="O116" t="s">
        <v>2094</v>
      </c>
      <c r="R116" t="s">
        <v>563</v>
      </c>
      <c r="S116" s="59"/>
      <c r="T116" t="s">
        <v>1710</v>
      </c>
      <c r="U116" t="s">
        <v>1711</v>
      </c>
      <c r="W116">
        <v>0</v>
      </c>
      <c r="X116">
        <v>0</v>
      </c>
      <c r="Y116">
        <v>0</v>
      </c>
      <c r="Z116">
        <v>0</v>
      </c>
      <c r="AE11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540218448646 010-7511-6954 45470736</v>
      </c>
    </row>
    <row r="117" spans="1:31">
      <c r="A117">
        <v>116</v>
      </c>
      <c r="B117" t="s">
        <v>673</v>
      </c>
      <c r="C117" t="s">
        <v>532</v>
      </c>
      <c r="E117" s="59">
        <v>45454</v>
      </c>
      <c r="F117" t="s">
        <v>1712</v>
      </c>
      <c r="G117" t="s">
        <v>1713</v>
      </c>
      <c r="H117" t="s">
        <v>531</v>
      </c>
      <c r="I117" t="s">
        <v>353</v>
      </c>
      <c r="J117">
        <v>1</v>
      </c>
      <c r="K117">
        <v>0</v>
      </c>
      <c r="L117">
        <v>0</v>
      </c>
      <c r="M117">
        <v>0</v>
      </c>
      <c r="N117" s="59">
        <v>45454</v>
      </c>
      <c r="O117" t="s">
        <v>2095</v>
      </c>
      <c r="R117" t="s">
        <v>563</v>
      </c>
      <c r="S117" s="59"/>
      <c r="T117" t="s">
        <v>1715</v>
      </c>
      <c r="U117" t="s">
        <v>1716</v>
      </c>
      <c r="W117">
        <v>0</v>
      </c>
      <c r="X117">
        <v>0</v>
      </c>
      <c r="Y117">
        <v>0</v>
      </c>
      <c r="Z117">
        <v>0</v>
      </c>
      <c r="AE11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알프스채소 SE.1000 투명 540218442066 010-9321-7001 45470376</v>
      </c>
    </row>
    <row r="118" spans="1:31">
      <c r="A118">
        <v>117</v>
      </c>
      <c r="B118" t="s">
        <v>673</v>
      </c>
      <c r="C118" t="s">
        <v>532</v>
      </c>
      <c r="E118" s="59">
        <v>45454</v>
      </c>
      <c r="F118" t="s">
        <v>1707</v>
      </c>
      <c r="G118" t="s">
        <v>1717</v>
      </c>
      <c r="H118" t="s">
        <v>531</v>
      </c>
      <c r="I118" t="s">
        <v>353</v>
      </c>
      <c r="J118">
        <v>1</v>
      </c>
      <c r="K118">
        <v>0</v>
      </c>
      <c r="L118">
        <v>0</v>
      </c>
      <c r="M118">
        <v>0</v>
      </c>
      <c r="N118" s="59">
        <v>45454</v>
      </c>
      <c r="O118" t="s">
        <v>2096</v>
      </c>
      <c r="R118" t="s">
        <v>563</v>
      </c>
      <c r="S118" s="59"/>
      <c r="T118" t="s">
        <v>1710</v>
      </c>
      <c r="U118" t="s">
        <v>1711</v>
      </c>
      <c r="W118">
        <v>0</v>
      </c>
      <c r="X118">
        <v>0</v>
      </c>
      <c r="Y118">
        <v>0</v>
      </c>
      <c r="Z118">
        <v>0</v>
      </c>
      <c r="AE11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진흥자재백화점 SE.1000 투명 540218442103 010-7511-6954 45470581</v>
      </c>
    </row>
    <row r="119" spans="1:31">
      <c r="A119">
        <v>118</v>
      </c>
      <c r="B119" t="s">
        <v>673</v>
      </c>
      <c r="C119" t="s">
        <v>532</v>
      </c>
      <c r="E119" s="59">
        <v>45454</v>
      </c>
      <c r="F119" t="s">
        <v>1702</v>
      </c>
      <c r="G119" t="s">
        <v>1720</v>
      </c>
      <c r="H119" t="s">
        <v>531</v>
      </c>
      <c r="I119" t="s">
        <v>353</v>
      </c>
      <c r="J119">
        <v>1</v>
      </c>
      <c r="K119">
        <v>0</v>
      </c>
      <c r="L119">
        <v>0</v>
      </c>
      <c r="M119">
        <v>0</v>
      </c>
      <c r="N119" s="59">
        <v>45454</v>
      </c>
      <c r="O119" t="s">
        <v>2089</v>
      </c>
      <c r="R119" t="s">
        <v>563</v>
      </c>
      <c r="S119" s="59"/>
      <c r="T119" t="s">
        <v>1705</v>
      </c>
      <c r="U119" t="s">
        <v>1706</v>
      </c>
      <c r="W119">
        <v>0</v>
      </c>
      <c r="X119">
        <v>0</v>
      </c>
      <c r="Y119">
        <v>0</v>
      </c>
      <c r="Z119">
        <v>0</v>
      </c>
      <c r="AD119">
        <v>1</v>
      </c>
      <c r="AE11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경북고추방앗간 SE.1000 투명 540218442173 010-3539-1432 45470272</v>
      </c>
    </row>
    <row r="120" spans="1:31">
      <c r="A120">
        <v>119</v>
      </c>
      <c r="B120" t="s">
        <v>673</v>
      </c>
      <c r="C120" t="s">
        <v>532</v>
      </c>
      <c r="E120" s="59">
        <v>45454</v>
      </c>
      <c r="F120" t="s">
        <v>1722</v>
      </c>
      <c r="G120" t="s">
        <v>1723</v>
      </c>
      <c r="H120" t="s">
        <v>531</v>
      </c>
      <c r="I120" t="s">
        <v>353</v>
      </c>
      <c r="J120">
        <v>1</v>
      </c>
      <c r="K120">
        <v>0</v>
      </c>
      <c r="L120">
        <v>0</v>
      </c>
      <c r="M120">
        <v>0</v>
      </c>
      <c r="N120" s="59">
        <v>45454</v>
      </c>
      <c r="O120" t="s">
        <v>2097</v>
      </c>
      <c r="R120" t="s">
        <v>563</v>
      </c>
      <c r="S120" s="59"/>
      <c r="T120" t="s">
        <v>1725</v>
      </c>
      <c r="U120" t="s">
        <v>1726</v>
      </c>
      <c r="W120">
        <v>0</v>
      </c>
      <c r="X120">
        <v>0</v>
      </c>
      <c r="Y120">
        <v>0</v>
      </c>
      <c r="Z120">
        <v>0</v>
      </c>
      <c r="AE12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530219497014 010-4194-9303 45470139</v>
      </c>
    </row>
    <row r="121" spans="1:31">
      <c r="A121">
        <v>120</v>
      </c>
      <c r="B121" t="s">
        <v>673</v>
      </c>
      <c r="C121" t="s">
        <v>532</v>
      </c>
      <c r="E121" s="59">
        <v>45454</v>
      </c>
      <c r="F121" t="s">
        <v>1722</v>
      </c>
      <c r="G121" t="s">
        <v>1727</v>
      </c>
      <c r="H121" t="s">
        <v>531</v>
      </c>
      <c r="I121" t="s">
        <v>353</v>
      </c>
      <c r="J121">
        <v>1</v>
      </c>
      <c r="K121">
        <v>0</v>
      </c>
      <c r="L121">
        <v>0</v>
      </c>
      <c r="M121">
        <v>0</v>
      </c>
      <c r="N121" s="59">
        <v>45454</v>
      </c>
      <c r="O121" t="s">
        <v>2098</v>
      </c>
      <c r="R121" t="s">
        <v>563</v>
      </c>
      <c r="S121" s="59"/>
      <c r="T121" t="s">
        <v>1725</v>
      </c>
      <c r="U121" t="s">
        <v>1726</v>
      </c>
      <c r="W121">
        <v>0</v>
      </c>
      <c r="X121">
        <v>0</v>
      </c>
      <c r="Y121">
        <v>0</v>
      </c>
      <c r="Z121">
        <v>0</v>
      </c>
      <c r="AE12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540218431920 010-4194-9303 45470873</v>
      </c>
    </row>
    <row r="122" spans="1:31">
      <c r="A122">
        <v>121</v>
      </c>
      <c r="B122" t="s">
        <v>673</v>
      </c>
      <c r="C122" t="s">
        <v>532</v>
      </c>
      <c r="E122" s="59">
        <v>45454</v>
      </c>
      <c r="F122" t="s">
        <v>1722</v>
      </c>
      <c r="G122" t="s">
        <v>1729</v>
      </c>
      <c r="H122" t="s">
        <v>531</v>
      </c>
      <c r="I122" t="s">
        <v>353</v>
      </c>
      <c r="J122">
        <v>1</v>
      </c>
      <c r="K122">
        <v>0</v>
      </c>
      <c r="L122">
        <v>0</v>
      </c>
      <c r="M122">
        <v>0</v>
      </c>
      <c r="N122" s="59">
        <v>45454</v>
      </c>
      <c r="O122" t="s">
        <v>2099</v>
      </c>
      <c r="R122" t="s">
        <v>563</v>
      </c>
      <c r="S122" s="59"/>
      <c r="T122" t="s">
        <v>1725</v>
      </c>
      <c r="U122" t="s">
        <v>1726</v>
      </c>
      <c r="W122">
        <v>0</v>
      </c>
      <c r="X122">
        <v>0</v>
      </c>
      <c r="Y122">
        <v>0</v>
      </c>
      <c r="Z122">
        <v>0</v>
      </c>
      <c r="AE12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제일농수산(만대로) SE.1000 투명 540218431964 010-4194-9303 45470966</v>
      </c>
    </row>
    <row r="123" spans="1:31">
      <c r="A123">
        <v>122</v>
      </c>
      <c r="B123" t="s">
        <v>562</v>
      </c>
      <c r="C123" t="s">
        <v>561</v>
      </c>
      <c r="D123" t="s">
        <v>1731</v>
      </c>
      <c r="E123" s="59">
        <v>45454</v>
      </c>
      <c r="F123" t="s">
        <v>1731</v>
      </c>
      <c r="G123" t="s">
        <v>1733</v>
      </c>
      <c r="H123" t="s">
        <v>52</v>
      </c>
      <c r="I123" t="s">
        <v>353</v>
      </c>
      <c r="J123">
        <v>100</v>
      </c>
      <c r="K123">
        <v>92400</v>
      </c>
      <c r="L123">
        <v>4400</v>
      </c>
      <c r="M123">
        <v>0</v>
      </c>
      <c r="N123" s="59">
        <v>45454</v>
      </c>
      <c r="O123" t="s">
        <v>1735</v>
      </c>
      <c r="P123" t="s">
        <v>1736</v>
      </c>
      <c r="Q123" t="s">
        <v>1737</v>
      </c>
      <c r="R123" t="s">
        <v>563</v>
      </c>
      <c r="S123" s="59"/>
      <c r="T123" t="s">
        <v>1738</v>
      </c>
      <c r="U123" t="s">
        <v>1739</v>
      </c>
      <c r="W123">
        <v>131000</v>
      </c>
      <c r="X123">
        <v>35000</v>
      </c>
      <c r="Y123">
        <v>0</v>
      </c>
      <c r="Z123">
        <v>0</v>
      </c>
      <c r="AE12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장철호 장철호 SE.137 투명 530219199805 010-5580-5662 2024061159500781</v>
      </c>
    </row>
    <row r="124" spans="1:31">
      <c r="A124">
        <v>123</v>
      </c>
      <c r="B124" t="s">
        <v>562</v>
      </c>
      <c r="C124" t="s">
        <v>561</v>
      </c>
      <c r="D124" t="s">
        <v>1745</v>
      </c>
      <c r="E124" s="59">
        <v>45454</v>
      </c>
      <c r="F124" t="s">
        <v>1741</v>
      </c>
      <c r="G124" t="s">
        <v>1742</v>
      </c>
      <c r="H124" t="s">
        <v>34</v>
      </c>
      <c r="I124" t="s">
        <v>353</v>
      </c>
      <c r="J124">
        <v>1</v>
      </c>
      <c r="K124">
        <v>23300</v>
      </c>
      <c r="L124">
        <v>3500</v>
      </c>
      <c r="M124">
        <v>0</v>
      </c>
      <c r="N124" s="59">
        <v>45454</v>
      </c>
      <c r="O124" t="s">
        <v>1744</v>
      </c>
      <c r="P124" t="s">
        <v>1746</v>
      </c>
      <c r="Q124" t="s">
        <v>1747</v>
      </c>
      <c r="R124" t="s">
        <v>563</v>
      </c>
      <c r="S124" s="59"/>
      <c r="T124" t="s">
        <v>1747</v>
      </c>
      <c r="U124" t="s">
        <v>1748</v>
      </c>
      <c r="W124">
        <v>28620</v>
      </c>
      <c r="X124">
        <v>3180</v>
      </c>
      <c r="Y124">
        <v>3000</v>
      </c>
      <c r="Z124">
        <v>0</v>
      </c>
      <c r="AE12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이승미 이승미(누피케이크) SE.206 투명 530219199794 010-8996-6731 2024061152406471</v>
      </c>
    </row>
    <row r="125" spans="1:31">
      <c r="A125">
        <v>124</v>
      </c>
      <c r="B125" t="s">
        <v>562</v>
      </c>
      <c r="C125" t="s">
        <v>561</v>
      </c>
      <c r="D125" t="s">
        <v>1754</v>
      </c>
      <c r="E125" s="59">
        <v>45454</v>
      </c>
      <c r="F125" t="s">
        <v>1750</v>
      </c>
      <c r="G125" t="s">
        <v>1751</v>
      </c>
      <c r="H125" t="s">
        <v>26</v>
      </c>
      <c r="I125" t="s">
        <v>353</v>
      </c>
      <c r="J125">
        <v>1</v>
      </c>
      <c r="K125">
        <v>18570</v>
      </c>
      <c r="L125">
        <v>3500</v>
      </c>
      <c r="M125">
        <v>0</v>
      </c>
      <c r="N125" s="59">
        <v>45454</v>
      </c>
      <c r="O125" t="s">
        <v>1753</v>
      </c>
      <c r="P125" t="s">
        <v>1755</v>
      </c>
      <c r="Q125" t="s">
        <v>1756</v>
      </c>
      <c r="R125" t="s">
        <v>563</v>
      </c>
      <c r="S125" s="59"/>
      <c r="T125" t="s">
        <v>1757</v>
      </c>
      <c r="U125" t="s">
        <v>1758</v>
      </c>
      <c r="W125">
        <v>22190</v>
      </c>
      <c r="X125">
        <v>2470</v>
      </c>
      <c r="Y125">
        <v>0</v>
      </c>
      <c r="Z125">
        <v>0</v>
      </c>
      <c r="AE12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SE.303 투명 530219199886 010-3168-6006 2024061149499101</v>
      </c>
    </row>
    <row r="126" spans="1:31">
      <c r="A126">
        <v>125</v>
      </c>
      <c r="B126" t="s">
        <v>562</v>
      </c>
      <c r="C126" t="s">
        <v>561</v>
      </c>
      <c r="D126" t="s">
        <v>1754</v>
      </c>
      <c r="E126" s="59">
        <v>45454</v>
      </c>
      <c r="F126" t="s">
        <v>1750</v>
      </c>
      <c r="G126" t="s">
        <v>1751</v>
      </c>
      <c r="H126" t="s">
        <v>84</v>
      </c>
      <c r="I126" t="s">
        <v>354</v>
      </c>
      <c r="J126">
        <v>1</v>
      </c>
      <c r="K126">
        <v>3410</v>
      </c>
      <c r="L126">
        <v>0</v>
      </c>
      <c r="M126">
        <v>0</v>
      </c>
      <c r="N126" s="59">
        <v>45454</v>
      </c>
      <c r="O126" t="s">
        <v>1761</v>
      </c>
      <c r="P126" t="s">
        <v>1755</v>
      </c>
      <c r="Q126" t="s">
        <v>1756</v>
      </c>
      <c r="R126" t="s">
        <v>563</v>
      </c>
      <c r="S126" s="59"/>
      <c r="T126" t="s">
        <v>1757</v>
      </c>
      <c r="U126" t="s">
        <v>1758</v>
      </c>
      <c r="W126">
        <v>5880</v>
      </c>
      <c r="X126">
        <v>0</v>
      </c>
      <c r="Y126">
        <v>0</v>
      </c>
      <c r="Z126">
        <v>0</v>
      </c>
      <c r="AE12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SE.121 검정 530219199886 010-3168-6006 2024061149499091</v>
      </c>
    </row>
    <row r="127" spans="1:31">
      <c r="A127">
        <v>126</v>
      </c>
      <c r="B127" t="s">
        <v>562</v>
      </c>
      <c r="C127" t="s">
        <v>561</v>
      </c>
      <c r="D127" t="s">
        <v>1754</v>
      </c>
      <c r="E127" s="59">
        <v>45454</v>
      </c>
      <c r="F127" t="s">
        <v>1750</v>
      </c>
      <c r="G127" t="s">
        <v>1751</v>
      </c>
      <c r="H127" t="s">
        <v>22</v>
      </c>
      <c r="I127" t="s">
        <v>353</v>
      </c>
      <c r="J127">
        <v>1</v>
      </c>
      <c r="K127">
        <v>12650</v>
      </c>
      <c r="L127">
        <v>0</v>
      </c>
      <c r="M127">
        <v>0</v>
      </c>
      <c r="N127" s="59">
        <v>45454</v>
      </c>
      <c r="O127" t="s">
        <v>1763</v>
      </c>
      <c r="P127" t="s">
        <v>1755</v>
      </c>
      <c r="Q127" t="s">
        <v>1756</v>
      </c>
      <c r="R127" t="s">
        <v>563</v>
      </c>
      <c r="S127" s="59"/>
      <c r="T127" t="s">
        <v>1757</v>
      </c>
      <c r="U127" t="s">
        <v>1758</v>
      </c>
      <c r="W127">
        <v>18630</v>
      </c>
      <c r="X127">
        <v>2070</v>
      </c>
      <c r="Y127">
        <v>0</v>
      </c>
      <c r="Z127">
        <v>0</v>
      </c>
      <c r="AE12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주경림 리미 SE.305 투명 530219199886 010-3168-6006 2024061149499081</v>
      </c>
    </row>
    <row r="128" spans="1:31">
      <c r="A128">
        <v>127</v>
      </c>
      <c r="B128" t="s">
        <v>562</v>
      </c>
      <c r="C128" t="s">
        <v>561</v>
      </c>
      <c r="D128" t="s">
        <v>1768</v>
      </c>
      <c r="E128" s="59">
        <v>45454</v>
      </c>
      <c r="F128" t="s">
        <v>1764</v>
      </c>
      <c r="G128" t="s">
        <v>1765</v>
      </c>
      <c r="H128" t="s">
        <v>38</v>
      </c>
      <c r="I128" t="s">
        <v>353</v>
      </c>
      <c r="J128">
        <v>2</v>
      </c>
      <c r="K128">
        <v>33000</v>
      </c>
      <c r="L128">
        <v>4400</v>
      </c>
      <c r="M128">
        <v>0</v>
      </c>
      <c r="N128" s="59">
        <v>45453</v>
      </c>
      <c r="O128" t="s">
        <v>1767</v>
      </c>
      <c r="P128" t="s">
        <v>1769</v>
      </c>
      <c r="Q128" t="s">
        <v>1770</v>
      </c>
      <c r="R128" t="s">
        <v>563</v>
      </c>
      <c r="S128" s="59"/>
      <c r="T128" t="s">
        <v>1770</v>
      </c>
      <c r="U128" t="s">
        <v>1771</v>
      </c>
      <c r="V128" t="s">
        <v>1772</v>
      </c>
      <c r="W128">
        <v>42120</v>
      </c>
      <c r="X128">
        <v>4680</v>
      </c>
      <c r="Y128">
        <v>0</v>
      </c>
      <c r="Z128">
        <v>3000</v>
      </c>
      <c r="AE12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SE.204 투명 530219199816 010-4784-8940 2024061031222111</v>
      </c>
    </row>
    <row r="129" spans="1:31">
      <c r="A129">
        <v>128</v>
      </c>
      <c r="B129" t="s">
        <v>562</v>
      </c>
      <c r="C129" t="s">
        <v>561</v>
      </c>
      <c r="D129" t="s">
        <v>1768</v>
      </c>
      <c r="E129" s="59">
        <v>45454</v>
      </c>
      <c r="F129" t="s">
        <v>1764</v>
      </c>
      <c r="G129" t="s">
        <v>1765</v>
      </c>
      <c r="H129" t="s">
        <v>36</v>
      </c>
      <c r="I129" t="s">
        <v>353</v>
      </c>
      <c r="J129">
        <v>1</v>
      </c>
      <c r="K129">
        <v>16500</v>
      </c>
      <c r="L129">
        <v>0</v>
      </c>
      <c r="M129">
        <v>0</v>
      </c>
      <c r="N129" s="59">
        <v>45453</v>
      </c>
      <c r="O129" t="s">
        <v>1774</v>
      </c>
      <c r="P129" t="s">
        <v>1769</v>
      </c>
      <c r="Q129" t="s">
        <v>1770</v>
      </c>
      <c r="R129" t="s">
        <v>563</v>
      </c>
      <c r="S129" s="59"/>
      <c r="T129" t="s">
        <v>1770</v>
      </c>
      <c r="U129" t="s">
        <v>1771</v>
      </c>
      <c r="V129" t="s">
        <v>1772</v>
      </c>
      <c r="W129">
        <v>24300</v>
      </c>
      <c r="X129">
        <v>2700</v>
      </c>
      <c r="Y129">
        <v>0</v>
      </c>
      <c r="Z129">
        <v>3000</v>
      </c>
      <c r="AE12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고정아 제주한울에프앤비 SE.205 투명 530219199816 010-4784-8940 2024061031222101</v>
      </c>
    </row>
    <row r="130" spans="1:31">
      <c r="A130">
        <v>129</v>
      </c>
      <c r="B130" t="s">
        <v>562</v>
      </c>
      <c r="C130" t="s">
        <v>561</v>
      </c>
      <c r="D130" t="s">
        <v>1775</v>
      </c>
      <c r="E130" s="59">
        <v>45454</v>
      </c>
      <c r="F130" t="s">
        <v>1775</v>
      </c>
      <c r="G130" t="s">
        <v>1777</v>
      </c>
      <c r="H130" t="s">
        <v>243</v>
      </c>
      <c r="I130" t="s">
        <v>380</v>
      </c>
      <c r="J130">
        <v>30</v>
      </c>
      <c r="K130">
        <v>35750</v>
      </c>
      <c r="L130">
        <v>4400</v>
      </c>
      <c r="M130">
        <v>0</v>
      </c>
      <c r="N130" s="59">
        <v>45449</v>
      </c>
      <c r="O130" t="s">
        <v>1779</v>
      </c>
      <c r="P130" t="s">
        <v>1780</v>
      </c>
      <c r="Q130" t="s">
        <v>1781</v>
      </c>
      <c r="R130" t="s">
        <v>563</v>
      </c>
      <c r="S130" s="59"/>
      <c r="T130" t="s">
        <v>1781</v>
      </c>
      <c r="U130" t="s">
        <v>1782</v>
      </c>
      <c r="W130">
        <v>51000</v>
      </c>
      <c r="X130">
        <v>0</v>
      </c>
      <c r="Y130">
        <v>0</v>
      </c>
      <c r="Z130">
        <v>0</v>
      </c>
      <c r="AE13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SE.14 보라 540215391551 010-3999-4733 2024060675963021</v>
      </c>
    </row>
    <row r="131" spans="1:31">
      <c r="A131">
        <v>130</v>
      </c>
      <c r="B131" t="s">
        <v>562</v>
      </c>
      <c r="C131" t="s">
        <v>561</v>
      </c>
      <c r="D131" t="s">
        <v>1775</v>
      </c>
      <c r="E131" s="59">
        <v>45454</v>
      </c>
      <c r="F131" t="s">
        <v>1775</v>
      </c>
      <c r="G131" t="s">
        <v>1777</v>
      </c>
      <c r="H131" t="s">
        <v>206</v>
      </c>
      <c r="I131" t="s">
        <v>380</v>
      </c>
      <c r="J131">
        <v>2</v>
      </c>
      <c r="K131">
        <v>4730</v>
      </c>
      <c r="L131">
        <v>0</v>
      </c>
      <c r="M131">
        <v>0</v>
      </c>
      <c r="N131" s="59">
        <v>45449</v>
      </c>
      <c r="O131" t="s">
        <v>1785</v>
      </c>
      <c r="P131" t="s">
        <v>1780</v>
      </c>
      <c r="Q131" t="s">
        <v>1781</v>
      </c>
      <c r="R131" t="s">
        <v>563</v>
      </c>
      <c r="S131" s="59"/>
      <c r="T131" t="s">
        <v>1781</v>
      </c>
      <c r="U131" t="s">
        <v>1782</v>
      </c>
      <c r="W131">
        <v>7740</v>
      </c>
      <c r="X131">
        <v>0</v>
      </c>
      <c r="Y131">
        <v>0</v>
      </c>
      <c r="Z131">
        <v>0</v>
      </c>
      <c r="AE13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김지혜 김지혜 SE.22 보라 540215391551 010-3999-4733 2024060675963011</v>
      </c>
    </row>
    <row r="132" spans="1:31">
      <c r="A132">
        <v>131</v>
      </c>
      <c r="B132" t="s">
        <v>562</v>
      </c>
      <c r="C132" t="s">
        <v>568</v>
      </c>
      <c r="D132" t="s">
        <v>1786</v>
      </c>
      <c r="E132" s="59">
        <v>45454</v>
      </c>
      <c r="F132" t="s">
        <v>1786</v>
      </c>
      <c r="G132" t="s">
        <v>1787</v>
      </c>
      <c r="H132" t="s">
        <v>133</v>
      </c>
      <c r="I132" t="s">
        <v>353</v>
      </c>
      <c r="J132">
        <v>35</v>
      </c>
      <c r="K132">
        <v>22750</v>
      </c>
      <c r="L132">
        <v>3500</v>
      </c>
      <c r="M132">
        <v>0</v>
      </c>
      <c r="N132" s="59">
        <v>45453</v>
      </c>
      <c r="O132" t="s">
        <v>1788</v>
      </c>
      <c r="P132" t="s">
        <v>1789</v>
      </c>
      <c r="Q132" t="s">
        <v>1790</v>
      </c>
      <c r="R132" t="s">
        <v>563</v>
      </c>
      <c r="S132" s="59"/>
      <c r="T132" t="s">
        <v>1790</v>
      </c>
      <c r="U132" t="s">
        <v>1791</v>
      </c>
      <c r="V132" t="s">
        <v>571</v>
      </c>
      <c r="W132">
        <v>32900</v>
      </c>
      <c r="X132">
        <v>0</v>
      </c>
      <c r="Y132">
        <v>3000</v>
      </c>
      <c r="Z132">
        <v>0</v>
      </c>
      <c r="AE13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지연호 지연호 SE.101 투명 530219199864 0502-4967-1112 10100052200112</v>
      </c>
    </row>
    <row r="133" spans="1:31">
      <c r="A133">
        <v>132</v>
      </c>
      <c r="B133" t="s">
        <v>562</v>
      </c>
      <c r="C133" t="s">
        <v>568</v>
      </c>
      <c r="D133" t="s">
        <v>1793</v>
      </c>
      <c r="E133" s="59">
        <v>45454</v>
      </c>
      <c r="F133" t="s">
        <v>1793</v>
      </c>
      <c r="G133" t="s">
        <v>1794</v>
      </c>
      <c r="H133" t="s">
        <v>18</v>
      </c>
      <c r="I133" t="s">
        <v>353</v>
      </c>
      <c r="J133">
        <v>3</v>
      </c>
      <c r="K133">
        <v>25280</v>
      </c>
      <c r="L133">
        <v>3500</v>
      </c>
      <c r="M133">
        <v>0</v>
      </c>
      <c r="N133" s="59">
        <v>45453</v>
      </c>
      <c r="O133" t="s">
        <v>1795</v>
      </c>
      <c r="P133" t="s">
        <v>1796</v>
      </c>
      <c r="Q133" t="s">
        <v>1797</v>
      </c>
      <c r="R133" t="s">
        <v>563</v>
      </c>
      <c r="S133" s="59"/>
      <c r="T133" t="s">
        <v>1797</v>
      </c>
      <c r="U133" t="s">
        <v>1798</v>
      </c>
      <c r="V133" t="s">
        <v>571</v>
      </c>
      <c r="W133">
        <v>37410</v>
      </c>
      <c r="X133">
        <v>0</v>
      </c>
      <c r="Y133">
        <v>0</v>
      </c>
      <c r="Z133">
        <v>0</v>
      </c>
      <c r="AE13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한은희 한은희 SE.307 투명 530219199842 0502-1701-0094 3100052473841</v>
      </c>
    </row>
    <row r="134" spans="1:31">
      <c r="A134">
        <v>133</v>
      </c>
      <c r="B134" t="s">
        <v>562</v>
      </c>
      <c r="C134" t="s">
        <v>568</v>
      </c>
      <c r="D134" t="s">
        <v>1800</v>
      </c>
      <c r="E134" s="59">
        <v>45454</v>
      </c>
      <c r="F134" t="s">
        <v>1800</v>
      </c>
      <c r="G134" t="s">
        <v>1801</v>
      </c>
      <c r="H134" t="s">
        <v>98</v>
      </c>
      <c r="I134" t="s">
        <v>353</v>
      </c>
      <c r="J134">
        <v>5</v>
      </c>
      <c r="K134">
        <v>23300</v>
      </c>
      <c r="L134">
        <v>3500</v>
      </c>
      <c r="M134">
        <v>0</v>
      </c>
      <c r="N134" s="59">
        <v>45453</v>
      </c>
      <c r="O134" t="s">
        <v>1802</v>
      </c>
      <c r="P134" t="s">
        <v>1803</v>
      </c>
      <c r="Q134" t="s">
        <v>1804</v>
      </c>
      <c r="R134" t="s">
        <v>563</v>
      </c>
      <c r="S134" s="59"/>
      <c r="T134" t="s">
        <v>1804</v>
      </c>
      <c r="U134" t="s">
        <v>1805</v>
      </c>
      <c r="V134" t="s">
        <v>571</v>
      </c>
      <c r="W134">
        <v>30600</v>
      </c>
      <c r="X134">
        <v>3400</v>
      </c>
      <c r="Y134">
        <v>0</v>
      </c>
      <c r="Z134">
        <v>0</v>
      </c>
      <c r="AE13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김성주 김성주 SE.114 투명 540218123780 0502-4991-1148 23100052328356</v>
      </c>
    </row>
    <row r="135" spans="1:31">
      <c r="A135">
        <v>134</v>
      </c>
      <c r="B135" t="s">
        <v>562</v>
      </c>
      <c r="C135" t="s">
        <v>568</v>
      </c>
      <c r="D135" t="s">
        <v>1807</v>
      </c>
      <c r="E135" s="59">
        <v>45454</v>
      </c>
      <c r="F135" t="s">
        <v>1807</v>
      </c>
      <c r="G135" t="s">
        <v>1808</v>
      </c>
      <c r="H135" t="s">
        <v>129</v>
      </c>
      <c r="I135" t="s">
        <v>353</v>
      </c>
      <c r="J135">
        <v>1</v>
      </c>
      <c r="K135">
        <v>3660</v>
      </c>
      <c r="L135">
        <v>3000</v>
      </c>
      <c r="M135">
        <v>0</v>
      </c>
      <c r="N135" s="59">
        <v>45453</v>
      </c>
      <c r="O135" t="s">
        <v>1809</v>
      </c>
      <c r="P135" t="s">
        <v>1810</v>
      </c>
      <c r="Q135" t="s">
        <v>1811</v>
      </c>
      <c r="R135" t="s">
        <v>563</v>
      </c>
      <c r="S135" s="59"/>
      <c r="T135" t="s">
        <v>1811</v>
      </c>
      <c r="U135" t="s">
        <v>1812</v>
      </c>
      <c r="V135" t="s">
        <v>571</v>
      </c>
      <c r="W135">
        <v>1150</v>
      </c>
      <c r="X135">
        <v>0</v>
      </c>
      <c r="Y135">
        <v>3000</v>
      </c>
      <c r="Z135">
        <v>0</v>
      </c>
      <c r="AE13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박용곤 박용곤 SE.102 투명 530219199901 0502-4178-9340 9100052293792</v>
      </c>
    </row>
    <row r="136" spans="1:31">
      <c r="A136">
        <v>135</v>
      </c>
      <c r="B136" t="s">
        <v>673</v>
      </c>
      <c r="C136" t="s">
        <v>561</v>
      </c>
      <c r="D136" t="s">
        <v>1814</v>
      </c>
      <c r="E136" s="59">
        <v>45454</v>
      </c>
      <c r="F136" t="s">
        <v>1814</v>
      </c>
      <c r="G136" t="s">
        <v>1816</v>
      </c>
      <c r="H136" t="s">
        <v>26</v>
      </c>
      <c r="I136" t="s">
        <v>353</v>
      </c>
      <c r="J136">
        <v>2</v>
      </c>
      <c r="K136">
        <v>0</v>
      </c>
      <c r="L136">
        <v>4400</v>
      </c>
      <c r="M136">
        <v>0</v>
      </c>
      <c r="N136" s="59">
        <v>45453</v>
      </c>
      <c r="O136" t="s">
        <v>1818</v>
      </c>
      <c r="P136" t="s">
        <v>1819</v>
      </c>
      <c r="Q136" t="s">
        <v>1820</v>
      </c>
      <c r="R136" t="s">
        <v>563</v>
      </c>
      <c r="S136" s="59"/>
      <c r="T136" t="s">
        <v>1820</v>
      </c>
      <c r="U136" t="s">
        <v>1821</v>
      </c>
      <c r="W136">
        <v>43840</v>
      </c>
      <c r="X136">
        <v>0</v>
      </c>
      <c r="Y136">
        <v>0</v>
      </c>
      <c r="Z136">
        <v>0</v>
      </c>
      <c r="AE13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손현주 손현주 SE.303 투명 540218123824 010-9558-1417 2024061023906341</v>
      </c>
    </row>
    <row r="137" spans="1:31">
      <c r="A137">
        <v>136</v>
      </c>
      <c r="B137" t="s">
        <v>673</v>
      </c>
      <c r="C137" t="s">
        <v>561</v>
      </c>
      <c r="D137" t="s">
        <v>1828</v>
      </c>
      <c r="E137" s="59">
        <v>45454</v>
      </c>
      <c r="F137" t="s">
        <v>1823</v>
      </c>
      <c r="G137" t="s">
        <v>1825</v>
      </c>
      <c r="H137" t="s">
        <v>36</v>
      </c>
      <c r="I137" t="s">
        <v>353</v>
      </c>
      <c r="J137">
        <v>1</v>
      </c>
      <c r="K137">
        <v>0</v>
      </c>
      <c r="L137">
        <v>3500</v>
      </c>
      <c r="M137">
        <v>0</v>
      </c>
      <c r="N137" s="59">
        <v>45453</v>
      </c>
      <c r="O137" t="s">
        <v>1827</v>
      </c>
      <c r="P137" t="s">
        <v>1829</v>
      </c>
      <c r="Q137" t="s">
        <v>1830</v>
      </c>
      <c r="R137" t="s">
        <v>563</v>
      </c>
      <c r="S137" s="59"/>
      <c r="T137" t="s">
        <v>1830</v>
      </c>
      <c r="U137" t="s">
        <v>1831</v>
      </c>
      <c r="W137">
        <v>24000</v>
      </c>
      <c r="X137">
        <v>0</v>
      </c>
      <c r="Y137">
        <v>3000</v>
      </c>
      <c r="Z137">
        <v>0</v>
      </c>
      <c r="AE13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김성엽 윌로우(주) SE.205 투명 530219199912 010-9372-6698 2024061021846441</v>
      </c>
    </row>
    <row r="138" spans="1:31">
      <c r="A138">
        <v>137</v>
      </c>
      <c r="B138" t="s">
        <v>673</v>
      </c>
      <c r="C138" t="s">
        <v>561</v>
      </c>
      <c r="D138" t="s">
        <v>1833</v>
      </c>
      <c r="E138" s="59">
        <v>45454</v>
      </c>
      <c r="F138" t="s">
        <v>1833</v>
      </c>
      <c r="G138" t="s">
        <v>1834</v>
      </c>
      <c r="H138" t="s">
        <v>26</v>
      </c>
      <c r="I138" t="s">
        <v>353</v>
      </c>
      <c r="J138">
        <v>1</v>
      </c>
      <c r="K138">
        <v>0</v>
      </c>
      <c r="L138">
        <v>3500</v>
      </c>
      <c r="M138">
        <v>0</v>
      </c>
      <c r="N138" s="59">
        <v>45453</v>
      </c>
      <c r="O138" t="s">
        <v>1836</v>
      </c>
      <c r="P138" t="s">
        <v>1837</v>
      </c>
      <c r="Q138" t="s">
        <v>1838</v>
      </c>
      <c r="R138" t="s">
        <v>563</v>
      </c>
      <c r="S138" s="59"/>
      <c r="T138" t="s">
        <v>1838</v>
      </c>
      <c r="U138" t="s">
        <v>1839</v>
      </c>
      <c r="W138">
        <v>21920</v>
      </c>
      <c r="X138">
        <v>0</v>
      </c>
      <c r="Y138">
        <v>3000</v>
      </c>
      <c r="Z138">
        <v>0</v>
      </c>
      <c r="AE13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최슬기 최슬기 SE.303 투명 530219199831 010-8420-5958 2024061017985051</v>
      </c>
    </row>
    <row r="139" spans="1:31">
      <c r="A139">
        <v>138</v>
      </c>
      <c r="B139" t="s">
        <v>673</v>
      </c>
      <c r="C139" t="s">
        <v>532</v>
      </c>
      <c r="E139" s="59">
        <v>45455</v>
      </c>
      <c r="F139" t="s">
        <v>1841</v>
      </c>
      <c r="G139" t="s">
        <v>1842</v>
      </c>
      <c r="H139" t="s">
        <v>531</v>
      </c>
      <c r="I139" t="s">
        <v>353</v>
      </c>
      <c r="J139">
        <v>1</v>
      </c>
      <c r="K139">
        <v>0</v>
      </c>
      <c r="L139">
        <v>4400</v>
      </c>
      <c r="M139">
        <v>0</v>
      </c>
      <c r="N139" s="59">
        <v>45455</v>
      </c>
      <c r="O139" t="s">
        <v>2100</v>
      </c>
      <c r="R139" t="s">
        <v>563</v>
      </c>
      <c r="S139" s="59"/>
      <c r="T139" t="s">
        <v>1844</v>
      </c>
      <c r="U139" t="s">
        <v>1845</v>
      </c>
      <c r="W139">
        <v>0</v>
      </c>
      <c r="X139">
        <v>0</v>
      </c>
      <c r="Y139">
        <v>0</v>
      </c>
      <c r="Z139">
        <v>0</v>
      </c>
      <c r="AE13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최윤애 SE.1000 투명 530220372843 010-3358-2715 45470808</v>
      </c>
    </row>
    <row r="140" spans="1:31">
      <c r="A140">
        <v>139</v>
      </c>
      <c r="B140" t="s">
        <v>562</v>
      </c>
      <c r="C140" t="s">
        <v>568</v>
      </c>
      <c r="D140" t="s">
        <v>1846</v>
      </c>
      <c r="E140" s="59">
        <v>45455</v>
      </c>
      <c r="F140" t="s">
        <v>1846</v>
      </c>
      <c r="G140" t="s">
        <v>1847</v>
      </c>
      <c r="H140" t="s">
        <v>38</v>
      </c>
      <c r="I140" t="s">
        <v>353</v>
      </c>
      <c r="J140">
        <v>1</v>
      </c>
      <c r="K140">
        <v>17300</v>
      </c>
      <c r="L140">
        <v>3000</v>
      </c>
      <c r="M140">
        <v>0</v>
      </c>
      <c r="N140" s="59">
        <v>45455</v>
      </c>
      <c r="O140" t="s">
        <v>1848</v>
      </c>
      <c r="P140" t="s">
        <v>1849</v>
      </c>
      <c r="Q140" t="s">
        <v>1850</v>
      </c>
      <c r="R140" t="s">
        <v>563</v>
      </c>
      <c r="S140" s="59"/>
      <c r="T140" t="s">
        <v>1850</v>
      </c>
      <c r="U140" t="s">
        <v>1851</v>
      </c>
      <c r="V140" t="s">
        <v>569</v>
      </c>
      <c r="W140">
        <v>24570</v>
      </c>
      <c r="X140">
        <v>0</v>
      </c>
      <c r="Y140">
        <v>3000</v>
      </c>
      <c r="Z140">
        <v>0</v>
      </c>
      <c r="AE14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박희종 박희종 SE.204 투명 540219104841 0504-4978-6969 15100052626789</v>
      </c>
    </row>
    <row r="141" spans="1:31">
      <c r="A141">
        <v>140</v>
      </c>
      <c r="B141" t="s">
        <v>673</v>
      </c>
      <c r="C141" t="s">
        <v>568</v>
      </c>
      <c r="D141" t="s">
        <v>1853</v>
      </c>
      <c r="E141" s="59">
        <v>45455</v>
      </c>
      <c r="F141" t="s">
        <v>1853</v>
      </c>
      <c r="G141" t="s">
        <v>1854</v>
      </c>
      <c r="H141" t="s">
        <v>26</v>
      </c>
      <c r="I141" t="s">
        <v>353</v>
      </c>
      <c r="J141">
        <v>1</v>
      </c>
      <c r="K141">
        <v>0</v>
      </c>
      <c r="L141">
        <v>3000</v>
      </c>
      <c r="M141">
        <v>0</v>
      </c>
      <c r="N141" s="59">
        <v>45454</v>
      </c>
      <c r="O141" t="s">
        <v>1855</v>
      </c>
      <c r="P141" t="s">
        <v>1856</v>
      </c>
      <c r="Q141" t="s">
        <v>1857</v>
      </c>
      <c r="R141" t="s">
        <v>563</v>
      </c>
      <c r="S141" s="59"/>
      <c r="T141" t="s">
        <v>1857</v>
      </c>
      <c r="U141" t="s">
        <v>1858</v>
      </c>
      <c r="V141" t="s">
        <v>569</v>
      </c>
      <c r="W141">
        <v>23020</v>
      </c>
      <c r="X141">
        <v>0</v>
      </c>
      <c r="Y141">
        <v>3000</v>
      </c>
      <c r="Z141">
        <v>0</v>
      </c>
      <c r="AE14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김혜진 김혜진 SE.303 투명 540219105143 0502-5080-8204 7100052575971</v>
      </c>
    </row>
    <row r="142" spans="1:31">
      <c r="A142">
        <v>141</v>
      </c>
      <c r="B142" t="s">
        <v>562</v>
      </c>
      <c r="C142" t="s">
        <v>561</v>
      </c>
      <c r="D142" t="s">
        <v>1860</v>
      </c>
      <c r="E142" s="59">
        <v>45455</v>
      </c>
      <c r="F142" t="s">
        <v>1860</v>
      </c>
      <c r="G142" t="s">
        <v>1861</v>
      </c>
      <c r="H142" t="s">
        <v>18</v>
      </c>
      <c r="I142" t="s">
        <v>353</v>
      </c>
      <c r="J142">
        <v>1</v>
      </c>
      <c r="K142">
        <v>10260</v>
      </c>
      <c r="L142">
        <v>3000</v>
      </c>
      <c r="M142">
        <v>0</v>
      </c>
      <c r="N142" s="59">
        <v>45454</v>
      </c>
      <c r="O142" t="s">
        <v>1863</v>
      </c>
      <c r="P142" t="s">
        <v>1864</v>
      </c>
      <c r="Q142" t="s">
        <v>1865</v>
      </c>
      <c r="R142" t="s">
        <v>563</v>
      </c>
      <c r="S142" s="59"/>
      <c r="T142" t="s">
        <v>1865</v>
      </c>
      <c r="U142" t="s">
        <v>1866</v>
      </c>
      <c r="V142" t="s">
        <v>1354</v>
      </c>
      <c r="W142">
        <v>10690</v>
      </c>
      <c r="X142">
        <v>1190</v>
      </c>
      <c r="Y142">
        <v>3000</v>
      </c>
      <c r="Z142">
        <v>0</v>
      </c>
      <c r="AE14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김소희 김소희 SE.307 투명 540219104804 010-2254-5827 2024061171125061</v>
      </c>
    </row>
    <row r="143" spans="1:31">
      <c r="A143">
        <v>142</v>
      </c>
      <c r="B143" t="s">
        <v>562</v>
      </c>
      <c r="C143" t="s">
        <v>561</v>
      </c>
      <c r="D143" t="s">
        <v>1868</v>
      </c>
      <c r="E143" s="59">
        <v>45455</v>
      </c>
      <c r="F143" t="s">
        <v>1868</v>
      </c>
      <c r="G143" t="s">
        <v>1870</v>
      </c>
      <c r="H143" t="s">
        <v>247</v>
      </c>
      <c r="I143" t="s">
        <v>354</v>
      </c>
      <c r="J143">
        <v>50</v>
      </c>
      <c r="K143">
        <v>39900</v>
      </c>
      <c r="L143">
        <v>0</v>
      </c>
      <c r="M143">
        <v>0</v>
      </c>
      <c r="N143" s="59">
        <v>45454</v>
      </c>
      <c r="O143" t="s">
        <v>1872</v>
      </c>
      <c r="P143" t="s">
        <v>1873</v>
      </c>
      <c r="Q143" t="s">
        <v>1874</v>
      </c>
      <c r="R143" t="s">
        <v>563</v>
      </c>
      <c r="S143" s="59"/>
      <c r="T143" t="s">
        <v>1874</v>
      </c>
      <c r="U143" t="s">
        <v>1876</v>
      </c>
      <c r="V143" t="s">
        <v>1261</v>
      </c>
      <c r="W143">
        <v>65500</v>
      </c>
      <c r="X143">
        <v>0</v>
      </c>
      <c r="Y143">
        <v>0</v>
      </c>
      <c r="Z143">
        <v>0</v>
      </c>
      <c r="AE14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김태희 김태희 SE.13 검정 530220193050 010-5652-5279 2024061169075231</v>
      </c>
    </row>
    <row r="144" spans="1:31">
      <c r="A144">
        <v>143</v>
      </c>
      <c r="B144" t="s">
        <v>673</v>
      </c>
      <c r="C144" t="s">
        <v>561</v>
      </c>
      <c r="D144" t="s">
        <v>670</v>
      </c>
      <c r="E144" s="59">
        <v>45456</v>
      </c>
      <c r="F144" t="s">
        <v>670</v>
      </c>
      <c r="G144" t="s">
        <v>672</v>
      </c>
      <c r="H144" t="s">
        <v>18</v>
      </c>
      <c r="I144" t="s">
        <v>353</v>
      </c>
      <c r="J144">
        <v>1</v>
      </c>
      <c r="K144">
        <v>0</v>
      </c>
      <c r="L144">
        <v>3500</v>
      </c>
      <c r="M144">
        <v>0</v>
      </c>
      <c r="N144" s="59">
        <v>45456</v>
      </c>
      <c r="O144" t="s">
        <v>675</v>
      </c>
      <c r="P144" t="s">
        <v>676</v>
      </c>
      <c r="Q144" t="s">
        <v>677</v>
      </c>
      <c r="R144" t="s">
        <v>563</v>
      </c>
      <c r="S144" s="59"/>
      <c r="T144" t="s">
        <v>677</v>
      </c>
      <c r="U144" t="s">
        <v>678</v>
      </c>
      <c r="W144">
        <v>10560</v>
      </c>
      <c r="X144">
        <v>0</v>
      </c>
      <c r="Y144">
        <v>3000</v>
      </c>
      <c r="Z144">
        <v>0</v>
      </c>
      <c r="AE14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SE.307 투명 530221335166 010-8982-7060 2024061356909371</v>
      </c>
    </row>
    <row r="145" spans="1:31">
      <c r="A145">
        <v>144</v>
      </c>
      <c r="B145" t="s">
        <v>673</v>
      </c>
      <c r="C145" t="s">
        <v>561</v>
      </c>
      <c r="D145" t="s">
        <v>670</v>
      </c>
      <c r="E145" s="59">
        <v>45456</v>
      </c>
      <c r="F145" t="s">
        <v>670</v>
      </c>
      <c r="G145" t="s">
        <v>672</v>
      </c>
      <c r="H145" t="s">
        <v>90</v>
      </c>
      <c r="I145" t="s">
        <v>353</v>
      </c>
      <c r="J145">
        <v>1</v>
      </c>
      <c r="K145">
        <v>0</v>
      </c>
      <c r="L145">
        <v>0</v>
      </c>
      <c r="M145">
        <v>0</v>
      </c>
      <c r="N145" s="59">
        <v>45456</v>
      </c>
      <c r="O145" t="s">
        <v>682</v>
      </c>
      <c r="P145" t="s">
        <v>676</v>
      </c>
      <c r="Q145" t="s">
        <v>677</v>
      </c>
      <c r="R145" t="s">
        <v>563</v>
      </c>
      <c r="S145" s="59"/>
      <c r="T145" t="s">
        <v>677</v>
      </c>
      <c r="U145" t="s">
        <v>678</v>
      </c>
      <c r="W145">
        <v>3450</v>
      </c>
      <c r="X145">
        <v>0</v>
      </c>
      <c r="Y145">
        <v>0</v>
      </c>
      <c r="Z145">
        <v>0</v>
      </c>
      <c r="AE14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윤현진 윤현진 SE.118 투명 530221335166 010-8982-7060 2024061356909361</v>
      </c>
    </row>
    <row r="146" spans="1:31">
      <c r="A146">
        <v>145</v>
      </c>
      <c r="B146" t="s">
        <v>673</v>
      </c>
      <c r="C146" t="s">
        <v>568</v>
      </c>
      <c r="D146" t="s">
        <v>688</v>
      </c>
      <c r="E146" s="59">
        <v>45456</v>
      </c>
      <c r="F146" t="s">
        <v>683</v>
      </c>
      <c r="G146" t="s">
        <v>686</v>
      </c>
      <c r="H146" t="s">
        <v>34</v>
      </c>
      <c r="I146" t="s">
        <v>353</v>
      </c>
      <c r="J146">
        <v>2</v>
      </c>
      <c r="K146">
        <v>0</v>
      </c>
      <c r="L146">
        <v>4400</v>
      </c>
      <c r="M146">
        <v>0</v>
      </c>
      <c r="N146" s="59">
        <v>45455</v>
      </c>
      <c r="O146" t="s">
        <v>687</v>
      </c>
      <c r="P146" t="s">
        <v>835</v>
      </c>
      <c r="Q146" t="s">
        <v>836</v>
      </c>
      <c r="R146" t="s">
        <v>563</v>
      </c>
      <c r="S146" s="59"/>
      <c r="T146" t="s">
        <v>836</v>
      </c>
      <c r="U146" t="s">
        <v>689</v>
      </c>
      <c r="V146" t="s">
        <v>571</v>
      </c>
      <c r="W146">
        <v>60480</v>
      </c>
      <c r="X146">
        <v>0</v>
      </c>
      <c r="Y146">
        <v>0</v>
      </c>
      <c r="Z146">
        <v>0</v>
      </c>
      <c r="AE14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임수미 김윤철 SE.206 투명 540219665585 0504-4396-3157 2100052492074</v>
      </c>
    </row>
    <row r="147" spans="1:31">
      <c r="A147">
        <v>146</v>
      </c>
      <c r="B147" t="s">
        <v>673</v>
      </c>
      <c r="C147" t="s">
        <v>568</v>
      </c>
      <c r="D147" t="s">
        <v>696</v>
      </c>
      <c r="E147" s="59">
        <v>45456</v>
      </c>
      <c r="F147" t="s">
        <v>691</v>
      </c>
      <c r="G147" t="s">
        <v>694</v>
      </c>
      <c r="H147" t="s">
        <v>133</v>
      </c>
      <c r="I147" t="s">
        <v>353</v>
      </c>
      <c r="J147">
        <v>1</v>
      </c>
      <c r="K147">
        <v>0</v>
      </c>
      <c r="L147">
        <v>4400</v>
      </c>
      <c r="M147">
        <v>0</v>
      </c>
      <c r="N147" s="59">
        <v>45455</v>
      </c>
      <c r="O147" t="s">
        <v>695</v>
      </c>
      <c r="P147" t="s">
        <v>697</v>
      </c>
      <c r="Q147" t="s">
        <v>698</v>
      </c>
      <c r="R147" t="s">
        <v>563</v>
      </c>
      <c r="S147" s="59"/>
      <c r="T147" t="s">
        <v>698</v>
      </c>
      <c r="U147" t="s">
        <v>699</v>
      </c>
      <c r="V147" t="s">
        <v>571</v>
      </c>
      <c r="W147">
        <v>34000</v>
      </c>
      <c r="X147">
        <v>0</v>
      </c>
      <c r="Y147">
        <v>3000</v>
      </c>
      <c r="Z147">
        <v>0</v>
      </c>
      <c r="AD147">
        <v>10</v>
      </c>
      <c r="AE14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이해창 한희원, 황재호 SE.101 투명 540220210476 0502-5289-0466 21100052791268</v>
      </c>
    </row>
    <row r="148" spans="1:31">
      <c r="A148">
        <v>147</v>
      </c>
      <c r="B148" t="s">
        <v>673</v>
      </c>
      <c r="C148" t="s">
        <v>568</v>
      </c>
      <c r="D148" t="s">
        <v>702</v>
      </c>
      <c r="E148" s="59">
        <v>45456</v>
      </c>
      <c r="F148" t="s">
        <v>702</v>
      </c>
      <c r="G148" t="s">
        <v>705</v>
      </c>
      <c r="H148" t="s">
        <v>26</v>
      </c>
      <c r="I148" t="s">
        <v>353</v>
      </c>
      <c r="J148">
        <v>1</v>
      </c>
      <c r="K148">
        <v>0</v>
      </c>
      <c r="L148">
        <v>3000</v>
      </c>
      <c r="M148">
        <v>0</v>
      </c>
      <c r="N148" s="59">
        <v>45456</v>
      </c>
      <c r="O148" t="s">
        <v>706</v>
      </c>
      <c r="P148" t="s">
        <v>707</v>
      </c>
      <c r="Q148" t="s">
        <v>708</v>
      </c>
      <c r="R148" t="s">
        <v>563</v>
      </c>
      <c r="S148" s="59"/>
      <c r="T148" t="s">
        <v>708</v>
      </c>
      <c r="U148" t="s">
        <v>709</v>
      </c>
      <c r="V148" t="s">
        <v>569</v>
      </c>
      <c r="W148">
        <v>23020</v>
      </c>
      <c r="X148">
        <v>0</v>
      </c>
      <c r="Y148">
        <v>3000</v>
      </c>
      <c r="Z148">
        <v>0</v>
      </c>
      <c r="AE14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한현정 한현정 SE.303 투명 530220853916 0504-2702-6413 21100052895371</v>
      </c>
    </row>
    <row r="149" spans="1:31">
      <c r="A149">
        <v>148</v>
      </c>
      <c r="B149" t="s">
        <v>673</v>
      </c>
      <c r="C149" t="s">
        <v>532</v>
      </c>
      <c r="E149" s="59">
        <v>45456</v>
      </c>
      <c r="F149" t="s">
        <v>1879</v>
      </c>
      <c r="G149" t="s">
        <v>1881</v>
      </c>
      <c r="H149" t="s">
        <v>531</v>
      </c>
      <c r="I149" t="s">
        <v>353</v>
      </c>
      <c r="J149">
        <v>1</v>
      </c>
      <c r="K149">
        <v>0</v>
      </c>
      <c r="L149">
        <v>0</v>
      </c>
      <c r="M149">
        <v>0</v>
      </c>
      <c r="N149" s="59">
        <v>45456</v>
      </c>
      <c r="O149" t="s">
        <v>2101</v>
      </c>
      <c r="R149" t="s">
        <v>563</v>
      </c>
      <c r="S149" s="59"/>
      <c r="T149" t="s">
        <v>1883</v>
      </c>
      <c r="U149" t="s">
        <v>1884</v>
      </c>
      <c r="W149">
        <v>0</v>
      </c>
      <c r="X149">
        <v>0</v>
      </c>
      <c r="Y149">
        <v>0</v>
      </c>
      <c r="Z149">
        <v>0</v>
      </c>
      <c r="AD149">
        <v>1</v>
      </c>
      <c r="AE14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대표  빅팜 주식회사 SE.1000 투명 530220762684 053-795-8868 45470469</v>
      </c>
    </row>
    <row r="150" spans="1:31">
      <c r="A150">
        <v>149</v>
      </c>
      <c r="B150" t="s">
        <v>562</v>
      </c>
      <c r="C150" t="s">
        <v>568</v>
      </c>
      <c r="D150" t="s">
        <v>711</v>
      </c>
      <c r="E150" s="59">
        <v>45456</v>
      </c>
      <c r="F150" t="s">
        <v>711</v>
      </c>
      <c r="G150" t="s">
        <v>712</v>
      </c>
      <c r="H150" t="s">
        <v>133</v>
      </c>
      <c r="I150" t="s">
        <v>353</v>
      </c>
      <c r="J150">
        <v>1</v>
      </c>
      <c r="K150">
        <v>3550</v>
      </c>
      <c r="L150">
        <v>3000</v>
      </c>
      <c r="M150">
        <v>0</v>
      </c>
      <c r="N150" s="59">
        <v>45455</v>
      </c>
      <c r="O150" t="s">
        <v>713</v>
      </c>
      <c r="P150" t="s">
        <v>714</v>
      </c>
      <c r="Q150" t="s">
        <v>715</v>
      </c>
      <c r="R150" t="s">
        <v>563</v>
      </c>
      <c r="S150" s="59"/>
      <c r="T150" t="s">
        <v>715</v>
      </c>
      <c r="U150" t="s">
        <v>716</v>
      </c>
      <c r="V150" t="s">
        <v>571</v>
      </c>
      <c r="W150">
        <v>940</v>
      </c>
      <c r="X150">
        <v>0</v>
      </c>
      <c r="Y150">
        <v>3000</v>
      </c>
      <c r="Z150">
        <v>0</v>
      </c>
      <c r="AE15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주인아 주인아 SE.101 투명 540219665552 0502-4878-0063 3100052835477</v>
      </c>
    </row>
    <row r="151" spans="1:31">
      <c r="A151">
        <v>150</v>
      </c>
      <c r="B151" t="s">
        <v>562</v>
      </c>
      <c r="C151" t="s">
        <v>568</v>
      </c>
      <c r="D151" t="s">
        <v>718</v>
      </c>
      <c r="E151" s="59">
        <v>45456</v>
      </c>
      <c r="F151" t="s">
        <v>718</v>
      </c>
      <c r="G151" t="s">
        <v>720</v>
      </c>
      <c r="H151" t="s">
        <v>129</v>
      </c>
      <c r="I151" t="s">
        <v>353</v>
      </c>
      <c r="J151">
        <v>20</v>
      </c>
      <c r="K151">
        <v>16700</v>
      </c>
      <c r="L151">
        <v>3500</v>
      </c>
      <c r="M151">
        <v>0</v>
      </c>
      <c r="N151" s="59">
        <v>45455</v>
      </c>
      <c r="O151" t="s">
        <v>721</v>
      </c>
      <c r="P151" t="s">
        <v>722</v>
      </c>
      <c r="Q151" t="s">
        <v>723</v>
      </c>
      <c r="R151" t="s">
        <v>563</v>
      </c>
      <c r="S151" s="59"/>
      <c r="T151" t="s">
        <v>723</v>
      </c>
      <c r="U151" t="s">
        <v>724</v>
      </c>
      <c r="V151" t="s">
        <v>569</v>
      </c>
      <c r="W151">
        <v>23000</v>
      </c>
      <c r="X151">
        <v>0</v>
      </c>
      <c r="Y151">
        <v>3000</v>
      </c>
      <c r="Z151">
        <v>0</v>
      </c>
      <c r="AE15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이성화 이성화 SE.102 투명 530220762706 0502-1357-0033 8100052791560</v>
      </c>
    </row>
    <row r="152" spans="1:31">
      <c r="A152">
        <v>151</v>
      </c>
      <c r="B152" t="s">
        <v>562</v>
      </c>
      <c r="C152" t="s">
        <v>568</v>
      </c>
      <c r="D152" t="s">
        <v>731</v>
      </c>
      <c r="E152" s="59">
        <v>45456</v>
      </c>
      <c r="F152" t="s">
        <v>726</v>
      </c>
      <c r="G152" t="s">
        <v>729</v>
      </c>
      <c r="H152" t="s">
        <v>50</v>
      </c>
      <c r="I152" t="s">
        <v>353</v>
      </c>
      <c r="J152">
        <v>5</v>
      </c>
      <c r="K152">
        <v>9600</v>
      </c>
      <c r="L152">
        <v>3000</v>
      </c>
      <c r="M152">
        <v>0</v>
      </c>
      <c r="N152" s="59">
        <v>45455</v>
      </c>
      <c r="O152" t="s">
        <v>730</v>
      </c>
      <c r="P152" t="s">
        <v>732</v>
      </c>
      <c r="Q152" t="s">
        <v>733</v>
      </c>
      <c r="R152" t="s">
        <v>563</v>
      </c>
      <c r="S152" s="59"/>
      <c r="T152" t="s">
        <v>733</v>
      </c>
      <c r="U152" t="s">
        <v>734</v>
      </c>
      <c r="V152" t="s">
        <v>569</v>
      </c>
      <c r="W152">
        <v>13400</v>
      </c>
      <c r="X152">
        <v>0</v>
      </c>
      <c r="Y152">
        <v>0</v>
      </c>
      <c r="Z152">
        <v>0</v>
      </c>
      <c r="AE15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이종훈 서구재활주간보호센터 SE.138 투명 530220762662 0504-4364-4215 10100052616179</v>
      </c>
    </row>
    <row r="153" spans="1:31">
      <c r="A153">
        <v>152</v>
      </c>
      <c r="B153" t="s">
        <v>562</v>
      </c>
      <c r="C153" t="s">
        <v>568</v>
      </c>
      <c r="D153" t="s">
        <v>736</v>
      </c>
      <c r="E153" s="59">
        <v>45456</v>
      </c>
      <c r="F153" t="s">
        <v>736</v>
      </c>
      <c r="G153" t="s">
        <v>739</v>
      </c>
      <c r="H153" t="s">
        <v>34</v>
      </c>
      <c r="I153" t="s">
        <v>353</v>
      </c>
      <c r="J153">
        <v>1</v>
      </c>
      <c r="K153">
        <v>23300</v>
      </c>
      <c r="L153">
        <v>3500</v>
      </c>
      <c r="M153">
        <v>0</v>
      </c>
      <c r="N153" s="59">
        <v>45455</v>
      </c>
      <c r="O153" t="s">
        <v>740</v>
      </c>
      <c r="P153" t="s">
        <v>741</v>
      </c>
      <c r="Q153" t="s">
        <v>742</v>
      </c>
      <c r="R153" t="s">
        <v>563</v>
      </c>
      <c r="S153" s="59"/>
      <c r="T153" t="s">
        <v>742</v>
      </c>
      <c r="U153" t="s">
        <v>743</v>
      </c>
      <c r="V153" t="s">
        <v>569</v>
      </c>
      <c r="W153">
        <v>34020</v>
      </c>
      <c r="X153">
        <v>0</v>
      </c>
      <c r="Y153">
        <v>3000</v>
      </c>
      <c r="Z153">
        <v>0</v>
      </c>
      <c r="AE15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김재성 김재성 SE.206 투명 540219665515 0502-5213-9023 28100052588127</v>
      </c>
    </row>
    <row r="154" spans="1:31">
      <c r="A154">
        <v>153</v>
      </c>
      <c r="B154" t="s">
        <v>562</v>
      </c>
      <c r="C154" t="s">
        <v>568</v>
      </c>
      <c r="D154" t="s">
        <v>745</v>
      </c>
      <c r="E154" s="59">
        <v>45456</v>
      </c>
      <c r="F154" t="s">
        <v>745</v>
      </c>
      <c r="G154" t="s">
        <v>748</v>
      </c>
      <c r="H154" t="s">
        <v>94</v>
      </c>
      <c r="I154" t="s">
        <v>353</v>
      </c>
      <c r="J154">
        <v>2</v>
      </c>
      <c r="K154">
        <v>11250</v>
      </c>
      <c r="L154">
        <v>3000</v>
      </c>
      <c r="M154">
        <v>0</v>
      </c>
      <c r="N154" s="59">
        <v>45455</v>
      </c>
      <c r="O154" t="s">
        <v>749</v>
      </c>
      <c r="P154" t="s">
        <v>750</v>
      </c>
      <c r="Q154" t="s">
        <v>751</v>
      </c>
      <c r="R154" t="s">
        <v>563</v>
      </c>
      <c r="S154" s="59"/>
      <c r="T154" t="s">
        <v>751</v>
      </c>
      <c r="U154" t="s">
        <v>752</v>
      </c>
      <c r="V154" t="s">
        <v>569</v>
      </c>
      <c r="W154">
        <v>14440</v>
      </c>
      <c r="X154">
        <v>0</v>
      </c>
      <c r="Y154">
        <v>3000</v>
      </c>
      <c r="Z154">
        <v>0</v>
      </c>
      <c r="AE15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박광용 박광용 SE.116 투명 540219665526 0502-4648-4892 9100052625136</v>
      </c>
    </row>
    <row r="155" spans="1:31">
      <c r="A155">
        <v>154</v>
      </c>
      <c r="B155" t="s">
        <v>562</v>
      </c>
      <c r="C155" t="s">
        <v>568</v>
      </c>
      <c r="D155" t="s">
        <v>754</v>
      </c>
      <c r="E155" s="59">
        <v>45456</v>
      </c>
      <c r="F155" t="s">
        <v>754</v>
      </c>
      <c r="G155" t="s">
        <v>755</v>
      </c>
      <c r="H155" t="s">
        <v>34</v>
      </c>
      <c r="I155" t="s">
        <v>353</v>
      </c>
      <c r="J155">
        <v>1</v>
      </c>
      <c r="K155">
        <v>23300</v>
      </c>
      <c r="L155">
        <v>3500</v>
      </c>
      <c r="M155">
        <v>0</v>
      </c>
      <c r="N155" s="59">
        <v>45455</v>
      </c>
      <c r="O155" t="s">
        <v>756</v>
      </c>
      <c r="P155" t="s">
        <v>757</v>
      </c>
      <c r="Q155" t="s">
        <v>758</v>
      </c>
      <c r="R155" t="s">
        <v>563</v>
      </c>
      <c r="S155" s="59"/>
      <c r="T155" t="s">
        <v>758</v>
      </c>
      <c r="U155" t="s">
        <v>759</v>
      </c>
      <c r="V155" t="s">
        <v>571</v>
      </c>
      <c r="W155">
        <v>34020</v>
      </c>
      <c r="X155">
        <v>0</v>
      </c>
      <c r="Y155">
        <v>3000</v>
      </c>
      <c r="Z155">
        <v>0</v>
      </c>
      <c r="AE15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김신 김신 SE.206 투명 530220762695 0502-4800-4396 19100052783568</v>
      </c>
    </row>
    <row r="156" spans="1:31">
      <c r="A156">
        <v>155</v>
      </c>
      <c r="B156" t="s">
        <v>562</v>
      </c>
      <c r="C156" t="s">
        <v>568</v>
      </c>
      <c r="D156" t="s">
        <v>761</v>
      </c>
      <c r="E156" s="59">
        <v>45456</v>
      </c>
      <c r="F156" t="s">
        <v>761</v>
      </c>
      <c r="G156" t="s">
        <v>762</v>
      </c>
      <c r="H156" t="s">
        <v>133</v>
      </c>
      <c r="I156" t="s">
        <v>353</v>
      </c>
      <c r="J156">
        <v>1</v>
      </c>
      <c r="K156">
        <v>3550</v>
      </c>
      <c r="L156">
        <v>3000</v>
      </c>
      <c r="M156">
        <v>0</v>
      </c>
      <c r="N156" s="59">
        <v>45455</v>
      </c>
      <c r="O156" t="s">
        <v>763</v>
      </c>
      <c r="P156" t="s">
        <v>764</v>
      </c>
      <c r="Q156" t="s">
        <v>765</v>
      </c>
      <c r="R156" t="s">
        <v>563</v>
      </c>
      <c r="S156" s="59"/>
      <c r="T156" t="s">
        <v>765</v>
      </c>
      <c r="U156" t="s">
        <v>766</v>
      </c>
      <c r="V156" t="s">
        <v>571</v>
      </c>
      <c r="W156">
        <v>940</v>
      </c>
      <c r="X156">
        <v>0</v>
      </c>
      <c r="Y156">
        <v>3000</v>
      </c>
      <c r="Z156">
        <v>0</v>
      </c>
      <c r="AE15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SE.101 투명 540219665530 0504-4373-2099 20100052706525</v>
      </c>
    </row>
    <row r="157" spans="1:31">
      <c r="A157">
        <v>156</v>
      </c>
      <c r="B157" t="s">
        <v>562</v>
      </c>
      <c r="C157" t="s">
        <v>568</v>
      </c>
      <c r="D157" t="s">
        <v>761</v>
      </c>
      <c r="E157" s="59">
        <v>45456</v>
      </c>
      <c r="F157" t="s">
        <v>761</v>
      </c>
      <c r="G157" t="s">
        <v>762</v>
      </c>
      <c r="H157" t="s">
        <v>125</v>
      </c>
      <c r="I157" t="s">
        <v>353</v>
      </c>
      <c r="J157">
        <v>1</v>
      </c>
      <c r="K157">
        <v>1100</v>
      </c>
      <c r="L157">
        <v>0</v>
      </c>
      <c r="M157">
        <v>0</v>
      </c>
      <c r="N157" s="59">
        <v>45455</v>
      </c>
      <c r="O157" t="s">
        <v>763</v>
      </c>
      <c r="P157" t="s">
        <v>764</v>
      </c>
      <c r="Q157" t="s">
        <v>765</v>
      </c>
      <c r="R157" t="s">
        <v>563</v>
      </c>
      <c r="S157" s="59"/>
      <c r="T157" t="s">
        <v>765</v>
      </c>
      <c r="U157" t="s">
        <v>766</v>
      </c>
      <c r="V157" t="s">
        <v>571</v>
      </c>
      <c r="W157">
        <v>1690</v>
      </c>
      <c r="X157">
        <v>190</v>
      </c>
      <c r="Y157">
        <v>0</v>
      </c>
      <c r="Z157">
        <v>0</v>
      </c>
      <c r="AE15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SE.103 투명 540219665530 0504-4373-2099 20100052706525</v>
      </c>
    </row>
    <row r="158" spans="1:31">
      <c r="A158">
        <v>157</v>
      </c>
      <c r="B158" t="s">
        <v>562</v>
      </c>
      <c r="C158" t="s">
        <v>568</v>
      </c>
      <c r="D158" t="s">
        <v>761</v>
      </c>
      <c r="E158" s="59">
        <v>45456</v>
      </c>
      <c r="F158" t="s">
        <v>761</v>
      </c>
      <c r="G158" t="s">
        <v>762</v>
      </c>
      <c r="H158" t="s">
        <v>118</v>
      </c>
      <c r="I158" t="s">
        <v>353</v>
      </c>
      <c r="J158">
        <v>1</v>
      </c>
      <c r="K158">
        <v>1650</v>
      </c>
      <c r="L158">
        <v>0</v>
      </c>
      <c r="M158">
        <v>0</v>
      </c>
      <c r="N158" s="59">
        <v>45455</v>
      </c>
      <c r="O158" t="s">
        <v>763</v>
      </c>
      <c r="P158" t="s">
        <v>764</v>
      </c>
      <c r="Q158" t="s">
        <v>765</v>
      </c>
      <c r="R158" t="s">
        <v>563</v>
      </c>
      <c r="S158" s="59"/>
      <c r="T158" t="s">
        <v>765</v>
      </c>
      <c r="U158" t="s">
        <v>766</v>
      </c>
      <c r="V158" t="s">
        <v>571</v>
      </c>
      <c r="W158">
        <v>2440</v>
      </c>
      <c r="X158">
        <v>440</v>
      </c>
      <c r="Y158">
        <v>0</v>
      </c>
      <c r="Z158">
        <v>0</v>
      </c>
      <c r="AE15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SE.105 투명 540219665530 0504-4373-2099 20100052706525</v>
      </c>
    </row>
    <row r="159" spans="1:31">
      <c r="A159">
        <v>158</v>
      </c>
      <c r="B159" t="s">
        <v>562</v>
      </c>
      <c r="C159" t="s">
        <v>568</v>
      </c>
      <c r="D159" t="s">
        <v>761</v>
      </c>
      <c r="E159" s="59">
        <v>45456</v>
      </c>
      <c r="F159" t="s">
        <v>761</v>
      </c>
      <c r="G159" t="s">
        <v>762</v>
      </c>
      <c r="H159" t="s">
        <v>129</v>
      </c>
      <c r="I159" t="s">
        <v>353</v>
      </c>
      <c r="J159">
        <v>1</v>
      </c>
      <c r="K159">
        <v>660</v>
      </c>
      <c r="L159">
        <v>0</v>
      </c>
      <c r="M159">
        <v>0</v>
      </c>
      <c r="N159" s="59">
        <v>45455</v>
      </c>
      <c r="O159" t="s">
        <v>763</v>
      </c>
      <c r="P159" t="s">
        <v>764</v>
      </c>
      <c r="Q159" t="s">
        <v>765</v>
      </c>
      <c r="R159" t="s">
        <v>563</v>
      </c>
      <c r="S159" s="59"/>
      <c r="T159" t="s">
        <v>765</v>
      </c>
      <c r="U159" t="s">
        <v>766</v>
      </c>
      <c r="V159" t="s">
        <v>571</v>
      </c>
      <c r="W159">
        <v>1150</v>
      </c>
      <c r="X159">
        <v>0</v>
      </c>
      <c r="Y159">
        <v>0</v>
      </c>
      <c r="Z159">
        <v>0</v>
      </c>
      <c r="AE15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SE.102 투명 540219665530 0504-4373-2099 20100052706525</v>
      </c>
    </row>
    <row r="160" spans="1:31">
      <c r="A160">
        <v>159</v>
      </c>
      <c r="B160" t="s">
        <v>562</v>
      </c>
      <c r="C160" t="s">
        <v>568</v>
      </c>
      <c r="D160" t="s">
        <v>761</v>
      </c>
      <c r="E160" s="59">
        <v>45456</v>
      </c>
      <c r="F160" t="s">
        <v>761</v>
      </c>
      <c r="G160" t="s">
        <v>762</v>
      </c>
      <c r="H160" t="s">
        <v>121</v>
      </c>
      <c r="I160" t="s">
        <v>353</v>
      </c>
      <c r="J160">
        <v>1</v>
      </c>
      <c r="K160">
        <v>1430</v>
      </c>
      <c r="L160">
        <v>0</v>
      </c>
      <c r="M160">
        <v>0</v>
      </c>
      <c r="N160" s="59">
        <v>45455</v>
      </c>
      <c r="O160" t="s">
        <v>763</v>
      </c>
      <c r="P160" t="s">
        <v>764</v>
      </c>
      <c r="Q160" t="s">
        <v>765</v>
      </c>
      <c r="R160" t="s">
        <v>563</v>
      </c>
      <c r="S160" s="59"/>
      <c r="T160" t="s">
        <v>765</v>
      </c>
      <c r="U160" t="s">
        <v>766</v>
      </c>
      <c r="V160" t="s">
        <v>571</v>
      </c>
      <c r="W160">
        <v>2570</v>
      </c>
      <c r="X160">
        <v>140</v>
      </c>
      <c r="Y160">
        <v>0</v>
      </c>
      <c r="Z160">
        <v>0</v>
      </c>
      <c r="AE16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이민석 이민석 SE.104 투명 540219665530 0504-4373-2099 20100052706525</v>
      </c>
    </row>
    <row r="161" spans="1:31">
      <c r="A161">
        <v>160</v>
      </c>
      <c r="B161" t="s">
        <v>562</v>
      </c>
      <c r="C161" t="s">
        <v>568</v>
      </c>
      <c r="D161" t="s">
        <v>771</v>
      </c>
      <c r="E161" s="59">
        <v>45456</v>
      </c>
      <c r="F161" t="s">
        <v>771</v>
      </c>
      <c r="G161" t="s">
        <v>772</v>
      </c>
      <c r="H161" t="s">
        <v>133</v>
      </c>
      <c r="I161" t="s">
        <v>353</v>
      </c>
      <c r="J161">
        <v>10</v>
      </c>
      <c r="K161">
        <v>8500</v>
      </c>
      <c r="L161">
        <v>3000</v>
      </c>
      <c r="M161">
        <v>0</v>
      </c>
      <c r="N161" s="59">
        <v>45455</v>
      </c>
      <c r="O161" t="s">
        <v>773</v>
      </c>
      <c r="P161" t="s">
        <v>774</v>
      </c>
      <c r="Q161" t="s">
        <v>775</v>
      </c>
      <c r="R161" t="s">
        <v>563</v>
      </c>
      <c r="S161" s="59"/>
      <c r="T161" t="s">
        <v>775</v>
      </c>
      <c r="U161" t="s">
        <v>776</v>
      </c>
      <c r="V161" t="s">
        <v>569</v>
      </c>
      <c r="W161">
        <v>9400</v>
      </c>
      <c r="X161">
        <v>0</v>
      </c>
      <c r="Y161">
        <v>3000</v>
      </c>
      <c r="Z161">
        <v>0</v>
      </c>
      <c r="AE16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라세림 라세림 SE.101 투명 540219665541 0502-4197-5787 14100052791852</v>
      </c>
    </row>
    <row r="162" spans="1:31">
      <c r="A162">
        <v>161</v>
      </c>
      <c r="B162" t="s">
        <v>562</v>
      </c>
      <c r="C162" t="s">
        <v>561</v>
      </c>
      <c r="D162" t="s">
        <v>778</v>
      </c>
      <c r="E162" s="59">
        <v>45456</v>
      </c>
      <c r="F162" t="s">
        <v>778</v>
      </c>
      <c r="G162" t="s">
        <v>780</v>
      </c>
      <c r="H162" t="s">
        <v>118</v>
      </c>
      <c r="I162" t="s">
        <v>353</v>
      </c>
      <c r="J162">
        <v>3</v>
      </c>
      <c r="K162">
        <v>7950</v>
      </c>
      <c r="L162">
        <v>3000</v>
      </c>
      <c r="M162">
        <v>0</v>
      </c>
      <c r="N162" s="59">
        <v>45455</v>
      </c>
      <c r="O162" t="s">
        <v>782</v>
      </c>
      <c r="P162" t="s">
        <v>783</v>
      </c>
      <c r="Q162" t="s">
        <v>784</v>
      </c>
      <c r="R162" t="s">
        <v>563</v>
      </c>
      <c r="S162" s="59"/>
      <c r="T162" t="s">
        <v>784</v>
      </c>
      <c r="U162" t="s">
        <v>786</v>
      </c>
      <c r="W162">
        <v>8340</v>
      </c>
      <c r="X162">
        <v>0</v>
      </c>
      <c r="Y162">
        <v>3000</v>
      </c>
      <c r="Z162">
        <v>0</v>
      </c>
      <c r="AE16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박희용 박희용 SE.105 투명 540219665563 010-4024-8302 2024061227356571</v>
      </c>
    </row>
    <row r="163" spans="1:31">
      <c r="A163">
        <v>162</v>
      </c>
      <c r="B163" t="s">
        <v>562</v>
      </c>
      <c r="C163" t="s">
        <v>561</v>
      </c>
      <c r="D163" t="s">
        <v>794</v>
      </c>
      <c r="E163" s="59">
        <v>45456</v>
      </c>
      <c r="F163" t="s">
        <v>789</v>
      </c>
      <c r="G163" t="s">
        <v>791</v>
      </c>
      <c r="H163" t="s">
        <v>24</v>
      </c>
      <c r="I163" t="s">
        <v>353</v>
      </c>
      <c r="J163">
        <v>3</v>
      </c>
      <c r="K163">
        <v>31550</v>
      </c>
      <c r="L163">
        <v>3500</v>
      </c>
      <c r="M163">
        <v>0</v>
      </c>
      <c r="N163" s="59">
        <v>45455</v>
      </c>
      <c r="O163" t="s">
        <v>793</v>
      </c>
      <c r="P163" t="s">
        <v>795</v>
      </c>
      <c r="Q163" t="s">
        <v>796</v>
      </c>
      <c r="R163" t="s">
        <v>563</v>
      </c>
      <c r="S163" s="59"/>
      <c r="T163" t="s">
        <v>797</v>
      </c>
      <c r="U163" t="s">
        <v>798</v>
      </c>
      <c r="W163">
        <v>41310</v>
      </c>
      <c r="X163">
        <v>4590</v>
      </c>
      <c r="Y163">
        <v>0</v>
      </c>
      <c r="Z163">
        <v>0</v>
      </c>
      <c r="AE16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박순애 담양한과 SE.304 투명 540219665596 061-383-8283 2024061224945501</v>
      </c>
    </row>
    <row r="164" spans="1:31">
      <c r="A164">
        <v>163</v>
      </c>
      <c r="B164" t="s">
        <v>562</v>
      </c>
      <c r="C164" t="s">
        <v>561</v>
      </c>
      <c r="D164" t="s">
        <v>800</v>
      </c>
      <c r="E164" s="59">
        <v>45456</v>
      </c>
      <c r="F164" t="s">
        <v>800</v>
      </c>
      <c r="G164" t="s">
        <v>802</v>
      </c>
      <c r="H164" t="s">
        <v>42</v>
      </c>
      <c r="I164" t="s">
        <v>353</v>
      </c>
      <c r="J164">
        <v>1</v>
      </c>
      <c r="K164">
        <v>14000</v>
      </c>
      <c r="L164">
        <v>3000</v>
      </c>
      <c r="M164">
        <v>0</v>
      </c>
      <c r="N164" s="59">
        <v>45455</v>
      </c>
      <c r="O164" t="s">
        <v>804</v>
      </c>
      <c r="P164" t="s">
        <v>805</v>
      </c>
      <c r="Q164" t="s">
        <v>806</v>
      </c>
      <c r="R164" t="s">
        <v>563</v>
      </c>
      <c r="S164" s="59"/>
      <c r="T164" t="s">
        <v>806</v>
      </c>
      <c r="U164" t="s">
        <v>807</v>
      </c>
      <c r="W164">
        <v>16200</v>
      </c>
      <c r="X164">
        <v>1800</v>
      </c>
      <c r="Y164">
        <v>3000</v>
      </c>
      <c r="Z164">
        <v>0</v>
      </c>
      <c r="AE16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황중섭 황중섭 SE.202 투명 540219665574 010-7631-2233 2024061218576421</v>
      </c>
    </row>
    <row r="165" spans="1:31">
      <c r="A165">
        <v>164</v>
      </c>
      <c r="B165" t="s">
        <v>673</v>
      </c>
      <c r="C165" t="s">
        <v>561</v>
      </c>
      <c r="D165" t="s">
        <v>1890</v>
      </c>
      <c r="E165" s="59">
        <v>45457</v>
      </c>
      <c r="F165" t="s">
        <v>1885</v>
      </c>
      <c r="G165" t="s">
        <v>1887</v>
      </c>
      <c r="H165" t="s">
        <v>22</v>
      </c>
      <c r="I165" t="s">
        <v>353</v>
      </c>
      <c r="J165">
        <v>2</v>
      </c>
      <c r="K165">
        <v>0</v>
      </c>
      <c r="L165">
        <v>4400</v>
      </c>
      <c r="M165">
        <v>0</v>
      </c>
      <c r="N165" s="59">
        <v>45457</v>
      </c>
      <c r="O165" t="s">
        <v>1889</v>
      </c>
      <c r="P165" t="s">
        <v>1891</v>
      </c>
      <c r="Q165" t="s">
        <v>1892</v>
      </c>
      <c r="R165" t="s">
        <v>563</v>
      </c>
      <c r="S165" s="59"/>
      <c r="T165" t="s">
        <v>1892</v>
      </c>
      <c r="U165" t="s">
        <v>1894</v>
      </c>
      <c r="W165">
        <v>36800</v>
      </c>
      <c r="X165">
        <v>0</v>
      </c>
      <c r="Y165">
        <v>0</v>
      </c>
      <c r="Z165">
        <v>0</v>
      </c>
      <c r="AE16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SE.305 투명 540220887192 010-5367-6762 2024061488329411</v>
      </c>
    </row>
    <row r="166" spans="1:31">
      <c r="A166">
        <v>165</v>
      </c>
      <c r="B166" t="s">
        <v>673</v>
      </c>
      <c r="C166" t="s">
        <v>561</v>
      </c>
      <c r="D166" t="s">
        <v>1890</v>
      </c>
      <c r="E166" s="59">
        <v>45457</v>
      </c>
      <c r="F166" t="s">
        <v>1885</v>
      </c>
      <c r="G166" t="s">
        <v>1887</v>
      </c>
      <c r="H166" t="s">
        <v>30</v>
      </c>
      <c r="I166" t="s">
        <v>353</v>
      </c>
      <c r="J166">
        <v>1</v>
      </c>
      <c r="K166">
        <v>0</v>
      </c>
      <c r="L166">
        <v>0</v>
      </c>
      <c r="M166">
        <v>0</v>
      </c>
      <c r="N166" s="59">
        <v>45457</v>
      </c>
      <c r="O166" t="s">
        <v>1897</v>
      </c>
      <c r="P166" t="s">
        <v>1891</v>
      </c>
      <c r="Q166" t="s">
        <v>1892</v>
      </c>
      <c r="R166" t="s">
        <v>563</v>
      </c>
      <c r="S166" s="59"/>
      <c r="T166" t="s">
        <v>1892</v>
      </c>
      <c r="U166" t="s">
        <v>1894</v>
      </c>
      <c r="W166">
        <v>10560</v>
      </c>
      <c r="X166">
        <v>0</v>
      </c>
      <c r="Y166">
        <v>0</v>
      </c>
      <c r="Z166">
        <v>0</v>
      </c>
      <c r="AE16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SE.301 투명 540220887192 010-5367-6762 2024061488329401</v>
      </c>
    </row>
    <row r="167" spans="1:31">
      <c r="A167">
        <v>166</v>
      </c>
      <c r="B167" t="s">
        <v>673</v>
      </c>
      <c r="C167" t="s">
        <v>561</v>
      </c>
      <c r="D167" t="s">
        <v>1890</v>
      </c>
      <c r="E167" s="59">
        <v>45457</v>
      </c>
      <c r="F167" t="s">
        <v>1885</v>
      </c>
      <c r="G167" t="s">
        <v>1887</v>
      </c>
      <c r="H167" t="s">
        <v>26</v>
      </c>
      <c r="I167" t="s">
        <v>353</v>
      </c>
      <c r="J167">
        <v>2</v>
      </c>
      <c r="K167">
        <v>0</v>
      </c>
      <c r="L167">
        <v>0</v>
      </c>
      <c r="M167">
        <v>0</v>
      </c>
      <c r="N167" s="59">
        <v>45457</v>
      </c>
      <c r="O167" t="s">
        <v>1898</v>
      </c>
      <c r="P167" t="s">
        <v>1891</v>
      </c>
      <c r="Q167" t="s">
        <v>1892</v>
      </c>
      <c r="R167" t="s">
        <v>563</v>
      </c>
      <c r="S167" s="59"/>
      <c r="T167" t="s">
        <v>1892</v>
      </c>
      <c r="U167" t="s">
        <v>1894</v>
      </c>
      <c r="W167">
        <v>43840</v>
      </c>
      <c r="X167">
        <v>0</v>
      </c>
      <c r="Y167">
        <v>0</v>
      </c>
      <c r="Z167">
        <v>0</v>
      </c>
      <c r="AE16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서치식 서유승 SE.303 투명 540220887192 010-5367-6762 2024061488329391</v>
      </c>
    </row>
    <row r="168" spans="1:31">
      <c r="A168">
        <v>167</v>
      </c>
      <c r="B168" t="s">
        <v>673</v>
      </c>
      <c r="C168" t="s">
        <v>561</v>
      </c>
      <c r="D168" t="s">
        <v>1899</v>
      </c>
      <c r="E168" s="59">
        <v>45457</v>
      </c>
      <c r="F168" t="s">
        <v>1899</v>
      </c>
      <c r="G168" t="s">
        <v>1900</v>
      </c>
      <c r="H168" t="s">
        <v>36</v>
      </c>
      <c r="I168" t="s">
        <v>353</v>
      </c>
      <c r="J168">
        <v>2</v>
      </c>
      <c r="K168">
        <v>0</v>
      </c>
      <c r="L168">
        <v>4400</v>
      </c>
      <c r="M168">
        <v>0</v>
      </c>
      <c r="N168" s="59">
        <v>45456</v>
      </c>
      <c r="O168" t="s">
        <v>1902</v>
      </c>
      <c r="P168" t="s">
        <v>1903</v>
      </c>
      <c r="Q168" t="s">
        <v>1904</v>
      </c>
      <c r="R168" t="s">
        <v>563</v>
      </c>
      <c r="S168" s="59"/>
      <c r="T168" t="s">
        <v>1904</v>
      </c>
      <c r="U168" t="s">
        <v>1905</v>
      </c>
      <c r="W168">
        <v>48000</v>
      </c>
      <c r="X168">
        <v>0</v>
      </c>
      <c r="Y168">
        <v>0</v>
      </c>
      <c r="Z168">
        <v>0</v>
      </c>
      <c r="AE16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스마트 스토어 정은혜 정은혜 SE.205 투명 530221962053 010-3652-1436 2024061366372881</v>
      </c>
    </row>
    <row r="169" spans="1:31">
      <c r="A169">
        <v>168</v>
      </c>
      <c r="B169" t="s">
        <v>562</v>
      </c>
      <c r="C169" t="s">
        <v>568</v>
      </c>
      <c r="D169" t="s">
        <v>1907</v>
      </c>
      <c r="E169" s="59">
        <v>45457</v>
      </c>
      <c r="F169" t="s">
        <v>1907</v>
      </c>
      <c r="G169" t="s">
        <v>1908</v>
      </c>
      <c r="H169" t="s">
        <v>34</v>
      </c>
      <c r="I169" t="s">
        <v>353</v>
      </c>
      <c r="J169">
        <v>1</v>
      </c>
      <c r="K169">
        <v>23300</v>
      </c>
      <c r="L169">
        <v>3500</v>
      </c>
      <c r="M169">
        <v>0</v>
      </c>
      <c r="N169" s="59">
        <v>45456</v>
      </c>
      <c r="O169" t="s">
        <v>1909</v>
      </c>
      <c r="P169" t="s">
        <v>1910</v>
      </c>
      <c r="Q169" t="s">
        <v>1911</v>
      </c>
      <c r="R169" t="s">
        <v>563</v>
      </c>
      <c r="S169" s="59"/>
      <c r="T169" t="s">
        <v>1911</v>
      </c>
      <c r="U169" t="s">
        <v>1912</v>
      </c>
      <c r="V169" t="s">
        <v>571</v>
      </c>
      <c r="W169">
        <v>34020</v>
      </c>
      <c r="X169">
        <v>0</v>
      </c>
      <c r="Y169">
        <v>3000</v>
      </c>
      <c r="Z169">
        <v>0</v>
      </c>
      <c r="AE16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이혜원 이혜원 SE.206 투명 530221956313 0502-1243-1345 15100052913982</v>
      </c>
    </row>
    <row r="170" spans="1:31">
      <c r="A170">
        <v>169</v>
      </c>
      <c r="B170" t="s">
        <v>562</v>
      </c>
      <c r="C170" t="s">
        <v>568</v>
      </c>
      <c r="D170" t="s">
        <v>1914</v>
      </c>
      <c r="E170" s="59">
        <v>45457</v>
      </c>
      <c r="F170" t="s">
        <v>1914</v>
      </c>
      <c r="G170" t="s">
        <v>1916</v>
      </c>
      <c r="H170" t="s">
        <v>52</v>
      </c>
      <c r="I170" t="s">
        <v>353</v>
      </c>
      <c r="J170">
        <v>8</v>
      </c>
      <c r="K170">
        <v>10540</v>
      </c>
      <c r="L170">
        <v>3500</v>
      </c>
      <c r="M170">
        <v>0</v>
      </c>
      <c r="N170" s="59">
        <v>45456</v>
      </c>
      <c r="O170" t="s">
        <v>1917</v>
      </c>
      <c r="P170" t="s">
        <v>1918</v>
      </c>
      <c r="Q170" t="s">
        <v>1919</v>
      </c>
      <c r="R170" t="s">
        <v>563</v>
      </c>
      <c r="S170" s="59"/>
      <c r="T170" t="s">
        <v>1919</v>
      </c>
      <c r="U170" t="s">
        <v>1920</v>
      </c>
      <c r="V170" t="s">
        <v>571</v>
      </c>
      <c r="W170">
        <v>13440</v>
      </c>
      <c r="X170">
        <v>0</v>
      </c>
      <c r="Y170">
        <v>0</v>
      </c>
      <c r="Z170">
        <v>0</v>
      </c>
      <c r="AE17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SE.137 투명 530221956405 0502-4691-6905 3100053050540</v>
      </c>
    </row>
    <row r="171" spans="1:31">
      <c r="A171">
        <v>170</v>
      </c>
      <c r="B171" t="s">
        <v>562</v>
      </c>
      <c r="C171" t="s">
        <v>568</v>
      </c>
      <c r="D171" t="s">
        <v>1914</v>
      </c>
      <c r="E171" s="59">
        <v>45457</v>
      </c>
      <c r="F171" t="s">
        <v>1914</v>
      </c>
      <c r="G171" t="s">
        <v>1916</v>
      </c>
      <c r="H171" t="s">
        <v>286</v>
      </c>
      <c r="I171" t="s">
        <v>353</v>
      </c>
      <c r="J171">
        <v>6</v>
      </c>
      <c r="K171">
        <v>7260</v>
      </c>
      <c r="L171">
        <v>0</v>
      </c>
      <c r="M171">
        <v>0</v>
      </c>
      <c r="N171" s="59">
        <v>45456</v>
      </c>
      <c r="O171" t="s">
        <v>1917</v>
      </c>
      <c r="P171" t="s">
        <v>1918</v>
      </c>
      <c r="Q171" t="s">
        <v>1919</v>
      </c>
      <c r="R171" t="s">
        <v>563</v>
      </c>
      <c r="S171" s="59"/>
      <c r="T171" t="s">
        <v>1919</v>
      </c>
      <c r="U171" t="s">
        <v>1920</v>
      </c>
      <c r="V171" t="s">
        <v>571</v>
      </c>
      <c r="W171">
        <v>11280</v>
      </c>
      <c r="X171">
        <v>1260</v>
      </c>
      <c r="Y171">
        <v>0</v>
      </c>
      <c r="Z171">
        <v>0</v>
      </c>
      <c r="AE171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SE.5 투명 530221956405 0502-4691-6905 3100053050540</v>
      </c>
    </row>
    <row r="172" spans="1:31">
      <c r="A172">
        <v>171</v>
      </c>
      <c r="B172" t="s">
        <v>562</v>
      </c>
      <c r="C172" t="s">
        <v>568</v>
      </c>
      <c r="D172" t="s">
        <v>1914</v>
      </c>
      <c r="E172" s="59">
        <v>45457</v>
      </c>
      <c r="F172" t="s">
        <v>1914</v>
      </c>
      <c r="G172" t="s">
        <v>1916</v>
      </c>
      <c r="H172" t="s">
        <v>129</v>
      </c>
      <c r="I172" t="s">
        <v>353</v>
      </c>
      <c r="J172">
        <v>9</v>
      </c>
      <c r="K172">
        <v>5940</v>
      </c>
      <c r="L172">
        <v>0</v>
      </c>
      <c r="M172">
        <v>0</v>
      </c>
      <c r="N172" s="59">
        <v>45456</v>
      </c>
      <c r="O172" t="s">
        <v>1917</v>
      </c>
      <c r="P172" t="s">
        <v>1918</v>
      </c>
      <c r="Q172" t="s">
        <v>1919</v>
      </c>
      <c r="R172" t="s">
        <v>563</v>
      </c>
      <c r="S172" s="59"/>
      <c r="T172" t="s">
        <v>1919</v>
      </c>
      <c r="U172" t="s">
        <v>1920</v>
      </c>
      <c r="V172" t="s">
        <v>571</v>
      </c>
      <c r="W172">
        <v>10350</v>
      </c>
      <c r="X172">
        <v>0</v>
      </c>
      <c r="Y172">
        <v>0</v>
      </c>
      <c r="Z172">
        <v>0</v>
      </c>
      <c r="AE172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이경근 이경근 SE.102 투명 530221956405 0502-4691-6905 3100053050540</v>
      </c>
    </row>
    <row r="173" spans="1:31">
      <c r="A173">
        <v>172</v>
      </c>
      <c r="B173" t="s">
        <v>562</v>
      </c>
      <c r="C173" t="s">
        <v>568</v>
      </c>
      <c r="D173" t="s">
        <v>1926</v>
      </c>
      <c r="E173" s="59">
        <v>45457</v>
      </c>
      <c r="F173" t="s">
        <v>1923</v>
      </c>
      <c r="G173" t="s">
        <v>1924</v>
      </c>
      <c r="H173" t="s">
        <v>125</v>
      </c>
      <c r="I173" t="s">
        <v>353</v>
      </c>
      <c r="J173">
        <v>10</v>
      </c>
      <c r="K173">
        <v>14000</v>
      </c>
      <c r="L173">
        <v>3000</v>
      </c>
      <c r="M173">
        <v>0</v>
      </c>
      <c r="N173" s="59">
        <v>45456</v>
      </c>
      <c r="O173" t="s">
        <v>1925</v>
      </c>
      <c r="P173" t="s">
        <v>1927</v>
      </c>
      <c r="Q173" t="s">
        <v>1928</v>
      </c>
      <c r="R173" t="s">
        <v>563</v>
      </c>
      <c r="S173" s="59"/>
      <c r="T173" t="s">
        <v>1928</v>
      </c>
      <c r="U173" t="s">
        <v>1929</v>
      </c>
      <c r="V173" t="s">
        <v>571</v>
      </c>
      <c r="W173">
        <v>16900</v>
      </c>
      <c r="X173">
        <v>1900</v>
      </c>
      <c r="Y173">
        <v>0</v>
      </c>
      <c r="Z173">
        <v>0</v>
      </c>
      <c r="AE173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김창우 아시아마트 SE.103 투명 530221956324 0504-4976-4213 5100052864365</v>
      </c>
    </row>
    <row r="174" spans="1:31">
      <c r="A174">
        <v>173</v>
      </c>
      <c r="B174" t="s">
        <v>562</v>
      </c>
      <c r="C174" t="s">
        <v>568</v>
      </c>
      <c r="D174" t="s">
        <v>1931</v>
      </c>
      <c r="E174" s="59">
        <v>45457</v>
      </c>
      <c r="F174" t="s">
        <v>1931</v>
      </c>
      <c r="G174" t="s">
        <v>1932</v>
      </c>
      <c r="H174" t="s">
        <v>98</v>
      </c>
      <c r="I174" t="s">
        <v>353</v>
      </c>
      <c r="J174">
        <v>3</v>
      </c>
      <c r="K174">
        <v>15380</v>
      </c>
      <c r="L174">
        <v>3500</v>
      </c>
      <c r="M174">
        <v>0</v>
      </c>
      <c r="N174" s="59">
        <v>45457</v>
      </c>
      <c r="O174" t="s">
        <v>1933</v>
      </c>
      <c r="P174" t="s">
        <v>1934</v>
      </c>
      <c r="Q174" t="s">
        <v>1935</v>
      </c>
      <c r="R174" t="s">
        <v>563</v>
      </c>
      <c r="S174" s="59"/>
      <c r="T174" t="s">
        <v>1935</v>
      </c>
      <c r="U174" t="s">
        <v>1936</v>
      </c>
      <c r="V174" t="s">
        <v>571</v>
      </c>
      <c r="W174">
        <v>20400</v>
      </c>
      <c r="X174">
        <v>0</v>
      </c>
      <c r="Y174">
        <v>0</v>
      </c>
      <c r="Z174">
        <v>0</v>
      </c>
      <c r="AE174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쿠팡 김명석 김명석 SE.114 투명 530221956346 0502-1771-0620 1100052867012</v>
      </c>
    </row>
    <row r="175" spans="1:31">
      <c r="A175">
        <v>174</v>
      </c>
      <c r="B175" t="s">
        <v>562</v>
      </c>
      <c r="C175" t="s">
        <v>561</v>
      </c>
      <c r="D175" t="s">
        <v>1938</v>
      </c>
      <c r="E175" s="59">
        <v>45457</v>
      </c>
      <c r="F175" t="s">
        <v>1938</v>
      </c>
      <c r="G175" t="s">
        <v>1940</v>
      </c>
      <c r="H175" t="s">
        <v>129</v>
      </c>
      <c r="I175" t="s">
        <v>353</v>
      </c>
      <c r="J175">
        <v>10</v>
      </c>
      <c r="K175">
        <v>9600</v>
      </c>
      <c r="L175">
        <v>3000</v>
      </c>
      <c r="M175">
        <v>0</v>
      </c>
      <c r="N175" s="59">
        <v>45457</v>
      </c>
      <c r="O175" t="s">
        <v>1942</v>
      </c>
      <c r="P175" t="s">
        <v>1943</v>
      </c>
      <c r="Q175" t="s">
        <v>1944</v>
      </c>
      <c r="R175" t="s">
        <v>563</v>
      </c>
      <c r="S175" s="59"/>
      <c r="T175" t="s">
        <v>1944</v>
      </c>
      <c r="U175" t="s">
        <v>1945</v>
      </c>
      <c r="V175" t="s">
        <v>1354</v>
      </c>
      <c r="W175">
        <v>10800</v>
      </c>
      <c r="X175">
        <v>0</v>
      </c>
      <c r="Y175">
        <v>3000</v>
      </c>
      <c r="Z175">
        <v>0</v>
      </c>
      <c r="AE175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노현주 노현주 SE.102 투명 530221956291 010-5624-9942 2024061482493251</v>
      </c>
    </row>
    <row r="176" spans="1:31">
      <c r="A176">
        <v>175</v>
      </c>
      <c r="B176" t="s">
        <v>562</v>
      </c>
      <c r="C176" t="s">
        <v>561</v>
      </c>
      <c r="D176" t="s">
        <v>1948</v>
      </c>
      <c r="E176" s="59">
        <v>45457</v>
      </c>
      <c r="F176" t="s">
        <v>1948</v>
      </c>
      <c r="G176" t="s">
        <v>1949</v>
      </c>
      <c r="H176" t="s">
        <v>34</v>
      </c>
      <c r="I176" t="s">
        <v>353</v>
      </c>
      <c r="J176">
        <v>1</v>
      </c>
      <c r="K176">
        <v>23300</v>
      </c>
      <c r="L176">
        <v>3500</v>
      </c>
      <c r="M176">
        <v>0</v>
      </c>
      <c r="N176" s="59">
        <v>45457</v>
      </c>
      <c r="O176" t="s">
        <v>1951</v>
      </c>
      <c r="P176" t="s">
        <v>1952</v>
      </c>
      <c r="Q176" t="s">
        <v>1953</v>
      </c>
      <c r="R176" t="s">
        <v>563</v>
      </c>
      <c r="S176" s="59"/>
      <c r="T176" t="s">
        <v>1953</v>
      </c>
      <c r="U176" t="s">
        <v>1954</v>
      </c>
      <c r="W176">
        <v>28620</v>
      </c>
      <c r="X176">
        <v>3180</v>
      </c>
      <c r="Y176">
        <v>0</v>
      </c>
      <c r="Z176">
        <v>0</v>
      </c>
      <c r="AE176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SE.206 투명 540220887284 010-7933-1436 2024061481330401</v>
      </c>
    </row>
    <row r="177" spans="1:31">
      <c r="A177">
        <v>176</v>
      </c>
      <c r="B177" t="s">
        <v>562</v>
      </c>
      <c r="C177" t="s">
        <v>561</v>
      </c>
      <c r="D177" t="s">
        <v>1948</v>
      </c>
      <c r="E177" s="59">
        <v>45457</v>
      </c>
      <c r="F177" t="s">
        <v>1948</v>
      </c>
      <c r="G177" t="s">
        <v>1949</v>
      </c>
      <c r="H177" t="s">
        <v>24</v>
      </c>
      <c r="I177" t="s">
        <v>353</v>
      </c>
      <c r="J177">
        <v>1</v>
      </c>
      <c r="K177">
        <v>9350</v>
      </c>
      <c r="L177">
        <v>0</v>
      </c>
      <c r="M177">
        <v>0</v>
      </c>
      <c r="N177" s="59">
        <v>45457</v>
      </c>
      <c r="O177" t="s">
        <v>1956</v>
      </c>
      <c r="P177" t="s">
        <v>1952</v>
      </c>
      <c r="Q177" t="s">
        <v>1953</v>
      </c>
      <c r="R177" t="s">
        <v>563</v>
      </c>
      <c r="S177" s="59"/>
      <c r="T177" t="s">
        <v>1953</v>
      </c>
      <c r="U177" t="s">
        <v>1954</v>
      </c>
      <c r="W177">
        <v>13770</v>
      </c>
      <c r="X177">
        <v>1530</v>
      </c>
      <c r="Y177">
        <v>0</v>
      </c>
      <c r="Z177">
        <v>0</v>
      </c>
      <c r="AE177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박지숙 박지숙 SE.304 투명 540220887284 010-7933-1436 2024061481330391</v>
      </c>
    </row>
    <row r="178" spans="1:31">
      <c r="A178">
        <v>177</v>
      </c>
      <c r="B178" t="s">
        <v>562</v>
      </c>
      <c r="C178" t="s">
        <v>561</v>
      </c>
      <c r="D178" t="s">
        <v>1957</v>
      </c>
      <c r="E178" s="59">
        <v>45457</v>
      </c>
      <c r="F178" t="s">
        <v>1957</v>
      </c>
      <c r="G178" t="s">
        <v>1958</v>
      </c>
      <c r="H178" t="s">
        <v>44</v>
      </c>
      <c r="I178" t="s">
        <v>353</v>
      </c>
      <c r="J178">
        <v>2</v>
      </c>
      <c r="K178">
        <v>24200</v>
      </c>
      <c r="L178">
        <v>4400</v>
      </c>
      <c r="M178">
        <v>0</v>
      </c>
      <c r="N178" s="59">
        <v>45456</v>
      </c>
      <c r="O178" t="s">
        <v>1960</v>
      </c>
      <c r="P178" t="s">
        <v>1961</v>
      </c>
      <c r="Q178" t="s">
        <v>1962</v>
      </c>
      <c r="R178" t="s">
        <v>563</v>
      </c>
      <c r="S178" s="59"/>
      <c r="T178" t="s">
        <v>1962</v>
      </c>
      <c r="U178" t="s">
        <v>1963</v>
      </c>
      <c r="W178">
        <v>29160</v>
      </c>
      <c r="X178">
        <v>3240</v>
      </c>
      <c r="Y178">
        <v>0</v>
      </c>
      <c r="Z178">
        <v>0</v>
      </c>
      <c r="AE178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SE.201 투명 540220887015 010-4184-2843 2024061363875971</v>
      </c>
    </row>
    <row r="179" spans="1:31">
      <c r="A179">
        <v>178</v>
      </c>
      <c r="B179" t="s">
        <v>562</v>
      </c>
      <c r="C179" t="s">
        <v>561</v>
      </c>
      <c r="D179" t="s">
        <v>1957</v>
      </c>
      <c r="E179" s="59">
        <v>45457</v>
      </c>
      <c r="F179" t="s">
        <v>1957</v>
      </c>
      <c r="G179" t="s">
        <v>1958</v>
      </c>
      <c r="H179" t="s">
        <v>34</v>
      </c>
      <c r="I179" t="s">
        <v>353</v>
      </c>
      <c r="J179">
        <v>1</v>
      </c>
      <c r="K179">
        <v>19800</v>
      </c>
      <c r="L179">
        <v>0</v>
      </c>
      <c r="M179">
        <v>0</v>
      </c>
      <c r="N179" s="59">
        <v>45456</v>
      </c>
      <c r="O179" t="s">
        <v>1965</v>
      </c>
      <c r="P179" t="s">
        <v>1961</v>
      </c>
      <c r="Q179" t="s">
        <v>1962</v>
      </c>
      <c r="R179" t="s">
        <v>563</v>
      </c>
      <c r="S179" s="59"/>
      <c r="T179" t="s">
        <v>1962</v>
      </c>
      <c r="U179" t="s">
        <v>1963</v>
      </c>
      <c r="W179">
        <v>28620</v>
      </c>
      <c r="X179">
        <v>3180</v>
      </c>
      <c r="Y179">
        <v>0</v>
      </c>
      <c r="Z179">
        <v>0</v>
      </c>
      <c r="AE179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비닐스토리 스마트 스토어 안민호 안민호 SE.206 투명 540220887015 010-4184-2843 2024061363875961</v>
      </c>
    </row>
    <row r="180" spans="1:31">
      <c r="A180">
        <v>179</v>
      </c>
      <c r="B180" t="s">
        <v>673</v>
      </c>
      <c r="C180" t="s">
        <v>568</v>
      </c>
      <c r="D180" t="s">
        <v>1966</v>
      </c>
      <c r="E180" s="59">
        <v>45457</v>
      </c>
      <c r="F180" t="s">
        <v>1966</v>
      </c>
      <c r="G180" t="s">
        <v>1967</v>
      </c>
      <c r="H180" t="s">
        <v>34</v>
      </c>
      <c r="I180" t="s">
        <v>353</v>
      </c>
      <c r="J180">
        <v>1</v>
      </c>
      <c r="K180">
        <v>0</v>
      </c>
      <c r="L180">
        <v>3500</v>
      </c>
      <c r="M180">
        <v>0</v>
      </c>
      <c r="N180" s="59">
        <v>45457</v>
      </c>
      <c r="O180" t="s">
        <v>1968</v>
      </c>
      <c r="P180" t="s">
        <v>1969</v>
      </c>
      <c r="Q180" t="s">
        <v>1970</v>
      </c>
      <c r="R180" t="s">
        <v>563</v>
      </c>
      <c r="S180" s="59"/>
      <c r="T180" t="s">
        <v>1970</v>
      </c>
      <c r="U180" t="s">
        <v>1971</v>
      </c>
      <c r="V180" t="s">
        <v>571</v>
      </c>
      <c r="W180">
        <v>30240</v>
      </c>
      <c r="X180">
        <v>0</v>
      </c>
      <c r="Y180">
        <v>3000</v>
      </c>
      <c r="Z180">
        <v>0</v>
      </c>
      <c r="AE180" t="str">
        <f>출고표1[[#This Row],[쇼핑몰구분]]&amp;" "&amp;출고표1[[#This Row],[판매채널]]&amp;" "&amp;출고표1[[#This Row],[구매자명]]&amp;" "&amp;출고표1[[#This Row],[수취인명]]&amp;" "&amp;출고표1[[#This Row],[상품명]]&amp;" "&amp;출고표1[[#This Row],[옵션정보]]&amp;" "&amp;출고표1[[#This Row],[송장번호]]&amp;" "&amp;출고표1[[#This Row],[수취인연락처1]]&amp;" "&amp;출고표1[[#This Row],[상품주문번호]]</f>
        <v>비닐팩토리 쿠팡 전경숙 전경숙 SE.206 투명 540220887030 0504-4937-7658 8100053068945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80D34-7BDD-432F-95A2-90EFE0B68C29}">
  <sheetPr codeName="Sheet9"/>
  <dimension ref="A1:AW73"/>
  <sheetViews>
    <sheetView topLeftCell="AI1" workbookViewId="0">
      <selection activeCell="AW1" sqref="AW1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16.375" bestFit="1" customWidth="1"/>
    <col min="7" max="7" width="12.2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18.625" bestFit="1" customWidth="1"/>
    <col min="17" max="18" width="16.5" bestFit="1" customWidth="1"/>
    <col min="19" max="19" width="81" bestFit="1" customWidth="1"/>
    <col min="20" max="20" width="26.25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</cols>
  <sheetData>
    <row r="1" spans="1:49">
      <c r="A1" t="s">
        <v>660</v>
      </c>
      <c r="B1" t="s">
        <v>539</v>
      </c>
      <c r="C1" t="s">
        <v>540</v>
      </c>
      <c r="D1" t="s">
        <v>633</v>
      </c>
      <c r="E1" t="s">
        <v>538</v>
      </c>
      <c r="F1" t="s">
        <v>313</v>
      </c>
      <c r="G1" t="s">
        <v>632</v>
      </c>
      <c r="H1" t="s">
        <v>544</v>
      </c>
      <c r="I1" t="s">
        <v>127</v>
      </c>
      <c r="J1" t="s">
        <v>546</v>
      </c>
      <c r="K1" t="s">
        <v>116</v>
      </c>
      <c r="L1" t="s">
        <v>840</v>
      </c>
      <c r="M1" t="s">
        <v>113</v>
      </c>
      <c r="N1" t="s">
        <v>624</v>
      </c>
      <c r="O1" t="s">
        <v>536</v>
      </c>
      <c r="P1" t="s">
        <v>123</v>
      </c>
      <c r="Q1" t="s">
        <v>626</v>
      </c>
      <c r="R1" t="s">
        <v>625</v>
      </c>
      <c r="S1" t="s">
        <v>549</v>
      </c>
      <c r="T1" t="s">
        <v>550</v>
      </c>
      <c r="U1" t="s">
        <v>847</v>
      </c>
      <c r="V1" t="s">
        <v>825</v>
      </c>
      <c r="W1" t="s">
        <v>841</v>
      </c>
      <c r="X1" t="s">
        <v>845</v>
      </c>
      <c r="Y1" t="s">
        <v>842</v>
      </c>
      <c r="Z1" t="s">
        <v>817</v>
      </c>
      <c r="AA1" t="s">
        <v>846</v>
      </c>
      <c r="AB1" t="s">
        <v>824</v>
      </c>
      <c r="AC1" t="s">
        <v>843</v>
      </c>
      <c r="AD1" t="s">
        <v>839</v>
      </c>
      <c r="AE1" t="s">
        <v>822</v>
      </c>
      <c r="AF1" t="s">
        <v>863</v>
      </c>
      <c r="AG1" t="s">
        <v>864</v>
      </c>
      <c r="AH1" t="s">
        <v>865</v>
      </c>
      <c r="AI1" t="s">
        <v>119</v>
      </c>
      <c r="AJ1" t="s">
        <v>866</v>
      </c>
      <c r="AK1" t="s">
        <v>820</v>
      </c>
      <c r="AL1" t="s">
        <v>821</v>
      </c>
      <c r="AM1" t="s">
        <v>844</v>
      </c>
      <c r="AN1" t="s">
        <v>867</v>
      </c>
      <c r="AO1" t="s">
        <v>701</v>
      </c>
      <c r="AP1" t="s">
        <v>868</v>
      </c>
      <c r="AQ1" t="s">
        <v>869</v>
      </c>
      <c r="AR1" t="s">
        <v>870</v>
      </c>
      <c r="AS1" t="s">
        <v>871</v>
      </c>
      <c r="AT1" t="s">
        <v>872</v>
      </c>
      <c r="AU1" t="s">
        <v>873</v>
      </c>
      <c r="AV1" t="s">
        <v>874</v>
      </c>
      <c r="AW1" t="s">
        <v>916</v>
      </c>
    </row>
    <row r="2" spans="1:49">
      <c r="A2">
        <v>2</v>
      </c>
      <c r="B2" t="s">
        <v>673</v>
      </c>
      <c r="C2" s="59">
        <v>45292</v>
      </c>
      <c r="D2" t="s">
        <v>857</v>
      </c>
      <c r="E2" t="s">
        <v>568</v>
      </c>
      <c r="F2" t="s">
        <v>854</v>
      </c>
      <c r="H2" t="s">
        <v>858</v>
      </c>
      <c r="I2" s="59">
        <v>45294</v>
      </c>
      <c r="J2" t="s">
        <v>563</v>
      </c>
      <c r="K2" t="s">
        <v>856</v>
      </c>
      <c r="L2" s="59">
        <v>44930</v>
      </c>
      <c r="M2" t="s">
        <v>211</v>
      </c>
      <c r="N2" t="s">
        <v>354</v>
      </c>
      <c r="O2">
        <v>1</v>
      </c>
      <c r="P2" t="s">
        <v>855</v>
      </c>
      <c r="Q2" t="s">
        <v>858</v>
      </c>
      <c r="R2" t="s">
        <v>876</v>
      </c>
      <c r="S2" t="s">
        <v>859</v>
      </c>
      <c r="T2" t="s">
        <v>571</v>
      </c>
      <c r="W2">
        <v>2500</v>
      </c>
      <c r="X2">
        <v>0</v>
      </c>
      <c r="Y2">
        <v>3000</v>
      </c>
      <c r="Z2">
        <v>2900</v>
      </c>
      <c r="AA2">
        <v>0</v>
      </c>
      <c r="AB2">
        <v>0</v>
      </c>
      <c r="AC2">
        <v>0</v>
      </c>
      <c r="AD2" t="s">
        <v>877</v>
      </c>
      <c r="AF2">
        <v>2300</v>
      </c>
      <c r="AG2">
        <v>1397</v>
      </c>
      <c r="AH2">
        <v>5500</v>
      </c>
      <c r="AI2">
        <v>0</v>
      </c>
      <c r="AJ2">
        <v>396</v>
      </c>
      <c r="AK2">
        <v>0</v>
      </c>
      <c r="AN2" t="s">
        <v>837</v>
      </c>
      <c r="AP2">
        <v>5500</v>
      </c>
      <c r="AQ2">
        <v>0</v>
      </c>
      <c r="AR2">
        <v>396</v>
      </c>
      <c r="AS2">
        <v>0</v>
      </c>
      <c r="AU2" t="s">
        <v>560</v>
      </c>
      <c r="AV2">
        <v>0</v>
      </c>
      <c r="AW2">
        <v>1397</v>
      </c>
    </row>
    <row r="3" spans="1:49">
      <c r="A3">
        <v>3</v>
      </c>
      <c r="B3" t="s">
        <v>673</v>
      </c>
      <c r="C3" s="59">
        <v>45443</v>
      </c>
      <c r="D3" t="s">
        <v>2075</v>
      </c>
      <c r="E3" t="s">
        <v>532</v>
      </c>
      <c r="I3" s="59">
        <v>45443</v>
      </c>
      <c r="J3" t="s">
        <v>563</v>
      </c>
      <c r="K3" t="s">
        <v>920</v>
      </c>
      <c r="L3" s="59"/>
      <c r="M3" t="s">
        <v>531</v>
      </c>
      <c r="N3" t="s">
        <v>353</v>
      </c>
      <c r="O3">
        <v>1</v>
      </c>
      <c r="P3" t="s">
        <v>918</v>
      </c>
      <c r="Q3" t="s">
        <v>924</v>
      </c>
      <c r="S3" t="s">
        <v>925</v>
      </c>
      <c r="W3">
        <v>0</v>
      </c>
      <c r="X3">
        <v>0</v>
      </c>
      <c r="Y3">
        <v>0</v>
      </c>
      <c r="Z3">
        <v>4400</v>
      </c>
      <c r="AA3">
        <v>0</v>
      </c>
      <c r="AB3">
        <v>0</v>
      </c>
      <c r="AD3" t="s">
        <v>532</v>
      </c>
      <c r="AH3">
        <v>0</v>
      </c>
      <c r="AI3">
        <v>0</v>
      </c>
      <c r="AJ3">
        <v>0</v>
      </c>
      <c r="AK3">
        <v>0</v>
      </c>
      <c r="AN3" t="s">
        <v>834</v>
      </c>
      <c r="AP3">
        <v>0</v>
      </c>
      <c r="AQ3">
        <v>0</v>
      </c>
      <c r="AR3">
        <v>0</v>
      </c>
      <c r="AS3">
        <v>0</v>
      </c>
      <c r="AU3" t="s">
        <v>560</v>
      </c>
      <c r="AV3">
        <v>0</v>
      </c>
    </row>
    <row r="4" spans="1:49">
      <c r="A4">
        <v>11</v>
      </c>
      <c r="B4" t="s">
        <v>673</v>
      </c>
      <c r="C4" s="59">
        <v>45442</v>
      </c>
      <c r="D4" t="s">
        <v>980</v>
      </c>
      <c r="E4" t="s">
        <v>568</v>
      </c>
      <c r="F4" t="s">
        <v>981</v>
      </c>
      <c r="G4" t="s">
        <v>982</v>
      </c>
      <c r="H4" t="s">
        <v>983</v>
      </c>
      <c r="I4" s="59">
        <v>45443</v>
      </c>
      <c r="J4" t="s">
        <v>563</v>
      </c>
      <c r="K4" t="s">
        <v>979</v>
      </c>
      <c r="L4" s="59"/>
      <c r="M4" t="s">
        <v>34</v>
      </c>
      <c r="N4" t="s">
        <v>353</v>
      </c>
      <c r="O4">
        <v>2</v>
      </c>
      <c r="P4" t="s">
        <v>978</v>
      </c>
      <c r="Q4" t="s">
        <v>983</v>
      </c>
      <c r="S4" t="s">
        <v>984</v>
      </c>
      <c r="T4" t="s">
        <v>569</v>
      </c>
      <c r="W4">
        <v>60480</v>
      </c>
      <c r="X4">
        <v>0</v>
      </c>
      <c r="Y4">
        <v>0</v>
      </c>
      <c r="Z4">
        <v>4400</v>
      </c>
      <c r="AA4">
        <v>0</v>
      </c>
      <c r="AB4">
        <v>0</v>
      </c>
      <c r="AD4" t="s">
        <v>33</v>
      </c>
      <c r="AF4">
        <v>30240</v>
      </c>
      <c r="AG4">
        <v>19800</v>
      </c>
      <c r="AH4">
        <v>60480</v>
      </c>
      <c r="AI4">
        <v>0</v>
      </c>
      <c r="AJ4">
        <v>7185</v>
      </c>
      <c r="AK4">
        <v>0</v>
      </c>
      <c r="AN4" t="s">
        <v>834</v>
      </c>
      <c r="AP4">
        <v>60480</v>
      </c>
      <c r="AQ4">
        <v>0</v>
      </c>
      <c r="AR4">
        <v>7185</v>
      </c>
      <c r="AS4">
        <v>0</v>
      </c>
      <c r="AU4" t="s">
        <v>560</v>
      </c>
      <c r="AV4">
        <v>0</v>
      </c>
      <c r="AW4">
        <v>39600</v>
      </c>
    </row>
    <row r="5" spans="1:49">
      <c r="A5">
        <v>12</v>
      </c>
      <c r="B5" t="s">
        <v>673</v>
      </c>
      <c r="C5" s="59">
        <v>45443</v>
      </c>
      <c r="D5" t="s">
        <v>989</v>
      </c>
      <c r="E5" t="s">
        <v>568</v>
      </c>
      <c r="F5" t="s">
        <v>986</v>
      </c>
      <c r="G5" t="s">
        <v>990</v>
      </c>
      <c r="H5" t="s">
        <v>991</v>
      </c>
      <c r="I5" s="59">
        <v>45443</v>
      </c>
      <c r="J5" t="s">
        <v>563</v>
      </c>
      <c r="K5" t="s">
        <v>988</v>
      </c>
      <c r="L5" s="59"/>
      <c r="M5" t="s">
        <v>133</v>
      </c>
      <c r="N5" t="s">
        <v>353</v>
      </c>
      <c r="O5">
        <v>1</v>
      </c>
      <c r="P5" t="s">
        <v>986</v>
      </c>
      <c r="Q5" t="s">
        <v>991</v>
      </c>
      <c r="S5" t="s">
        <v>992</v>
      </c>
      <c r="T5" t="s">
        <v>571</v>
      </c>
      <c r="W5">
        <v>10400</v>
      </c>
      <c r="X5">
        <v>0</v>
      </c>
      <c r="Y5">
        <v>3000</v>
      </c>
      <c r="Z5">
        <v>3000</v>
      </c>
      <c r="AA5">
        <v>0</v>
      </c>
      <c r="AB5">
        <v>0</v>
      </c>
      <c r="AD5" t="s">
        <v>132</v>
      </c>
      <c r="AF5">
        <v>8700</v>
      </c>
      <c r="AG5">
        <v>5500</v>
      </c>
      <c r="AH5">
        <v>13400</v>
      </c>
      <c r="AI5">
        <v>0</v>
      </c>
      <c r="AJ5">
        <v>1335</v>
      </c>
      <c r="AK5">
        <v>0</v>
      </c>
      <c r="AN5" t="s">
        <v>834</v>
      </c>
      <c r="AO5">
        <v>10</v>
      </c>
      <c r="AP5">
        <v>13400</v>
      </c>
      <c r="AQ5">
        <v>0</v>
      </c>
      <c r="AR5">
        <v>1335</v>
      </c>
      <c r="AS5">
        <v>0</v>
      </c>
      <c r="AU5" t="s">
        <v>560</v>
      </c>
      <c r="AV5">
        <v>0</v>
      </c>
      <c r="AW5">
        <v>5500</v>
      </c>
    </row>
    <row r="6" spans="1:49">
      <c r="A6">
        <v>13</v>
      </c>
      <c r="B6" t="s">
        <v>673</v>
      </c>
      <c r="C6" s="59">
        <v>45443</v>
      </c>
      <c r="D6" t="s">
        <v>997</v>
      </c>
      <c r="E6" t="s">
        <v>568</v>
      </c>
      <c r="F6" t="s">
        <v>994</v>
      </c>
      <c r="G6" t="s">
        <v>998</v>
      </c>
      <c r="H6" t="s">
        <v>999</v>
      </c>
      <c r="I6" s="59">
        <v>45443</v>
      </c>
      <c r="J6" t="s">
        <v>563</v>
      </c>
      <c r="K6" t="s">
        <v>996</v>
      </c>
      <c r="L6" s="59"/>
      <c r="M6" t="s">
        <v>133</v>
      </c>
      <c r="N6" t="s">
        <v>353</v>
      </c>
      <c r="O6">
        <v>1</v>
      </c>
      <c r="P6" t="s">
        <v>994</v>
      </c>
      <c r="Q6" t="s">
        <v>999</v>
      </c>
      <c r="S6" t="s">
        <v>1000</v>
      </c>
      <c r="T6" t="s">
        <v>571</v>
      </c>
      <c r="W6">
        <v>17300</v>
      </c>
      <c r="X6">
        <v>0</v>
      </c>
      <c r="Y6">
        <v>3000</v>
      </c>
      <c r="Z6">
        <v>3000</v>
      </c>
      <c r="AA6">
        <v>0</v>
      </c>
      <c r="AB6">
        <v>0</v>
      </c>
      <c r="AD6" t="s">
        <v>132</v>
      </c>
      <c r="AF6">
        <v>8700</v>
      </c>
      <c r="AG6">
        <v>5500</v>
      </c>
      <c r="AH6">
        <v>20300</v>
      </c>
      <c r="AI6">
        <v>0</v>
      </c>
      <c r="AJ6">
        <v>2154</v>
      </c>
      <c r="AK6">
        <v>0</v>
      </c>
      <c r="AN6" t="s">
        <v>834</v>
      </c>
      <c r="AO6">
        <v>10</v>
      </c>
      <c r="AP6">
        <v>20300</v>
      </c>
      <c r="AQ6">
        <v>0</v>
      </c>
      <c r="AR6">
        <v>2154</v>
      </c>
      <c r="AS6">
        <v>0</v>
      </c>
      <c r="AU6" t="s">
        <v>560</v>
      </c>
      <c r="AV6">
        <v>0</v>
      </c>
      <c r="AW6">
        <v>5500</v>
      </c>
    </row>
    <row r="7" spans="1:49">
      <c r="A7">
        <v>19</v>
      </c>
      <c r="B7" t="s">
        <v>673</v>
      </c>
      <c r="C7" s="59">
        <v>45442</v>
      </c>
      <c r="D7" t="s">
        <v>1038</v>
      </c>
      <c r="E7" t="s">
        <v>561</v>
      </c>
      <c r="F7" t="s">
        <v>1039</v>
      </c>
      <c r="G7" t="s">
        <v>1040</v>
      </c>
      <c r="H7" t="s">
        <v>1041</v>
      </c>
      <c r="I7" s="59">
        <v>45443</v>
      </c>
      <c r="J7" t="s">
        <v>563</v>
      </c>
      <c r="K7" t="s">
        <v>1036</v>
      </c>
      <c r="L7" s="59"/>
      <c r="M7" t="s">
        <v>34</v>
      </c>
      <c r="N7" t="s">
        <v>353</v>
      </c>
      <c r="O7">
        <v>2</v>
      </c>
      <c r="P7" t="s">
        <v>1033</v>
      </c>
      <c r="Q7" t="s">
        <v>1041</v>
      </c>
      <c r="S7" t="s">
        <v>1042</v>
      </c>
      <c r="T7" t="s">
        <v>1043</v>
      </c>
      <c r="W7">
        <v>56800</v>
      </c>
      <c r="X7">
        <v>0</v>
      </c>
      <c r="Y7">
        <v>0</v>
      </c>
      <c r="Z7">
        <v>4400</v>
      </c>
      <c r="AA7">
        <v>0</v>
      </c>
      <c r="AB7">
        <v>0</v>
      </c>
      <c r="AD7" t="s">
        <v>33</v>
      </c>
      <c r="AF7">
        <v>28800</v>
      </c>
      <c r="AG7">
        <v>19800</v>
      </c>
      <c r="AH7">
        <v>56800</v>
      </c>
      <c r="AI7">
        <v>0</v>
      </c>
      <c r="AJ7">
        <v>2934</v>
      </c>
      <c r="AK7">
        <v>0</v>
      </c>
      <c r="AN7" t="s">
        <v>834</v>
      </c>
      <c r="AP7">
        <v>56800</v>
      </c>
      <c r="AQ7">
        <v>0</v>
      </c>
      <c r="AR7">
        <v>2934</v>
      </c>
      <c r="AS7">
        <v>0</v>
      </c>
      <c r="AU7" t="s">
        <v>560</v>
      </c>
      <c r="AV7">
        <v>0</v>
      </c>
      <c r="AW7">
        <v>39600</v>
      </c>
    </row>
    <row r="8" spans="1:49">
      <c r="A8">
        <v>20</v>
      </c>
      <c r="B8" t="s">
        <v>673</v>
      </c>
      <c r="C8" s="59">
        <v>45446</v>
      </c>
      <c r="D8" t="s">
        <v>2077</v>
      </c>
      <c r="E8" t="s">
        <v>532</v>
      </c>
      <c r="I8" s="59">
        <v>45446</v>
      </c>
      <c r="J8" t="s">
        <v>563</v>
      </c>
      <c r="K8" t="s">
        <v>1047</v>
      </c>
      <c r="L8" s="59"/>
      <c r="M8" t="s">
        <v>531</v>
      </c>
      <c r="N8" t="s">
        <v>353</v>
      </c>
      <c r="O8">
        <v>1</v>
      </c>
      <c r="P8" t="s">
        <v>1046</v>
      </c>
      <c r="Q8" t="s">
        <v>1049</v>
      </c>
      <c r="S8" t="s">
        <v>1050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D8" t="s">
        <v>532</v>
      </c>
      <c r="AE8" t="s">
        <v>822</v>
      </c>
      <c r="AH8">
        <v>0</v>
      </c>
      <c r="AI8">
        <v>0</v>
      </c>
      <c r="AJ8">
        <v>0</v>
      </c>
      <c r="AK8">
        <v>0</v>
      </c>
      <c r="AN8" t="s">
        <v>834</v>
      </c>
      <c r="AP8">
        <v>0</v>
      </c>
      <c r="AQ8">
        <v>0</v>
      </c>
      <c r="AR8">
        <v>0</v>
      </c>
      <c r="AS8">
        <v>0</v>
      </c>
      <c r="AU8" t="s">
        <v>560</v>
      </c>
      <c r="AV8">
        <v>0</v>
      </c>
    </row>
    <row r="9" spans="1:49">
      <c r="A9">
        <v>21</v>
      </c>
      <c r="B9" t="s">
        <v>673</v>
      </c>
      <c r="C9" s="59">
        <v>45446</v>
      </c>
      <c r="D9" t="s">
        <v>2078</v>
      </c>
      <c r="E9" t="s">
        <v>532</v>
      </c>
      <c r="I9" s="59">
        <v>45446</v>
      </c>
      <c r="J9" t="s">
        <v>563</v>
      </c>
      <c r="K9" t="s">
        <v>1052</v>
      </c>
      <c r="L9" s="59"/>
      <c r="M9" t="s">
        <v>531</v>
      </c>
      <c r="N9" t="s">
        <v>353</v>
      </c>
      <c r="O9">
        <v>1</v>
      </c>
      <c r="P9" t="s">
        <v>1051</v>
      </c>
      <c r="Q9" t="s">
        <v>1054</v>
      </c>
      <c r="S9" t="s">
        <v>1055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D9" t="s">
        <v>532</v>
      </c>
      <c r="AE9" t="s">
        <v>822</v>
      </c>
      <c r="AH9">
        <v>0</v>
      </c>
      <c r="AI9">
        <v>0</v>
      </c>
      <c r="AJ9">
        <v>0</v>
      </c>
      <c r="AK9">
        <v>0</v>
      </c>
      <c r="AN9" t="s">
        <v>834</v>
      </c>
      <c r="AP9">
        <v>0</v>
      </c>
      <c r="AQ9">
        <v>0</v>
      </c>
      <c r="AR9">
        <v>0</v>
      </c>
      <c r="AS9">
        <v>0</v>
      </c>
      <c r="AU9" t="s">
        <v>560</v>
      </c>
      <c r="AV9">
        <v>0</v>
      </c>
    </row>
    <row r="10" spans="1:49">
      <c r="A10">
        <v>22</v>
      </c>
      <c r="B10" t="s">
        <v>673</v>
      </c>
      <c r="C10" s="59">
        <v>45446</v>
      </c>
      <c r="D10" t="s">
        <v>2079</v>
      </c>
      <c r="E10" t="s">
        <v>532</v>
      </c>
      <c r="I10" s="59">
        <v>45446</v>
      </c>
      <c r="J10" t="s">
        <v>563</v>
      </c>
      <c r="K10" t="s">
        <v>1059</v>
      </c>
      <c r="L10" s="59"/>
      <c r="M10" t="s">
        <v>531</v>
      </c>
      <c r="N10" t="s">
        <v>353</v>
      </c>
      <c r="O10">
        <v>4</v>
      </c>
      <c r="P10" t="s">
        <v>1056</v>
      </c>
      <c r="Q10" t="s">
        <v>1061</v>
      </c>
      <c r="S10" t="s">
        <v>1062</v>
      </c>
      <c r="W10">
        <v>0</v>
      </c>
      <c r="X10">
        <v>0</v>
      </c>
      <c r="Y10">
        <v>0</v>
      </c>
      <c r="Z10">
        <v>5500</v>
      </c>
      <c r="AA10">
        <v>0</v>
      </c>
      <c r="AB10">
        <v>0</v>
      </c>
      <c r="AD10" t="s">
        <v>532</v>
      </c>
      <c r="AE10" t="s">
        <v>822</v>
      </c>
      <c r="AH10">
        <v>0</v>
      </c>
      <c r="AI10">
        <v>0</v>
      </c>
      <c r="AJ10">
        <v>0</v>
      </c>
      <c r="AK10">
        <v>0</v>
      </c>
      <c r="AN10" t="s">
        <v>834</v>
      </c>
      <c r="AP10">
        <v>0</v>
      </c>
      <c r="AQ10">
        <v>0</v>
      </c>
      <c r="AR10">
        <v>0</v>
      </c>
      <c r="AS10">
        <v>0</v>
      </c>
      <c r="AU10" t="s">
        <v>560</v>
      </c>
      <c r="AV10">
        <v>0</v>
      </c>
    </row>
    <row r="11" spans="1:49">
      <c r="A11">
        <v>26</v>
      </c>
      <c r="B11" t="s">
        <v>673</v>
      </c>
      <c r="C11" s="59">
        <v>45446</v>
      </c>
      <c r="D11" t="s">
        <v>1093</v>
      </c>
      <c r="E11" t="s">
        <v>561</v>
      </c>
      <c r="F11" t="s">
        <v>1089</v>
      </c>
      <c r="G11" t="s">
        <v>1094</v>
      </c>
      <c r="H11" t="s">
        <v>1095</v>
      </c>
      <c r="I11" s="59">
        <v>45446</v>
      </c>
      <c r="J11" t="s">
        <v>563</v>
      </c>
      <c r="K11" t="s">
        <v>1091</v>
      </c>
      <c r="L11" s="59"/>
      <c r="M11" t="s">
        <v>36</v>
      </c>
      <c r="N11" t="s">
        <v>353</v>
      </c>
      <c r="O11">
        <v>1</v>
      </c>
      <c r="P11" t="s">
        <v>1089</v>
      </c>
      <c r="Q11" t="s">
        <v>1095</v>
      </c>
      <c r="S11" t="s">
        <v>1096</v>
      </c>
      <c r="W11">
        <v>24000</v>
      </c>
      <c r="X11">
        <v>0</v>
      </c>
      <c r="Y11">
        <v>3000</v>
      </c>
      <c r="Z11">
        <v>3000</v>
      </c>
      <c r="AA11">
        <v>0</v>
      </c>
      <c r="AB11">
        <v>0</v>
      </c>
      <c r="AD11" t="s">
        <v>35</v>
      </c>
      <c r="AF11">
        <v>24000</v>
      </c>
      <c r="AG11">
        <v>16500</v>
      </c>
      <c r="AH11">
        <v>27000</v>
      </c>
      <c r="AI11">
        <v>0</v>
      </c>
      <c r="AJ11">
        <v>1375</v>
      </c>
      <c r="AK11">
        <v>0</v>
      </c>
      <c r="AN11" t="s">
        <v>834</v>
      </c>
      <c r="AP11">
        <v>27000</v>
      </c>
      <c r="AQ11">
        <v>0</v>
      </c>
      <c r="AR11">
        <v>1375</v>
      </c>
      <c r="AS11">
        <v>0</v>
      </c>
      <c r="AU11" t="s">
        <v>560</v>
      </c>
      <c r="AV11">
        <v>0</v>
      </c>
      <c r="AW11">
        <v>16500</v>
      </c>
    </row>
    <row r="12" spans="1:49">
      <c r="A12">
        <v>27</v>
      </c>
      <c r="B12" t="s">
        <v>673</v>
      </c>
      <c r="C12" s="59">
        <v>45445</v>
      </c>
      <c r="D12" t="s">
        <v>1102</v>
      </c>
      <c r="E12" t="s">
        <v>561</v>
      </c>
      <c r="F12" t="s">
        <v>1098</v>
      </c>
      <c r="G12" t="s">
        <v>1103</v>
      </c>
      <c r="H12" t="s">
        <v>1104</v>
      </c>
      <c r="I12" s="59">
        <v>45446</v>
      </c>
      <c r="J12" t="s">
        <v>563</v>
      </c>
      <c r="K12" t="s">
        <v>1100</v>
      </c>
      <c r="L12" s="59"/>
      <c r="M12" t="s">
        <v>40</v>
      </c>
      <c r="N12" t="s">
        <v>353</v>
      </c>
      <c r="O12">
        <v>1</v>
      </c>
      <c r="P12" t="s">
        <v>1098</v>
      </c>
      <c r="Q12" t="s">
        <v>1104</v>
      </c>
      <c r="S12" t="s">
        <v>1105</v>
      </c>
      <c r="W12">
        <v>17600</v>
      </c>
      <c r="X12">
        <v>0</v>
      </c>
      <c r="Y12">
        <v>3000</v>
      </c>
      <c r="Z12">
        <v>3000</v>
      </c>
      <c r="AA12">
        <v>0</v>
      </c>
      <c r="AB12">
        <v>0</v>
      </c>
      <c r="AD12" t="s">
        <v>39</v>
      </c>
      <c r="AF12">
        <v>17600</v>
      </c>
      <c r="AG12">
        <v>12100</v>
      </c>
      <c r="AH12">
        <v>20600</v>
      </c>
      <c r="AI12">
        <v>0</v>
      </c>
      <c r="AJ12">
        <v>1053</v>
      </c>
      <c r="AK12">
        <v>0</v>
      </c>
      <c r="AN12" t="s">
        <v>834</v>
      </c>
      <c r="AP12">
        <v>20600</v>
      </c>
      <c r="AQ12">
        <v>0</v>
      </c>
      <c r="AR12">
        <v>1053</v>
      </c>
      <c r="AS12">
        <v>0</v>
      </c>
      <c r="AU12" t="s">
        <v>560</v>
      </c>
      <c r="AV12">
        <v>0</v>
      </c>
      <c r="AW12">
        <v>12100</v>
      </c>
    </row>
    <row r="13" spans="1:49">
      <c r="A13">
        <v>28</v>
      </c>
      <c r="B13" t="s">
        <v>673</v>
      </c>
      <c r="C13" s="59">
        <v>45444</v>
      </c>
      <c r="D13" t="s">
        <v>1111</v>
      </c>
      <c r="E13" t="s">
        <v>561</v>
      </c>
      <c r="F13" t="s">
        <v>1112</v>
      </c>
      <c r="G13" t="s">
        <v>1113</v>
      </c>
      <c r="H13" t="s">
        <v>1114</v>
      </c>
      <c r="I13" s="59">
        <v>45446</v>
      </c>
      <c r="J13" t="s">
        <v>563</v>
      </c>
      <c r="K13" t="s">
        <v>1109</v>
      </c>
      <c r="L13" s="59"/>
      <c r="M13" t="s">
        <v>38</v>
      </c>
      <c r="N13" t="s">
        <v>353</v>
      </c>
      <c r="O13">
        <v>1</v>
      </c>
      <c r="P13" t="s">
        <v>1107</v>
      </c>
      <c r="Q13" t="s">
        <v>1114</v>
      </c>
      <c r="S13" t="s">
        <v>1115</v>
      </c>
      <c r="W13">
        <v>20800</v>
      </c>
      <c r="X13">
        <v>0</v>
      </c>
      <c r="Y13">
        <v>3000</v>
      </c>
      <c r="Z13">
        <v>3500</v>
      </c>
      <c r="AA13">
        <v>0</v>
      </c>
      <c r="AB13">
        <v>0</v>
      </c>
      <c r="AD13" t="s">
        <v>37</v>
      </c>
      <c r="AF13">
        <v>20800</v>
      </c>
      <c r="AG13">
        <v>14300</v>
      </c>
      <c r="AH13">
        <v>23800</v>
      </c>
      <c r="AI13">
        <v>0</v>
      </c>
      <c r="AJ13">
        <v>1214</v>
      </c>
      <c r="AK13">
        <v>0</v>
      </c>
      <c r="AN13" t="s">
        <v>834</v>
      </c>
      <c r="AP13">
        <v>23800</v>
      </c>
      <c r="AQ13">
        <v>0</v>
      </c>
      <c r="AR13">
        <v>1214</v>
      </c>
      <c r="AS13">
        <v>0</v>
      </c>
      <c r="AU13" t="s">
        <v>560</v>
      </c>
      <c r="AV13">
        <v>0</v>
      </c>
      <c r="AW13">
        <v>14300</v>
      </c>
    </row>
    <row r="14" spans="1:49">
      <c r="A14">
        <v>29</v>
      </c>
      <c r="B14" t="s">
        <v>673</v>
      </c>
      <c r="C14" s="59">
        <v>45444</v>
      </c>
      <c r="D14" t="s">
        <v>1122</v>
      </c>
      <c r="E14" t="s">
        <v>561</v>
      </c>
      <c r="F14" t="s">
        <v>1123</v>
      </c>
      <c r="G14" t="s">
        <v>1124</v>
      </c>
      <c r="H14" t="s">
        <v>1125</v>
      </c>
      <c r="I14" s="59">
        <v>45446</v>
      </c>
      <c r="J14" t="s">
        <v>563</v>
      </c>
      <c r="K14" t="s">
        <v>1120</v>
      </c>
      <c r="L14" s="59"/>
      <c r="M14" t="s">
        <v>224</v>
      </c>
      <c r="N14" t="s">
        <v>368</v>
      </c>
      <c r="O14">
        <v>1</v>
      </c>
      <c r="P14" t="s">
        <v>1117</v>
      </c>
      <c r="Q14" t="s">
        <v>1125</v>
      </c>
      <c r="S14" t="s">
        <v>1126</v>
      </c>
      <c r="W14">
        <v>1770</v>
      </c>
      <c r="X14">
        <v>1440</v>
      </c>
      <c r="Y14">
        <v>0</v>
      </c>
      <c r="Z14">
        <v>3000</v>
      </c>
      <c r="AA14">
        <v>0</v>
      </c>
      <c r="AB14">
        <v>0</v>
      </c>
      <c r="AD14" t="s">
        <v>1974</v>
      </c>
      <c r="AF14">
        <v>1770</v>
      </c>
      <c r="AG14">
        <v>1293</v>
      </c>
      <c r="AH14">
        <v>1770</v>
      </c>
      <c r="AI14">
        <v>0</v>
      </c>
      <c r="AJ14">
        <v>169</v>
      </c>
      <c r="AK14">
        <v>0</v>
      </c>
      <c r="AN14" t="s">
        <v>834</v>
      </c>
      <c r="AP14">
        <v>1770</v>
      </c>
      <c r="AQ14">
        <v>0</v>
      </c>
      <c r="AR14">
        <v>169</v>
      </c>
      <c r="AS14">
        <v>0</v>
      </c>
      <c r="AU14" t="s">
        <v>560</v>
      </c>
      <c r="AV14">
        <v>0</v>
      </c>
      <c r="AW14">
        <v>1293</v>
      </c>
    </row>
    <row r="15" spans="1:49">
      <c r="A15">
        <v>30</v>
      </c>
      <c r="B15" t="s">
        <v>673</v>
      </c>
      <c r="C15" s="59">
        <v>45444</v>
      </c>
      <c r="D15" t="s">
        <v>1130</v>
      </c>
      <c r="E15" t="s">
        <v>561</v>
      </c>
      <c r="F15" t="s">
        <v>1123</v>
      </c>
      <c r="G15" t="s">
        <v>1124</v>
      </c>
      <c r="H15" t="s">
        <v>1125</v>
      </c>
      <c r="I15" s="59">
        <v>45446</v>
      </c>
      <c r="J15" t="s">
        <v>563</v>
      </c>
      <c r="K15" t="s">
        <v>1120</v>
      </c>
      <c r="L15" s="59"/>
      <c r="M15" t="s">
        <v>271</v>
      </c>
      <c r="N15" t="s">
        <v>375</v>
      </c>
      <c r="O15">
        <v>10</v>
      </c>
      <c r="P15" t="s">
        <v>1117</v>
      </c>
      <c r="Q15" t="s">
        <v>1125</v>
      </c>
      <c r="S15" t="s">
        <v>1126</v>
      </c>
      <c r="W15">
        <v>9800</v>
      </c>
      <c r="X15">
        <v>14400</v>
      </c>
      <c r="Y15">
        <v>0</v>
      </c>
      <c r="Z15">
        <v>0</v>
      </c>
      <c r="AA15">
        <v>0</v>
      </c>
      <c r="AB15">
        <v>0</v>
      </c>
      <c r="AD15" t="s">
        <v>372</v>
      </c>
      <c r="AE15" t="s">
        <v>822</v>
      </c>
      <c r="AF15">
        <v>980</v>
      </c>
      <c r="AG15">
        <v>715</v>
      </c>
      <c r="AH15">
        <v>9800</v>
      </c>
      <c r="AI15">
        <v>0</v>
      </c>
      <c r="AJ15">
        <v>572</v>
      </c>
      <c r="AK15">
        <v>0</v>
      </c>
      <c r="AN15" t="s">
        <v>834</v>
      </c>
      <c r="AP15">
        <v>9800</v>
      </c>
      <c r="AQ15">
        <v>0</v>
      </c>
      <c r="AR15">
        <v>572</v>
      </c>
      <c r="AS15">
        <v>0</v>
      </c>
      <c r="AU15" t="s">
        <v>560</v>
      </c>
      <c r="AV15">
        <v>0</v>
      </c>
      <c r="AW15">
        <v>7150</v>
      </c>
    </row>
    <row r="16" spans="1:49">
      <c r="A16">
        <v>31</v>
      </c>
      <c r="B16" t="s">
        <v>673</v>
      </c>
      <c r="C16" s="59">
        <v>45444</v>
      </c>
      <c r="D16" t="s">
        <v>1133</v>
      </c>
      <c r="E16" t="s">
        <v>561</v>
      </c>
      <c r="F16" t="s">
        <v>1123</v>
      </c>
      <c r="G16" t="s">
        <v>1124</v>
      </c>
      <c r="H16" t="s">
        <v>1125</v>
      </c>
      <c r="I16" s="59">
        <v>45446</v>
      </c>
      <c r="J16" t="s">
        <v>563</v>
      </c>
      <c r="K16" t="s">
        <v>1120</v>
      </c>
      <c r="L16" s="59"/>
      <c r="M16" t="s">
        <v>6</v>
      </c>
      <c r="N16" t="s">
        <v>353</v>
      </c>
      <c r="O16">
        <v>1</v>
      </c>
      <c r="P16" t="s">
        <v>1117</v>
      </c>
      <c r="Q16" t="s">
        <v>1125</v>
      </c>
      <c r="S16" t="s">
        <v>1126</v>
      </c>
      <c r="W16">
        <v>12600</v>
      </c>
      <c r="X16">
        <v>0</v>
      </c>
      <c r="Y16">
        <v>0</v>
      </c>
      <c r="Z16">
        <v>0</v>
      </c>
      <c r="AA16">
        <v>0</v>
      </c>
      <c r="AB16">
        <v>0</v>
      </c>
      <c r="AD16" t="s">
        <v>2074</v>
      </c>
      <c r="AE16" t="s">
        <v>822</v>
      </c>
      <c r="AF16">
        <v>12380</v>
      </c>
      <c r="AG16">
        <v>8250</v>
      </c>
      <c r="AH16">
        <v>12600</v>
      </c>
      <c r="AI16">
        <v>0</v>
      </c>
      <c r="AJ16">
        <v>713</v>
      </c>
      <c r="AK16">
        <v>0</v>
      </c>
      <c r="AN16" t="s">
        <v>834</v>
      </c>
      <c r="AP16">
        <v>12600</v>
      </c>
      <c r="AQ16">
        <v>0</v>
      </c>
      <c r="AR16">
        <v>713</v>
      </c>
      <c r="AS16">
        <v>0</v>
      </c>
      <c r="AU16" t="s">
        <v>560</v>
      </c>
      <c r="AV16">
        <v>0</v>
      </c>
      <c r="AW16">
        <v>8250</v>
      </c>
    </row>
    <row r="17" spans="1:49">
      <c r="A17">
        <v>32</v>
      </c>
      <c r="B17" t="s">
        <v>673</v>
      </c>
      <c r="C17" s="59">
        <v>45443</v>
      </c>
      <c r="D17" t="s">
        <v>1139</v>
      </c>
      <c r="E17" t="s">
        <v>561</v>
      </c>
      <c r="F17" t="s">
        <v>1135</v>
      </c>
      <c r="G17" t="s">
        <v>1140</v>
      </c>
      <c r="H17" t="s">
        <v>1141</v>
      </c>
      <c r="I17" s="59">
        <v>45446</v>
      </c>
      <c r="J17" t="s">
        <v>563</v>
      </c>
      <c r="K17" t="s">
        <v>1137</v>
      </c>
      <c r="L17" s="59"/>
      <c r="M17" t="s">
        <v>38</v>
      </c>
      <c r="N17" t="s">
        <v>353</v>
      </c>
      <c r="O17">
        <v>1</v>
      </c>
      <c r="P17" t="s">
        <v>1135</v>
      </c>
      <c r="Q17" t="s">
        <v>1141</v>
      </c>
      <c r="S17" t="s">
        <v>1142</v>
      </c>
      <c r="W17">
        <v>20800</v>
      </c>
      <c r="X17">
        <v>0</v>
      </c>
      <c r="Y17">
        <v>3000</v>
      </c>
      <c r="Z17">
        <v>3000</v>
      </c>
      <c r="AA17">
        <v>0</v>
      </c>
      <c r="AB17">
        <v>0</v>
      </c>
      <c r="AD17" t="s">
        <v>37</v>
      </c>
      <c r="AF17">
        <v>20800</v>
      </c>
      <c r="AG17">
        <v>14300</v>
      </c>
      <c r="AH17">
        <v>23800</v>
      </c>
      <c r="AI17">
        <v>0</v>
      </c>
      <c r="AJ17">
        <v>1214</v>
      </c>
      <c r="AK17">
        <v>0</v>
      </c>
      <c r="AN17" t="s">
        <v>834</v>
      </c>
      <c r="AP17">
        <v>23800</v>
      </c>
      <c r="AQ17">
        <v>0</v>
      </c>
      <c r="AR17">
        <v>1214</v>
      </c>
      <c r="AS17">
        <v>0</v>
      </c>
      <c r="AU17" t="s">
        <v>560</v>
      </c>
      <c r="AV17">
        <v>0</v>
      </c>
      <c r="AW17">
        <v>14300</v>
      </c>
    </row>
    <row r="18" spans="1:49">
      <c r="A18">
        <v>38</v>
      </c>
      <c r="B18" t="s">
        <v>673</v>
      </c>
      <c r="C18" s="59">
        <v>45444</v>
      </c>
      <c r="D18" t="s">
        <v>1184</v>
      </c>
      <c r="E18" t="s">
        <v>568</v>
      </c>
      <c r="F18" t="s">
        <v>1182</v>
      </c>
      <c r="G18" t="s">
        <v>1185</v>
      </c>
      <c r="H18" t="s">
        <v>1186</v>
      </c>
      <c r="I18" s="59">
        <v>45446</v>
      </c>
      <c r="J18" t="s">
        <v>563</v>
      </c>
      <c r="K18" t="s">
        <v>1183</v>
      </c>
      <c r="L18" s="59"/>
      <c r="M18" t="s">
        <v>133</v>
      </c>
      <c r="N18" t="s">
        <v>353</v>
      </c>
      <c r="O18">
        <v>1</v>
      </c>
      <c r="P18" t="s">
        <v>1182</v>
      </c>
      <c r="Q18" t="s">
        <v>1186</v>
      </c>
      <c r="S18" t="s">
        <v>1187</v>
      </c>
      <c r="T18" t="s">
        <v>571</v>
      </c>
      <c r="W18">
        <v>17300</v>
      </c>
      <c r="X18">
        <v>0</v>
      </c>
      <c r="Y18">
        <v>3000</v>
      </c>
      <c r="Z18">
        <v>3000</v>
      </c>
      <c r="AA18">
        <v>0</v>
      </c>
      <c r="AB18">
        <v>0</v>
      </c>
      <c r="AD18" t="s">
        <v>132</v>
      </c>
      <c r="AF18">
        <v>8700</v>
      </c>
      <c r="AG18">
        <v>5500</v>
      </c>
      <c r="AH18">
        <v>20300</v>
      </c>
      <c r="AI18">
        <v>0</v>
      </c>
      <c r="AJ18">
        <v>2154</v>
      </c>
      <c r="AK18">
        <v>0</v>
      </c>
      <c r="AN18" t="s">
        <v>834</v>
      </c>
      <c r="AO18">
        <v>10</v>
      </c>
      <c r="AP18">
        <v>20300</v>
      </c>
      <c r="AQ18">
        <v>0</v>
      </c>
      <c r="AR18">
        <v>2154</v>
      </c>
      <c r="AS18">
        <v>0</v>
      </c>
      <c r="AU18" t="s">
        <v>560</v>
      </c>
      <c r="AV18">
        <v>0</v>
      </c>
      <c r="AW18">
        <v>5500</v>
      </c>
    </row>
    <row r="19" spans="1:49">
      <c r="A19">
        <v>47</v>
      </c>
      <c r="B19" t="s">
        <v>673</v>
      </c>
      <c r="C19" s="59">
        <v>45447</v>
      </c>
      <c r="D19" t="s">
        <v>1257</v>
      </c>
      <c r="E19" t="s">
        <v>561</v>
      </c>
      <c r="F19" t="s">
        <v>1252</v>
      </c>
      <c r="G19" t="s">
        <v>1258</v>
      </c>
      <c r="H19" t="s">
        <v>1259</v>
      </c>
      <c r="I19" s="59">
        <v>45447</v>
      </c>
      <c r="J19" t="s">
        <v>563</v>
      </c>
      <c r="K19" t="s">
        <v>1255</v>
      </c>
      <c r="L19" s="59"/>
      <c r="M19" t="s">
        <v>115</v>
      </c>
      <c r="N19" t="s">
        <v>353</v>
      </c>
      <c r="O19">
        <v>10</v>
      </c>
      <c r="P19" t="s">
        <v>1252</v>
      </c>
      <c r="Q19" t="s">
        <v>1259</v>
      </c>
      <c r="S19" t="s">
        <v>1260</v>
      </c>
      <c r="T19" t="s">
        <v>1261</v>
      </c>
      <c r="W19">
        <v>29700</v>
      </c>
      <c r="X19">
        <v>12900</v>
      </c>
      <c r="Y19">
        <v>0</v>
      </c>
      <c r="Z19">
        <v>3500</v>
      </c>
      <c r="AA19">
        <v>0</v>
      </c>
      <c r="AB19">
        <v>0</v>
      </c>
      <c r="AD19" t="s">
        <v>114</v>
      </c>
      <c r="AF19">
        <v>2970</v>
      </c>
      <c r="AG19">
        <v>1980</v>
      </c>
      <c r="AH19">
        <v>29700</v>
      </c>
      <c r="AI19">
        <v>0</v>
      </c>
      <c r="AJ19">
        <v>1572</v>
      </c>
      <c r="AK19">
        <v>0</v>
      </c>
      <c r="AN19" t="s">
        <v>834</v>
      </c>
      <c r="AP19">
        <v>29700</v>
      </c>
      <c r="AQ19">
        <v>0</v>
      </c>
      <c r="AR19">
        <v>1572</v>
      </c>
      <c r="AS19">
        <v>0</v>
      </c>
      <c r="AU19" t="s">
        <v>560</v>
      </c>
      <c r="AV19">
        <v>0</v>
      </c>
      <c r="AW19">
        <v>19800</v>
      </c>
    </row>
    <row r="20" spans="1:49">
      <c r="A20">
        <v>48</v>
      </c>
      <c r="B20" t="s">
        <v>673</v>
      </c>
      <c r="C20" s="59">
        <v>45446</v>
      </c>
      <c r="D20" t="s">
        <v>1267</v>
      </c>
      <c r="E20" t="s">
        <v>561</v>
      </c>
      <c r="F20" t="s">
        <v>1264</v>
      </c>
      <c r="G20" t="s">
        <v>1268</v>
      </c>
      <c r="H20" t="s">
        <v>1269</v>
      </c>
      <c r="I20" s="59">
        <v>45447</v>
      </c>
      <c r="J20" t="s">
        <v>563</v>
      </c>
      <c r="K20" t="s">
        <v>1265</v>
      </c>
      <c r="L20" s="59"/>
      <c r="M20" t="s">
        <v>38</v>
      </c>
      <c r="N20" t="s">
        <v>353</v>
      </c>
      <c r="O20">
        <v>1</v>
      </c>
      <c r="P20" t="s">
        <v>1264</v>
      </c>
      <c r="Q20" t="s">
        <v>1269</v>
      </c>
      <c r="S20" t="s">
        <v>1270</v>
      </c>
      <c r="W20">
        <v>20800</v>
      </c>
      <c r="X20">
        <v>0</v>
      </c>
      <c r="Y20">
        <v>3000</v>
      </c>
      <c r="Z20">
        <v>3000</v>
      </c>
      <c r="AA20">
        <v>0</v>
      </c>
      <c r="AB20">
        <v>0</v>
      </c>
      <c r="AD20" t="s">
        <v>37</v>
      </c>
      <c r="AF20">
        <v>20800</v>
      </c>
      <c r="AG20">
        <v>14300</v>
      </c>
      <c r="AH20">
        <v>23800</v>
      </c>
      <c r="AI20">
        <v>0</v>
      </c>
      <c r="AJ20">
        <v>1214</v>
      </c>
      <c r="AK20">
        <v>0</v>
      </c>
      <c r="AN20" t="s">
        <v>834</v>
      </c>
      <c r="AP20">
        <v>23800</v>
      </c>
      <c r="AQ20">
        <v>0</v>
      </c>
      <c r="AR20">
        <v>1214</v>
      </c>
      <c r="AS20">
        <v>0</v>
      </c>
      <c r="AU20" t="s">
        <v>560</v>
      </c>
      <c r="AV20">
        <v>0</v>
      </c>
      <c r="AW20">
        <v>14300</v>
      </c>
    </row>
    <row r="21" spans="1:49">
      <c r="A21">
        <v>49</v>
      </c>
      <c r="B21" t="s">
        <v>673</v>
      </c>
      <c r="C21" s="59">
        <v>45446</v>
      </c>
      <c r="D21" t="s">
        <v>1275</v>
      </c>
      <c r="E21" t="s">
        <v>561</v>
      </c>
      <c r="F21" t="s">
        <v>1272</v>
      </c>
      <c r="G21" t="s">
        <v>1276</v>
      </c>
      <c r="H21" t="s">
        <v>1277</v>
      </c>
      <c r="I21" s="59">
        <v>45447</v>
      </c>
      <c r="J21" t="s">
        <v>563</v>
      </c>
      <c r="K21" t="s">
        <v>1273</v>
      </c>
      <c r="L21" s="59"/>
      <c r="M21" t="s">
        <v>38</v>
      </c>
      <c r="N21" t="s">
        <v>353</v>
      </c>
      <c r="O21">
        <v>1</v>
      </c>
      <c r="P21" t="s">
        <v>1272</v>
      </c>
      <c r="Q21" t="s">
        <v>1277</v>
      </c>
      <c r="S21" t="s">
        <v>1278</v>
      </c>
      <c r="W21">
        <v>20800</v>
      </c>
      <c r="X21">
        <v>0</v>
      </c>
      <c r="Y21">
        <v>3000</v>
      </c>
      <c r="Z21">
        <v>3000</v>
      </c>
      <c r="AA21">
        <v>0</v>
      </c>
      <c r="AB21">
        <v>0</v>
      </c>
      <c r="AD21" t="s">
        <v>37</v>
      </c>
      <c r="AF21">
        <v>20800</v>
      </c>
      <c r="AG21">
        <v>14300</v>
      </c>
      <c r="AH21">
        <v>23800</v>
      </c>
      <c r="AI21">
        <v>0</v>
      </c>
      <c r="AJ21">
        <v>1214</v>
      </c>
      <c r="AK21">
        <v>0</v>
      </c>
      <c r="AN21" t="s">
        <v>834</v>
      </c>
      <c r="AP21">
        <v>23800</v>
      </c>
      <c r="AQ21">
        <v>0</v>
      </c>
      <c r="AR21">
        <v>1214</v>
      </c>
      <c r="AS21">
        <v>0</v>
      </c>
      <c r="AU21" t="s">
        <v>560</v>
      </c>
      <c r="AV21">
        <v>0</v>
      </c>
      <c r="AW21">
        <v>14300</v>
      </c>
    </row>
    <row r="22" spans="1:49">
      <c r="A22">
        <v>50</v>
      </c>
      <c r="B22" t="s">
        <v>673</v>
      </c>
      <c r="C22" s="59">
        <v>45447</v>
      </c>
      <c r="D22" t="s">
        <v>2081</v>
      </c>
      <c r="E22" t="s">
        <v>532</v>
      </c>
      <c r="I22" s="59">
        <v>45447</v>
      </c>
      <c r="J22" t="s">
        <v>563</v>
      </c>
      <c r="K22" t="s">
        <v>1282</v>
      </c>
      <c r="L22" s="59"/>
      <c r="M22" t="s">
        <v>531</v>
      </c>
      <c r="N22" t="s">
        <v>353</v>
      </c>
      <c r="O22">
        <v>1</v>
      </c>
      <c r="P22" t="s">
        <v>1280</v>
      </c>
      <c r="Q22" t="s">
        <v>1284</v>
      </c>
      <c r="S22" t="s">
        <v>1285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D22" t="s">
        <v>532</v>
      </c>
      <c r="AE22" t="s">
        <v>822</v>
      </c>
      <c r="AH22">
        <v>0</v>
      </c>
      <c r="AI22">
        <v>0</v>
      </c>
      <c r="AJ22">
        <v>0</v>
      </c>
      <c r="AK22">
        <v>0</v>
      </c>
      <c r="AN22" t="s">
        <v>834</v>
      </c>
      <c r="AP22">
        <v>0</v>
      </c>
      <c r="AQ22">
        <v>0</v>
      </c>
      <c r="AR22">
        <v>0</v>
      </c>
      <c r="AS22">
        <v>0</v>
      </c>
      <c r="AU22" t="s">
        <v>560</v>
      </c>
      <c r="AV22">
        <v>0</v>
      </c>
    </row>
    <row r="23" spans="1:49">
      <c r="A23">
        <v>51</v>
      </c>
      <c r="B23" t="s">
        <v>673</v>
      </c>
      <c r="C23" s="59">
        <v>45447</v>
      </c>
      <c r="D23" t="s">
        <v>2082</v>
      </c>
      <c r="E23" t="s">
        <v>532</v>
      </c>
      <c r="I23" s="59">
        <v>45447</v>
      </c>
      <c r="J23" t="s">
        <v>563</v>
      </c>
      <c r="K23" t="s">
        <v>1287</v>
      </c>
      <c r="L23" s="59"/>
      <c r="M23" t="s">
        <v>531</v>
      </c>
      <c r="N23" t="s">
        <v>353</v>
      </c>
      <c r="O23">
        <v>1</v>
      </c>
      <c r="P23" t="s">
        <v>1280</v>
      </c>
      <c r="Q23" t="s">
        <v>1284</v>
      </c>
      <c r="S23" t="s">
        <v>1285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D23" t="s">
        <v>532</v>
      </c>
      <c r="AE23" t="s">
        <v>822</v>
      </c>
      <c r="AH23">
        <v>0</v>
      </c>
      <c r="AI23">
        <v>0</v>
      </c>
      <c r="AJ23">
        <v>0</v>
      </c>
      <c r="AK23">
        <v>0</v>
      </c>
      <c r="AN23" t="s">
        <v>834</v>
      </c>
      <c r="AP23">
        <v>0</v>
      </c>
      <c r="AQ23">
        <v>0</v>
      </c>
      <c r="AR23">
        <v>0</v>
      </c>
      <c r="AS23">
        <v>0</v>
      </c>
      <c r="AU23" t="s">
        <v>560</v>
      </c>
      <c r="AV23">
        <v>0</v>
      </c>
    </row>
    <row r="24" spans="1:49">
      <c r="A24">
        <v>52</v>
      </c>
      <c r="B24" t="s">
        <v>673</v>
      </c>
      <c r="C24" s="59">
        <v>45447</v>
      </c>
      <c r="D24" t="s">
        <v>2083</v>
      </c>
      <c r="E24" t="s">
        <v>532</v>
      </c>
      <c r="I24" s="59">
        <v>45447</v>
      </c>
      <c r="J24" t="s">
        <v>563</v>
      </c>
      <c r="K24" t="s">
        <v>1290</v>
      </c>
      <c r="L24" s="59"/>
      <c r="M24" t="s">
        <v>531</v>
      </c>
      <c r="N24" t="s">
        <v>353</v>
      </c>
      <c r="O24">
        <v>1</v>
      </c>
      <c r="P24" t="s">
        <v>1280</v>
      </c>
      <c r="Q24" t="s">
        <v>1284</v>
      </c>
      <c r="S24" t="s">
        <v>1285</v>
      </c>
      <c r="W24">
        <v>0</v>
      </c>
      <c r="X24">
        <v>0</v>
      </c>
      <c r="Y24">
        <v>0</v>
      </c>
      <c r="Z24">
        <v>5500</v>
      </c>
      <c r="AA24">
        <v>0</v>
      </c>
      <c r="AB24">
        <v>0</v>
      </c>
      <c r="AD24" t="s">
        <v>532</v>
      </c>
      <c r="AE24" t="s">
        <v>822</v>
      </c>
      <c r="AH24">
        <v>0</v>
      </c>
      <c r="AI24">
        <v>0</v>
      </c>
      <c r="AJ24">
        <v>0</v>
      </c>
      <c r="AK24">
        <v>0</v>
      </c>
      <c r="AN24" t="s">
        <v>834</v>
      </c>
      <c r="AP24">
        <v>0</v>
      </c>
      <c r="AQ24">
        <v>0</v>
      </c>
      <c r="AR24">
        <v>0</v>
      </c>
      <c r="AS24">
        <v>0</v>
      </c>
      <c r="AU24" t="s">
        <v>560</v>
      </c>
      <c r="AV24">
        <v>0</v>
      </c>
    </row>
    <row r="25" spans="1:49">
      <c r="A25">
        <v>55</v>
      </c>
      <c r="B25" t="s">
        <v>673</v>
      </c>
      <c r="C25" s="59">
        <v>45446</v>
      </c>
      <c r="D25" t="s">
        <v>1308</v>
      </c>
      <c r="E25" t="s">
        <v>568</v>
      </c>
      <c r="F25" t="s">
        <v>1304</v>
      </c>
      <c r="G25" t="s">
        <v>1309</v>
      </c>
      <c r="H25" t="s">
        <v>1310</v>
      </c>
      <c r="I25" s="59">
        <v>45447</v>
      </c>
      <c r="J25" t="s">
        <v>563</v>
      </c>
      <c r="K25" t="s">
        <v>1307</v>
      </c>
      <c r="L25" s="59"/>
      <c r="M25" t="s">
        <v>36</v>
      </c>
      <c r="N25" t="s">
        <v>353</v>
      </c>
      <c r="O25">
        <v>1</v>
      </c>
      <c r="P25" t="s">
        <v>1304</v>
      </c>
      <c r="Q25" t="s">
        <v>1310</v>
      </c>
      <c r="S25" t="s">
        <v>1311</v>
      </c>
      <c r="T25" t="s">
        <v>569</v>
      </c>
      <c r="W25">
        <v>25200</v>
      </c>
      <c r="X25">
        <v>0</v>
      </c>
      <c r="Y25">
        <v>3000</v>
      </c>
      <c r="Z25">
        <v>3000</v>
      </c>
      <c r="AA25">
        <v>0</v>
      </c>
      <c r="AB25">
        <v>0</v>
      </c>
      <c r="AD25" t="s">
        <v>35</v>
      </c>
      <c r="AF25">
        <v>25200</v>
      </c>
      <c r="AG25">
        <v>16500</v>
      </c>
      <c r="AH25">
        <v>28200</v>
      </c>
      <c r="AI25">
        <v>0</v>
      </c>
      <c r="AJ25">
        <v>3093</v>
      </c>
      <c r="AK25">
        <v>0</v>
      </c>
      <c r="AN25" t="s">
        <v>834</v>
      </c>
      <c r="AP25">
        <v>28200</v>
      </c>
      <c r="AQ25">
        <v>0</v>
      </c>
      <c r="AR25">
        <v>3093</v>
      </c>
      <c r="AS25">
        <v>0</v>
      </c>
      <c r="AU25" t="s">
        <v>560</v>
      </c>
      <c r="AV25">
        <v>0</v>
      </c>
      <c r="AW25">
        <v>16500</v>
      </c>
    </row>
    <row r="26" spans="1:49">
      <c r="A26">
        <v>56</v>
      </c>
      <c r="B26" t="s">
        <v>673</v>
      </c>
      <c r="C26" s="59">
        <v>45446</v>
      </c>
      <c r="D26" t="s">
        <v>1316</v>
      </c>
      <c r="E26" t="s">
        <v>568</v>
      </c>
      <c r="F26" t="s">
        <v>1317</v>
      </c>
      <c r="G26" t="s">
        <v>1318</v>
      </c>
      <c r="H26" t="s">
        <v>1319</v>
      </c>
      <c r="I26" s="59">
        <v>45447</v>
      </c>
      <c r="J26" t="s">
        <v>563</v>
      </c>
      <c r="K26" t="s">
        <v>1315</v>
      </c>
      <c r="L26" s="59"/>
      <c r="M26" t="s">
        <v>44</v>
      </c>
      <c r="N26" t="s">
        <v>353</v>
      </c>
      <c r="O26">
        <v>1</v>
      </c>
      <c r="P26" t="s">
        <v>1313</v>
      </c>
      <c r="Q26" t="s">
        <v>1319</v>
      </c>
      <c r="S26" t="s">
        <v>1320</v>
      </c>
      <c r="T26" t="s">
        <v>569</v>
      </c>
      <c r="W26">
        <v>15120</v>
      </c>
      <c r="X26">
        <v>0</v>
      </c>
      <c r="Y26">
        <v>3000</v>
      </c>
      <c r="Z26">
        <v>3000</v>
      </c>
      <c r="AA26">
        <v>0</v>
      </c>
      <c r="AB26">
        <v>0</v>
      </c>
      <c r="AD26" t="s">
        <v>43</v>
      </c>
      <c r="AF26">
        <v>15120</v>
      </c>
      <c r="AG26">
        <v>9900</v>
      </c>
      <c r="AH26">
        <v>18120</v>
      </c>
      <c r="AI26">
        <v>0</v>
      </c>
      <c r="AJ26">
        <v>1895</v>
      </c>
      <c r="AK26">
        <v>0</v>
      </c>
      <c r="AN26" t="s">
        <v>834</v>
      </c>
      <c r="AP26">
        <v>18120</v>
      </c>
      <c r="AQ26">
        <v>0</v>
      </c>
      <c r="AR26">
        <v>1895</v>
      </c>
      <c r="AS26">
        <v>0</v>
      </c>
      <c r="AU26" t="s">
        <v>560</v>
      </c>
      <c r="AV26">
        <v>0</v>
      </c>
      <c r="AW26">
        <v>9900</v>
      </c>
    </row>
    <row r="27" spans="1:49">
      <c r="A27">
        <v>57</v>
      </c>
      <c r="B27" t="s">
        <v>673</v>
      </c>
      <c r="C27" s="59">
        <v>45448</v>
      </c>
      <c r="D27" t="s">
        <v>2084</v>
      </c>
      <c r="E27" t="s">
        <v>532</v>
      </c>
      <c r="I27" s="59">
        <v>45448</v>
      </c>
      <c r="J27" t="s">
        <v>563</v>
      </c>
      <c r="K27" t="s">
        <v>1324</v>
      </c>
      <c r="L27" s="59"/>
      <c r="M27" t="s">
        <v>531</v>
      </c>
      <c r="N27" t="s">
        <v>353</v>
      </c>
      <c r="O27">
        <v>3</v>
      </c>
      <c r="P27" t="s">
        <v>1322</v>
      </c>
      <c r="Q27" t="s">
        <v>1326</v>
      </c>
      <c r="S27" t="s">
        <v>1327</v>
      </c>
      <c r="W27">
        <v>0</v>
      </c>
      <c r="X27">
        <v>0</v>
      </c>
      <c r="Y27">
        <v>0</v>
      </c>
      <c r="Z27">
        <v>5500</v>
      </c>
      <c r="AA27">
        <v>0</v>
      </c>
      <c r="AB27">
        <v>0</v>
      </c>
      <c r="AD27" t="s">
        <v>532</v>
      </c>
      <c r="AE27" t="s">
        <v>822</v>
      </c>
      <c r="AH27">
        <v>0</v>
      </c>
      <c r="AI27">
        <v>0</v>
      </c>
      <c r="AJ27">
        <v>0</v>
      </c>
      <c r="AK27">
        <v>0</v>
      </c>
      <c r="AN27" t="s">
        <v>834</v>
      </c>
      <c r="AP27">
        <v>0</v>
      </c>
      <c r="AQ27">
        <v>0</v>
      </c>
      <c r="AR27">
        <v>0</v>
      </c>
      <c r="AS27">
        <v>0</v>
      </c>
      <c r="AU27" t="s">
        <v>560</v>
      </c>
      <c r="AV27">
        <v>0</v>
      </c>
    </row>
    <row r="28" spans="1:49">
      <c r="A28">
        <v>58</v>
      </c>
      <c r="B28" t="s">
        <v>673</v>
      </c>
      <c r="C28" s="59">
        <v>45448</v>
      </c>
      <c r="D28" t="s">
        <v>2085</v>
      </c>
      <c r="E28" t="s">
        <v>532</v>
      </c>
      <c r="I28" s="59">
        <v>45448</v>
      </c>
      <c r="J28" t="s">
        <v>563</v>
      </c>
      <c r="K28" t="s">
        <v>1328</v>
      </c>
      <c r="L28" s="59"/>
      <c r="M28" t="s">
        <v>531</v>
      </c>
      <c r="N28" t="s">
        <v>353</v>
      </c>
      <c r="O28">
        <v>3</v>
      </c>
      <c r="P28" t="s">
        <v>1322</v>
      </c>
      <c r="Q28" t="s">
        <v>1326</v>
      </c>
      <c r="S28" t="s">
        <v>1327</v>
      </c>
      <c r="W28">
        <v>0</v>
      </c>
      <c r="X28">
        <v>0</v>
      </c>
      <c r="Y28">
        <v>0</v>
      </c>
      <c r="Z28">
        <v>5500</v>
      </c>
      <c r="AA28">
        <v>0</v>
      </c>
      <c r="AB28">
        <v>0</v>
      </c>
      <c r="AD28" t="s">
        <v>532</v>
      </c>
      <c r="AE28" t="s">
        <v>822</v>
      </c>
      <c r="AH28">
        <v>0</v>
      </c>
      <c r="AI28">
        <v>0</v>
      </c>
      <c r="AJ28">
        <v>0</v>
      </c>
      <c r="AK28">
        <v>0</v>
      </c>
      <c r="AN28" t="s">
        <v>834</v>
      </c>
      <c r="AP28">
        <v>0</v>
      </c>
      <c r="AQ28">
        <v>0</v>
      </c>
      <c r="AR28">
        <v>0</v>
      </c>
      <c r="AS28">
        <v>0</v>
      </c>
      <c r="AU28" t="s">
        <v>560</v>
      </c>
      <c r="AV28">
        <v>0</v>
      </c>
    </row>
    <row r="29" spans="1:49">
      <c r="A29">
        <v>59</v>
      </c>
      <c r="B29" t="s">
        <v>673</v>
      </c>
      <c r="C29" s="59">
        <v>45448</v>
      </c>
      <c r="D29" t="s">
        <v>2086</v>
      </c>
      <c r="E29" t="s">
        <v>532</v>
      </c>
      <c r="I29" s="59">
        <v>45448</v>
      </c>
      <c r="J29" t="s">
        <v>563</v>
      </c>
      <c r="K29" t="s">
        <v>1331</v>
      </c>
      <c r="L29" s="59"/>
      <c r="M29" t="s">
        <v>531</v>
      </c>
      <c r="N29" t="s">
        <v>353</v>
      </c>
      <c r="O29">
        <v>1</v>
      </c>
      <c r="P29" t="s">
        <v>1330</v>
      </c>
      <c r="Q29" t="s">
        <v>1333</v>
      </c>
      <c r="S29" t="s">
        <v>1334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D29" t="s">
        <v>532</v>
      </c>
      <c r="AE29" t="s">
        <v>822</v>
      </c>
      <c r="AH29">
        <v>0</v>
      </c>
      <c r="AI29">
        <v>0</v>
      </c>
      <c r="AJ29">
        <v>0</v>
      </c>
      <c r="AK29">
        <v>0</v>
      </c>
      <c r="AN29" t="s">
        <v>834</v>
      </c>
      <c r="AP29">
        <v>0</v>
      </c>
      <c r="AQ29">
        <v>0</v>
      </c>
      <c r="AR29">
        <v>0</v>
      </c>
      <c r="AS29">
        <v>0</v>
      </c>
      <c r="AU29" t="s">
        <v>560</v>
      </c>
      <c r="AV29">
        <v>0</v>
      </c>
    </row>
    <row r="30" spans="1:49">
      <c r="A30">
        <v>64</v>
      </c>
      <c r="B30" t="s">
        <v>673</v>
      </c>
      <c r="C30" s="59">
        <v>45448</v>
      </c>
      <c r="D30" t="s">
        <v>1379</v>
      </c>
      <c r="E30" t="s">
        <v>561</v>
      </c>
      <c r="F30" t="s">
        <v>1376</v>
      </c>
      <c r="G30" t="s">
        <v>1380</v>
      </c>
      <c r="H30" t="s">
        <v>1381</v>
      </c>
      <c r="I30" s="59">
        <v>45448</v>
      </c>
      <c r="J30" t="s">
        <v>563</v>
      </c>
      <c r="K30" t="s">
        <v>1377</v>
      </c>
      <c r="L30" s="59"/>
      <c r="M30" t="s">
        <v>34</v>
      </c>
      <c r="N30" t="s">
        <v>353</v>
      </c>
      <c r="O30">
        <v>3</v>
      </c>
      <c r="P30" t="s">
        <v>1376</v>
      </c>
      <c r="Q30" t="s">
        <v>1381</v>
      </c>
      <c r="R30" t="s">
        <v>1382</v>
      </c>
      <c r="S30" t="s">
        <v>1383</v>
      </c>
      <c r="W30">
        <v>85200</v>
      </c>
      <c r="X30">
        <v>0</v>
      </c>
      <c r="Y30">
        <v>0</v>
      </c>
      <c r="Z30">
        <v>0</v>
      </c>
      <c r="AA30">
        <v>0</v>
      </c>
      <c r="AB30">
        <v>0</v>
      </c>
      <c r="AD30" t="s">
        <v>33</v>
      </c>
      <c r="AF30">
        <v>28800</v>
      </c>
      <c r="AG30">
        <v>19800</v>
      </c>
      <c r="AH30">
        <v>85200</v>
      </c>
      <c r="AI30">
        <v>0</v>
      </c>
      <c r="AJ30">
        <v>4361</v>
      </c>
      <c r="AK30">
        <v>0</v>
      </c>
      <c r="AN30" t="s">
        <v>834</v>
      </c>
      <c r="AP30">
        <v>85200</v>
      </c>
      <c r="AQ30">
        <v>0</v>
      </c>
      <c r="AR30">
        <v>4361</v>
      </c>
      <c r="AS30">
        <v>0</v>
      </c>
      <c r="AU30" t="s">
        <v>560</v>
      </c>
      <c r="AV30">
        <v>0</v>
      </c>
      <c r="AW30">
        <v>59400</v>
      </c>
    </row>
    <row r="31" spans="1:49">
      <c r="A31">
        <v>65</v>
      </c>
      <c r="B31" t="s">
        <v>673</v>
      </c>
      <c r="C31" s="59">
        <v>45448</v>
      </c>
      <c r="D31" t="s">
        <v>1388</v>
      </c>
      <c r="E31" t="s">
        <v>561</v>
      </c>
      <c r="F31" t="s">
        <v>1385</v>
      </c>
      <c r="G31" t="s">
        <v>1389</v>
      </c>
      <c r="H31" t="s">
        <v>1390</v>
      </c>
      <c r="I31" s="59">
        <v>45448</v>
      </c>
      <c r="J31" t="s">
        <v>563</v>
      </c>
      <c r="K31" t="s">
        <v>1386</v>
      </c>
      <c r="L31" s="59"/>
      <c r="M31" t="s">
        <v>38</v>
      </c>
      <c r="N31" t="s">
        <v>353</v>
      </c>
      <c r="O31">
        <v>1</v>
      </c>
      <c r="P31" t="s">
        <v>1385</v>
      </c>
      <c r="Q31" t="s">
        <v>1390</v>
      </c>
      <c r="S31" t="s">
        <v>1391</v>
      </c>
      <c r="T31" t="s">
        <v>1392</v>
      </c>
      <c r="W31">
        <v>20800</v>
      </c>
      <c r="X31">
        <v>0</v>
      </c>
      <c r="Y31">
        <v>3000</v>
      </c>
      <c r="Z31">
        <v>3000</v>
      </c>
      <c r="AA31">
        <v>0</v>
      </c>
      <c r="AB31">
        <v>0</v>
      </c>
      <c r="AD31" t="s">
        <v>37</v>
      </c>
      <c r="AF31">
        <v>20800</v>
      </c>
      <c r="AG31">
        <v>14300</v>
      </c>
      <c r="AH31">
        <v>23800</v>
      </c>
      <c r="AI31">
        <v>0</v>
      </c>
      <c r="AJ31">
        <v>1214</v>
      </c>
      <c r="AK31">
        <v>0</v>
      </c>
      <c r="AN31" t="s">
        <v>834</v>
      </c>
      <c r="AP31">
        <v>23800</v>
      </c>
      <c r="AQ31">
        <v>0</v>
      </c>
      <c r="AR31">
        <v>1214</v>
      </c>
      <c r="AS31">
        <v>0</v>
      </c>
      <c r="AU31" t="s">
        <v>560</v>
      </c>
      <c r="AV31">
        <v>0</v>
      </c>
      <c r="AW31">
        <v>14300</v>
      </c>
    </row>
    <row r="32" spans="1:49">
      <c r="A32">
        <v>66</v>
      </c>
      <c r="B32" t="s">
        <v>673</v>
      </c>
      <c r="C32" s="59">
        <v>45447</v>
      </c>
      <c r="D32" t="s">
        <v>1397</v>
      </c>
      <c r="E32" t="s">
        <v>568</v>
      </c>
      <c r="F32" t="s">
        <v>1398</v>
      </c>
      <c r="G32" t="s">
        <v>1399</v>
      </c>
      <c r="H32" t="s">
        <v>1400</v>
      </c>
      <c r="I32" s="59">
        <v>45448</v>
      </c>
      <c r="J32" t="s">
        <v>563</v>
      </c>
      <c r="K32" t="s">
        <v>1396</v>
      </c>
      <c r="L32" s="59"/>
      <c r="M32" t="s">
        <v>18</v>
      </c>
      <c r="N32" t="s">
        <v>353</v>
      </c>
      <c r="O32">
        <v>10</v>
      </c>
      <c r="P32" t="s">
        <v>1394</v>
      </c>
      <c r="Q32" t="s">
        <v>1400</v>
      </c>
      <c r="S32" t="s">
        <v>1401</v>
      </c>
      <c r="T32" t="s">
        <v>571</v>
      </c>
      <c r="W32">
        <v>110900</v>
      </c>
      <c r="X32">
        <v>0</v>
      </c>
      <c r="Y32">
        <v>0</v>
      </c>
      <c r="Z32">
        <v>0</v>
      </c>
      <c r="AA32">
        <v>0</v>
      </c>
      <c r="AB32">
        <v>0</v>
      </c>
      <c r="AD32" t="s">
        <v>17</v>
      </c>
      <c r="AF32">
        <v>11090</v>
      </c>
      <c r="AG32">
        <v>7260</v>
      </c>
      <c r="AH32">
        <v>110900</v>
      </c>
      <c r="AI32">
        <v>0</v>
      </c>
      <c r="AJ32">
        <v>13175</v>
      </c>
      <c r="AK32">
        <v>0</v>
      </c>
      <c r="AN32" t="s">
        <v>834</v>
      </c>
      <c r="AP32">
        <v>110900</v>
      </c>
      <c r="AQ32">
        <v>0</v>
      </c>
      <c r="AR32">
        <v>13175</v>
      </c>
      <c r="AS32">
        <v>0</v>
      </c>
      <c r="AU32" t="s">
        <v>560</v>
      </c>
      <c r="AV32">
        <v>0</v>
      </c>
      <c r="AW32">
        <v>72600</v>
      </c>
    </row>
    <row r="33" spans="1:49">
      <c r="A33">
        <v>69</v>
      </c>
      <c r="B33" t="s">
        <v>673</v>
      </c>
      <c r="C33" s="59">
        <v>45450</v>
      </c>
      <c r="D33" t="s">
        <v>2087</v>
      </c>
      <c r="E33" t="s">
        <v>532</v>
      </c>
      <c r="I33" s="59">
        <v>45450</v>
      </c>
      <c r="J33" t="s">
        <v>563</v>
      </c>
      <c r="K33" t="s">
        <v>1419</v>
      </c>
      <c r="L33" s="59"/>
      <c r="M33" t="s">
        <v>531</v>
      </c>
      <c r="N33" t="s">
        <v>353</v>
      </c>
      <c r="O33">
        <v>1</v>
      </c>
      <c r="P33" t="s">
        <v>1418</v>
      </c>
      <c r="Q33" t="s">
        <v>1421</v>
      </c>
      <c r="S33" t="s">
        <v>1422</v>
      </c>
      <c r="W33">
        <v>0</v>
      </c>
      <c r="X33">
        <v>0</v>
      </c>
      <c r="Y33">
        <v>0</v>
      </c>
      <c r="Z33">
        <v>5500</v>
      </c>
      <c r="AA33">
        <v>0</v>
      </c>
      <c r="AB33">
        <v>0</v>
      </c>
      <c r="AD33" t="s">
        <v>532</v>
      </c>
      <c r="AE33" t="s">
        <v>822</v>
      </c>
      <c r="AH33">
        <v>0</v>
      </c>
      <c r="AI33">
        <v>0</v>
      </c>
      <c r="AJ33">
        <v>0</v>
      </c>
      <c r="AK33">
        <v>0</v>
      </c>
      <c r="AN33" t="s">
        <v>834</v>
      </c>
      <c r="AP33">
        <v>0</v>
      </c>
      <c r="AQ33">
        <v>0</v>
      </c>
      <c r="AR33">
        <v>0</v>
      </c>
      <c r="AS33">
        <v>0</v>
      </c>
      <c r="AU33" t="s">
        <v>560</v>
      </c>
      <c r="AV33">
        <v>0</v>
      </c>
    </row>
    <row r="34" spans="1:49">
      <c r="A34">
        <v>70</v>
      </c>
      <c r="B34" t="s">
        <v>673</v>
      </c>
      <c r="C34" s="59">
        <v>45450</v>
      </c>
      <c r="D34" t="s">
        <v>2088</v>
      </c>
      <c r="E34" t="s">
        <v>532</v>
      </c>
      <c r="I34" s="59">
        <v>45450</v>
      </c>
      <c r="J34" t="s">
        <v>563</v>
      </c>
      <c r="K34" t="s">
        <v>1423</v>
      </c>
      <c r="L34" s="59"/>
      <c r="M34" t="s">
        <v>531</v>
      </c>
      <c r="N34" t="s">
        <v>353</v>
      </c>
      <c r="O34">
        <v>1</v>
      </c>
      <c r="P34" t="s">
        <v>1418</v>
      </c>
      <c r="Q34" t="s">
        <v>1421</v>
      </c>
      <c r="S34" t="s">
        <v>1422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D34" t="s">
        <v>532</v>
      </c>
      <c r="AE34" t="s">
        <v>822</v>
      </c>
      <c r="AH34">
        <v>0</v>
      </c>
      <c r="AI34">
        <v>0</v>
      </c>
      <c r="AJ34">
        <v>0</v>
      </c>
      <c r="AK34">
        <v>0</v>
      </c>
      <c r="AN34" t="s">
        <v>834</v>
      </c>
      <c r="AP34">
        <v>0</v>
      </c>
      <c r="AQ34">
        <v>0</v>
      </c>
      <c r="AR34">
        <v>0</v>
      </c>
      <c r="AS34">
        <v>0</v>
      </c>
      <c r="AU34" t="s">
        <v>560</v>
      </c>
      <c r="AV34">
        <v>0</v>
      </c>
    </row>
    <row r="35" spans="1:49">
      <c r="A35">
        <v>71</v>
      </c>
      <c r="B35" t="s">
        <v>673</v>
      </c>
      <c r="C35" s="59">
        <v>45450</v>
      </c>
      <c r="D35" t="s">
        <v>2089</v>
      </c>
      <c r="E35" t="s">
        <v>532</v>
      </c>
      <c r="I35" s="59">
        <v>45450</v>
      </c>
      <c r="J35" t="s">
        <v>563</v>
      </c>
      <c r="K35" t="s">
        <v>1426</v>
      </c>
      <c r="L35" s="59"/>
      <c r="M35" t="s">
        <v>531</v>
      </c>
      <c r="N35" t="s">
        <v>353</v>
      </c>
      <c r="O35">
        <v>1</v>
      </c>
      <c r="P35" t="s">
        <v>1425</v>
      </c>
      <c r="Q35" t="s">
        <v>1428</v>
      </c>
      <c r="S35" t="s">
        <v>1429</v>
      </c>
      <c r="W35">
        <v>0</v>
      </c>
      <c r="X35">
        <v>0</v>
      </c>
      <c r="Y35">
        <v>0</v>
      </c>
      <c r="Z35">
        <v>3000</v>
      </c>
      <c r="AA35">
        <v>0</v>
      </c>
      <c r="AB35">
        <v>0</v>
      </c>
      <c r="AD35" t="s">
        <v>532</v>
      </c>
      <c r="AE35" t="s">
        <v>822</v>
      </c>
      <c r="AH35">
        <v>0</v>
      </c>
      <c r="AI35">
        <v>0</v>
      </c>
      <c r="AJ35">
        <v>0</v>
      </c>
      <c r="AK35">
        <v>0</v>
      </c>
      <c r="AN35" t="s">
        <v>834</v>
      </c>
      <c r="AP35">
        <v>0</v>
      </c>
      <c r="AQ35">
        <v>0</v>
      </c>
      <c r="AR35">
        <v>0</v>
      </c>
      <c r="AS35">
        <v>0</v>
      </c>
      <c r="AU35" t="s">
        <v>560</v>
      </c>
      <c r="AV35">
        <v>0</v>
      </c>
    </row>
    <row r="36" spans="1:49">
      <c r="A36">
        <v>72</v>
      </c>
      <c r="B36" t="s">
        <v>673</v>
      </c>
      <c r="C36" s="59">
        <v>45450</v>
      </c>
      <c r="D36" t="s">
        <v>2090</v>
      </c>
      <c r="E36" t="s">
        <v>532</v>
      </c>
      <c r="I36" s="59">
        <v>45450</v>
      </c>
      <c r="J36" t="s">
        <v>563</v>
      </c>
      <c r="K36" t="s">
        <v>1430</v>
      </c>
      <c r="L36" s="59"/>
      <c r="M36" t="s">
        <v>531</v>
      </c>
      <c r="N36" t="s">
        <v>353</v>
      </c>
      <c r="O36">
        <v>1</v>
      </c>
      <c r="P36" t="s">
        <v>1418</v>
      </c>
      <c r="Q36" t="s">
        <v>1421</v>
      </c>
      <c r="S36" t="s">
        <v>1422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D36" t="s">
        <v>532</v>
      </c>
      <c r="AE36" t="s">
        <v>822</v>
      </c>
      <c r="AH36">
        <v>0</v>
      </c>
      <c r="AI36">
        <v>0</v>
      </c>
      <c r="AJ36">
        <v>0</v>
      </c>
      <c r="AK36">
        <v>0</v>
      </c>
      <c r="AN36" t="s">
        <v>834</v>
      </c>
      <c r="AP36">
        <v>0</v>
      </c>
      <c r="AQ36">
        <v>0</v>
      </c>
      <c r="AR36">
        <v>0</v>
      </c>
      <c r="AS36">
        <v>0</v>
      </c>
      <c r="AU36" t="s">
        <v>560</v>
      </c>
      <c r="AV36">
        <v>0</v>
      </c>
    </row>
    <row r="37" spans="1:49">
      <c r="A37">
        <v>73</v>
      </c>
      <c r="B37" t="s">
        <v>673</v>
      </c>
      <c r="C37" s="59">
        <v>45450</v>
      </c>
      <c r="D37" t="s">
        <v>1435</v>
      </c>
      <c r="E37" t="s">
        <v>561</v>
      </c>
      <c r="F37" t="s">
        <v>1432</v>
      </c>
      <c r="G37" t="s">
        <v>1436</v>
      </c>
      <c r="H37" t="s">
        <v>1437</v>
      </c>
      <c r="I37" s="59">
        <v>45450</v>
      </c>
      <c r="J37" t="s">
        <v>563</v>
      </c>
      <c r="K37" t="s">
        <v>1433</v>
      </c>
      <c r="L37" s="59"/>
      <c r="M37" t="s">
        <v>34</v>
      </c>
      <c r="N37" t="s">
        <v>353</v>
      </c>
      <c r="O37">
        <v>1</v>
      </c>
      <c r="P37" t="s">
        <v>1432</v>
      </c>
      <c r="Q37" t="s">
        <v>1438</v>
      </c>
      <c r="S37" t="s">
        <v>1439</v>
      </c>
      <c r="W37">
        <v>28400</v>
      </c>
      <c r="X37">
        <v>0</v>
      </c>
      <c r="Y37">
        <v>3000</v>
      </c>
      <c r="Z37">
        <v>3000</v>
      </c>
      <c r="AA37">
        <v>0</v>
      </c>
      <c r="AB37">
        <v>0</v>
      </c>
      <c r="AD37" t="s">
        <v>33</v>
      </c>
      <c r="AF37">
        <v>28800</v>
      </c>
      <c r="AG37">
        <v>19800</v>
      </c>
      <c r="AH37">
        <v>31400</v>
      </c>
      <c r="AI37">
        <v>0</v>
      </c>
      <c r="AJ37">
        <v>1596</v>
      </c>
      <c r="AK37">
        <v>0</v>
      </c>
      <c r="AN37" t="s">
        <v>834</v>
      </c>
      <c r="AP37">
        <v>31400</v>
      </c>
      <c r="AQ37">
        <v>0</v>
      </c>
      <c r="AR37">
        <v>1596</v>
      </c>
      <c r="AS37">
        <v>0</v>
      </c>
      <c r="AU37" t="s">
        <v>560</v>
      </c>
      <c r="AV37">
        <v>0</v>
      </c>
      <c r="AW37">
        <v>19800</v>
      </c>
    </row>
    <row r="38" spans="1:49">
      <c r="A38">
        <v>74</v>
      </c>
      <c r="B38" t="s">
        <v>673</v>
      </c>
      <c r="C38" s="59">
        <v>45449</v>
      </c>
      <c r="D38" t="s">
        <v>1444</v>
      </c>
      <c r="E38" t="s">
        <v>561</v>
      </c>
      <c r="F38" t="s">
        <v>1445</v>
      </c>
      <c r="G38" t="s">
        <v>1446</v>
      </c>
      <c r="H38" t="s">
        <v>1447</v>
      </c>
      <c r="I38" s="59">
        <v>45450</v>
      </c>
      <c r="J38" t="s">
        <v>563</v>
      </c>
      <c r="K38" t="s">
        <v>1442</v>
      </c>
      <c r="L38" s="59"/>
      <c r="M38" t="s">
        <v>18</v>
      </c>
      <c r="N38" t="s">
        <v>353</v>
      </c>
      <c r="O38">
        <v>2</v>
      </c>
      <c r="P38" t="s">
        <v>1441</v>
      </c>
      <c r="Q38" t="s">
        <v>1447</v>
      </c>
      <c r="R38" t="s">
        <v>1448</v>
      </c>
      <c r="S38" t="s">
        <v>1449</v>
      </c>
      <c r="W38">
        <v>21120</v>
      </c>
      <c r="X38">
        <v>0</v>
      </c>
      <c r="Y38">
        <v>0</v>
      </c>
      <c r="Z38">
        <v>3500</v>
      </c>
      <c r="AA38">
        <v>0</v>
      </c>
      <c r="AB38">
        <v>0</v>
      </c>
      <c r="AD38" t="s">
        <v>17</v>
      </c>
      <c r="AF38">
        <v>10560</v>
      </c>
      <c r="AG38">
        <v>7260</v>
      </c>
      <c r="AH38">
        <v>21120</v>
      </c>
      <c r="AI38">
        <v>0</v>
      </c>
      <c r="AJ38">
        <v>1141</v>
      </c>
      <c r="AK38">
        <v>0</v>
      </c>
      <c r="AN38" t="s">
        <v>834</v>
      </c>
      <c r="AP38">
        <v>21120</v>
      </c>
      <c r="AQ38">
        <v>0</v>
      </c>
      <c r="AR38">
        <v>1141</v>
      </c>
      <c r="AS38">
        <v>0</v>
      </c>
      <c r="AU38" t="s">
        <v>560</v>
      </c>
      <c r="AV38">
        <v>0</v>
      </c>
      <c r="AW38">
        <v>14520</v>
      </c>
    </row>
    <row r="39" spans="1:49">
      <c r="A39">
        <v>75</v>
      </c>
      <c r="B39" t="s">
        <v>673</v>
      </c>
      <c r="C39" s="59">
        <v>45449</v>
      </c>
      <c r="D39" t="s">
        <v>1452</v>
      </c>
      <c r="E39" t="s">
        <v>561</v>
      </c>
      <c r="F39" t="s">
        <v>1445</v>
      </c>
      <c r="G39" t="s">
        <v>1446</v>
      </c>
      <c r="H39" t="s">
        <v>1447</v>
      </c>
      <c r="I39" s="59">
        <v>45450</v>
      </c>
      <c r="J39" t="s">
        <v>563</v>
      </c>
      <c r="K39" t="s">
        <v>1442</v>
      </c>
      <c r="L39" s="59"/>
      <c r="M39" t="s">
        <v>243</v>
      </c>
      <c r="N39" t="s">
        <v>354</v>
      </c>
      <c r="O39">
        <v>5</v>
      </c>
      <c r="P39" t="s">
        <v>1441</v>
      </c>
      <c r="Q39" t="s">
        <v>1447</v>
      </c>
      <c r="R39" t="s">
        <v>1448</v>
      </c>
      <c r="S39" t="s">
        <v>1449</v>
      </c>
      <c r="W39">
        <v>7150</v>
      </c>
      <c r="X39">
        <v>7200</v>
      </c>
      <c r="Y39">
        <v>0</v>
      </c>
      <c r="Z39">
        <v>0</v>
      </c>
      <c r="AA39">
        <v>0</v>
      </c>
      <c r="AB39">
        <v>0</v>
      </c>
      <c r="AD39" t="s">
        <v>390</v>
      </c>
      <c r="AE39" t="s">
        <v>822</v>
      </c>
      <c r="AF39">
        <v>1430</v>
      </c>
      <c r="AG39">
        <v>1045</v>
      </c>
      <c r="AH39">
        <v>7150</v>
      </c>
      <c r="AI39">
        <v>0</v>
      </c>
      <c r="AJ39">
        <v>439</v>
      </c>
      <c r="AK39">
        <v>0</v>
      </c>
      <c r="AN39" t="s">
        <v>834</v>
      </c>
      <c r="AP39">
        <v>7150</v>
      </c>
      <c r="AQ39">
        <v>0</v>
      </c>
      <c r="AR39">
        <v>439</v>
      </c>
      <c r="AS39">
        <v>0</v>
      </c>
      <c r="AU39" t="s">
        <v>560</v>
      </c>
      <c r="AV39">
        <v>0</v>
      </c>
      <c r="AW39">
        <v>5225</v>
      </c>
    </row>
    <row r="40" spans="1:49">
      <c r="A40">
        <v>76</v>
      </c>
      <c r="B40" t="s">
        <v>673</v>
      </c>
      <c r="C40" s="59">
        <v>45449</v>
      </c>
      <c r="D40" t="s">
        <v>1454</v>
      </c>
      <c r="E40" t="s">
        <v>561</v>
      </c>
      <c r="F40" t="s">
        <v>1445</v>
      </c>
      <c r="G40" t="s">
        <v>1446</v>
      </c>
      <c r="H40" t="s">
        <v>1447</v>
      </c>
      <c r="I40" s="59">
        <v>45450</v>
      </c>
      <c r="J40" t="s">
        <v>563</v>
      </c>
      <c r="K40" t="s">
        <v>1442</v>
      </c>
      <c r="L40" s="59"/>
      <c r="M40" t="s">
        <v>112</v>
      </c>
      <c r="N40" t="s">
        <v>353</v>
      </c>
      <c r="O40">
        <v>3</v>
      </c>
      <c r="P40" t="s">
        <v>1441</v>
      </c>
      <c r="Q40" t="s">
        <v>1447</v>
      </c>
      <c r="R40" t="s">
        <v>1448</v>
      </c>
      <c r="S40" t="s">
        <v>1449</v>
      </c>
      <c r="W40">
        <v>9720</v>
      </c>
      <c r="X40">
        <v>3870</v>
      </c>
      <c r="Y40">
        <v>0</v>
      </c>
      <c r="Z40">
        <v>0</v>
      </c>
      <c r="AA40">
        <v>0</v>
      </c>
      <c r="AB40">
        <v>0</v>
      </c>
      <c r="AD40" t="s">
        <v>111</v>
      </c>
      <c r="AE40" t="s">
        <v>822</v>
      </c>
      <c r="AF40">
        <v>3240</v>
      </c>
      <c r="AG40">
        <v>2156</v>
      </c>
      <c r="AH40">
        <v>9720</v>
      </c>
      <c r="AI40">
        <v>0</v>
      </c>
      <c r="AJ40">
        <v>568</v>
      </c>
      <c r="AK40">
        <v>0</v>
      </c>
      <c r="AN40" t="s">
        <v>834</v>
      </c>
      <c r="AP40">
        <v>9720</v>
      </c>
      <c r="AQ40">
        <v>0</v>
      </c>
      <c r="AR40">
        <v>568</v>
      </c>
      <c r="AS40">
        <v>0</v>
      </c>
      <c r="AU40" t="s">
        <v>560</v>
      </c>
      <c r="AV40">
        <v>0</v>
      </c>
      <c r="AW40">
        <v>6468</v>
      </c>
    </row>
    <row r="41" spans="1:49">
      <c r="A41">
        <v>84</v>
      </c>
      <c r="B41" t="s">
        <v>673</v>
      </c>
      <c r="C41" s="59">
        <v>45448</v>
      </c>
      <c r="D41" t="s">
        <v>1507</v>
      </c>
      <c r="E41" t="s">
        <v>568</v>
      </c>
      <c r="F41" t="s">
        <v>1504</v>
      </c>
      <c r="G41" t="s">
        <v>1508</v>
      </c>
      <c r="H41" t="s">
        <v>1509</v>
      </c>
      <c r="I41" s="59">
        <v>45450</v>
      </c>
      <c r="J41" t="s">
        <v>563</v>
      </c>
      <c r="K41" t="s">
        <v>1506</v>
      </c>
      <c r="L41" s="59"/>
      <c r="M41" t="s">
        <v>36</v>
      </c>
      <c r="N41" t="s">
        <v>353</v>
      </c>
      <c r="O41">
        <v>1</v>
      </c>
      <c r="P41" t="s">
        <v>1504</v>
      </c>
      <c r="Q41" t="s">
        <v>1509</v>
      </c>
      <c r="S41" t="s">
        <v>1510</v>
      </c>
      <c r="T41" t="s">
        <v>569</v>
      </c>
      <c r="W41">
        <v>25200</v>
      </c>
      <c r="X41">
        <v>0</v>
      </c>
      <c r="Y41">
        <v>3000</v>
      </c>
      <c r="Z41">
        <v>3500</v>
      </c>
      <c r="AA41">
        <v>0</v>
      </c>
      <c r="AB41">
        <v>0</v>
      </c>
      <c r="AD41" t="s">
        <v>35</v>
      </c>
      <c r="AF41">
        <v>25200</v>
      </c>
      <c r="AG41">
        <v>16500</v>
      </c>
      <c r="AH41">
        <v>28200</v>
      </c>
      <c r="AI41">
        <v>0</v>
      </c>
      <c r="AJ41">
        <v>3093</v>
      </c>
      <c r="AK41">
        <v>0</v>
      </c>
      <c r="AN41" t="s">
        <v>834</v>
      </c>
      <c r="AP41">
        <v>28200</v>
      </c>
      <c r="AQ41">
        <v>0</v>
      </c>
      <c r="AR41">
        <v>3093</v>
      </c>
      <c r="AS41">
        <v>0</v>
      </c>
      <c r="AU41" t="s">
        <v>560</v>
      </c>
      <c r="AV41">
        <v>0</v>
      </c>
      <c r="AW41">
        <v>16500</v>
      </c>
    </row>
    <row r="42" spans="1:49">
      <c r="A42">
        <v>85</v>
      </c>
      <c r="B42" t="s">
        <v>673</v>
      </c>
      <c r="C42" s="59">
        <v>45449</v>
      </c>
      <c r="D42" t="s">
        <v>1514</v>
      </c>
      <c r="E42" t="s">
        <v>568</v>
      </c>
      <c r="F42" t="s">
        <v>1512</v>
      </c>
      <c r="G42" t="s">
        <v>1005</v>
      </c>
      <c r="H42" t="s">
        <v>1515</v>
      </c>
      <c r="I42" s="59">
        <v>45450</v>
      </c>
      <c r="J42" t="s">
        <v>563</v>
      </c>
      <c r="K42" t="s">
        <v>1513</v>
      </c>
      <c r="L42" s="59"/>
      <c r="M42" t="s">
        <v>34</v>
      </c>
      <c r="N42" t="s">
        <v>353</v>
      </c>
      <c r="O42">
        <v>1</v>
      </c>
      <c r="P42" t="s">
        <v>1512</v>
      </c>
      <c r="Q42" t="s">
        <v>1515</v>
      </c>
      <c r="S42" t="s">
        <v>1516</v>
      </c>
      <c r="T42" t="s">
        <v>571</v>
      </c>
      <c r="W42">
        <v>30240</v>
      </c>
      <c r="X42">
        <v>0</v>
      </c>
      <c r="Y42">
        <v>3000</v>
      </c>
      <c r="Z42">
        <v>3500</v>
      </c>
      <c r="AA42">
        <v>0</v>
      </c>
      <c r="AB42">
        <v>0</v>
      </c>
      <c r="AD42" t="s">
        <v>33</v>
      </c>
      <c r="AF42">
        <v>30240</v>
      </c>
      <c r="AG42">
        <v>19800</v>
      </c>
      <c r="AH42">
        <v>33240</v>
      </c>
      <c r="AI42">
        <v>0</v>
      </c>
      <c r="AJ42">
        <v>3692</v>
      </c>
      <c r="AK42">
        <v>0</v>
      </c>
      <c r="AN42" t="s">
        <v>834</v>
      </c>
      <c r="AP42">
        <v>33240</v>
      </c>
      <c r="AQ42">
        <v>0</v>
      </c>
      <c r="AR42">
        <v>3692</v>
      </c>
      <c r="AS42">
        <v>0</v>
      </c>
      <c r="AU42" t="s">
        <v>560</v>
      </c>
      <c r="AV42">
        <v>0</v>
      </c>
      <c r="AW42">
        <v>19800</v>
      </c>
    </row>
    <row r="43" spans="1:49">
      <c r="A43">
        <v>88</v>
      </c>
      <c r="B43" t="s">
        <v>673</v>
      </c>
      <c r="C43" s="59">
        <v>45453</v>
      </c>
      <c r="D43" t="s">
        <v>2091</v>
      </c>
      <c r="E43" t="s">
        <v>532</v>
      </c>
      <c r="I43" s="59">
        <v>45453</v>
      </c>
      <c r="J43" t="s">
        <v>563</v>
      </c>
      <c r="K43" t="s">
        <v>1536</v>
      </c>
      <c r="L43" s="59"/>
      <c r="M43" t="s">
        <v>531</v>
      </c>
      <c r="N43" t="s">
        <v>353</v>
      </c>
      <c r="O43">
        <v>1</v>
      </c>
      <c r="P43" t="s">
        <v>1535</v>
      </c>
      <c r="Q43" t="s">
        <v>1538</v>
      </c>
      <c r="S43" t="s">
        <v>1539</v>
      </c>
      <c r="W43">
        <v>0</v>
      </c>
      <c r="X43">
        <v>0</v>
      </c>
      <c r="Y43">
        <v>0</v>
      </c>
      <c r="Z43">
        <v>5500</v>
      </c>
      <c r="AA43">
        <v>0</v>
      </c>
      <c r="AB43">
        <v>0</v>
      </c>
      <c r="AD43" t="s">
        <v>532</v>
      </c>
      <c r="AE43" t="s">
        <v>822</v>
      </c>
      <c r="AH43">
        <v>0</v>
      </c>
      <c r="AI43">
        <v>0</v>
      </c>
      <c r="AJ43">
        <v>0</v>
      </c>
      <c r="AK43">
        <v>0</v>
      </c>
      <c r="AN43" t="s">
        <v>834</v>
      </c>
      <c r="AP43">
        <v>0</v>
      </c>
      <c r="AQ43">
        <v>0</v>
      </c>
      <c r="AR43">
        <v>0</v>
      </c>
      <c r="AS43">
        <v>0</v>
      </c>
      <c r="AU43" t="s">
        <v>560</v>
      </c>
      <c r="AV43">
        <v>0</v>
      </c>
    </row>
    <row r="44" spans="1:49">
      <c r="A44">
        <v>89</v>
      </c>
      <c r="B44" t="s">
        <v>673</v>
      </c>
      <c r="C44" s="59">
        <v>45453</v>
      </c>
      <c r="D44" t="s">
        <v>2092</v>
      </c>
      <c r="E44" t="s">
        <v>532</v>
      </c>
      <c r="I44" s="59">
        <v>45453</v>
      </c>
      <c r="J44" t="s">
        <v>563</v>
      </c>
      <c r="K44" t="s">
        <v>1540</v>
      </c>
      <c r="L44" s="59"/>
      <c r="M44" t="s">
        <v>531</v>
      </c>
      <c r="N44" t="s">
        <v>353</v>
      </c>
      <c r="O44">
        <v>1</v>
      </c>
      <c r="P44" t="s">
        <v>1535</v>
      </c>
      <c r="Q44" t="s">
        <v>1538</v>
      </c>
      <c r="S44" t="s">
        <v>1539</v>
      </c>
      <c r="W44">
        <v>0</v>
      </c>
      <c r="X44">
        <v>0</v>
      </c>
      <c r="Y44">
        <v>0</v>
      </c>
      <c r="Z44">
        <v>5500</v>
      </c>
      <c r="AA44">
        <v>0</v>
      </c>
      <c r="AB44">
        <v>0</v>
      </c>
      <c r="AD44" t="s">
        <v>532</v>
      </c>
      <c r="AE44" t="s">
        <v>822</v>
      </c>
      <c r="AH44">
        <v>0</v>
      </c>
      <c r="AI44">
        <v>0</v>
      </c>
      <c r="AJ44">
        <v>0</v>
      </c>
      <c r="AK44">
        <v>0</v>
      </c>
      <c r="AN44" t="s">
        <v>834</v>
      </c>
      <c r="AP44">
        <v>0</v>
      </c>
      <c r="AQ44">
        <v>0</v>
      </c>
      <c r="AR44">
        <v>0</v>
      </c>
      <c r="AS44">
        <v>0</v>
      </c>
      <c r="AU44" t="s">
        <v>560</v>
      </c>
      <c r="AV44">
        <v>0</v>
      </c>
    </row>
    <row r="45" spans="1:49">
      <c r="A45">
        <v>104</v>
      </c>
      <c r="B45" t="s">
        <v>673</v>
      </c>
      <c r="C45" s="59">
        <v>45453</v>
      </c>
      <c r="D45" t="s">
        <v>1633</v>
      </c>
      <c r="E45" t="s">
        <v>568</v>
      </c>
      <c r="F45" t="s">
        <v>1634</v>
      </c>
      <c r="G45" t="s">
        <v>1635</v>
      </c>
      <c r="H45" t="s">
        <v>1636</v>
      </c>
      <c r="I45" s="59">
        <v>45453</v>
      </c>
      <c r="J45" t="s">
        <v>563</v>
      </c>
      <c r="K45" t="s">
        <v>1632</v>
      </c>
      <c r="L45" s="59"/>
      <c r="M45" t="s">
        <v>26</v>
      </c>
      <c r="N45" t="s">
        <v>353</v>
      </c>
      <c r="O45">
        <v>10</v>
      </c>
      <c r="P45" t="s">
        <v>1631</v>
      </c>
      <c r="Q45" t="s">
        <v>1636</v>
      </c>
      <c r="S45" t="s">
        <v>1637</v>
      </c>
      <c r="T45" t="s">
        <v>571</v>
      </c>
      <c r="W45">
        <v>230200</v>
      </c>
      <c r="X45">
        <v>0</v>
      </c>
      <c r="Y45">
        <v>0</v>
      </c>
      <c r="Z45">
        <v>5500</v>
      </c>
      <c r="AA45">
        <v>0</v>
      </c>
      <c r="AB45">
        <v>0</v>
      </c>
      <c r="AD45" t="s">
        <v>25</v>
      </c>
      <c r="AF45">
        <v>23020</v>
      </c>
      <c r="AG45">
        <v>15070</v>
      </c>
      <c r="AH45">
        <v>230200</v>
      </c>
      <c r="AI45">
        <v>0</v>
      </c>
      <c r="AJ45">
        <v>27348</v>
      </c>
      <c r="AK45">
        <v>0</v>
      </c>
      <c r="AN45" t="s">
        <v>834</v>
      </c>
      <c r="AP45">
        <v>230200</v>
      </c>
      <c r="AQ45">
        <v>0</v>
      </c>
      <c r="AR45">
        <v>27348</v>
      </c>
      <c r="AS45">
        <v>0</v>
      </c>
      <c r="AU45" t="s">
        <v>560</v>
      </c>
      <c r="AV45">
        <v>1</v>
      </c>
      <c r="AW45">
        <v>150700</v>
      </c>
    </row>
    <row r="46" spans="1:49">
      <c r="A46">
        <v>105</v>
      </c>
      <c r="B46" t="s">
        <v>673</v>
      </c>
      <c r="C46" s="59">
        <v>45451</v>
      </c>
      <c r="D46" t="s">
        <v>1641</v>
      </c>
      <c r="E46" t="s">
        <v>568</v>
      </c>
      <c r="F46" t="s">
        <v>1642</v>
      </c>
      <c r="G46" t="s">
        <v>1643</v>
      </c>
      <c r="H46" t="s">
        <v>1644</v>
      </c>
      <c r="I46" s="59">
        <v>45453</v>
      </c>
      <c r="J46" t="s">
        <v>563</v>
      </c>
      <c r="K46" t="s">
        <v>1640</v>
      </c>
      <c r="L46" s="59"/>
      <c r="M46" t="s">
        <v>22</v>
      </c>
      <c r="N46" t="s">
        <v>353</v>
      </c>
      <c r="O46">
        <v>1</v>
      </c>
      <c r="P46" t="s">
        <v>1638</v>
      </c>
      <c r="Q46" t="s">
        <v>1644</v>
      </c>
      <c r="S46" t="s">
        <v>1645</v>
      </c>
      <c r="T46" t="s">
        <v>571</v>
      </c>
      <c r="W46">
        <v>19320</v>
      </c>
      <c r="X46">
        <v>0</v>
      </c>
      <c r="Y46">
        <v>3000</v>
      </c>
      <c r="Z46">
        <v>3000</v>
      </c>
      <c r="AA46">
        <v>0</v>
      </c>
      <c r="AB46">
        <v>0</v>
      </c>
      <c r="AD46" t="s">
        <v>21</v>
      </c>
      <c r="AF46">
        <v>19320</v>
      </c>
      <c r="AG46">
        <v>12650</v>
      </c>
      <c r="AH46">
        <v>22320</v>
      </c>
      <c r="AI46">
        <v>0</v>
      </c>
      <c r="AJ46">
        <v>2394</v>
      </c>
      <c r="AK46">
        <v>0</v>
      </c>
      <c r="AN46" t="s">
        <v>834</v>
      </c>
      <c r="AP46">
        <v>22320</v>
      </c>
      <c r="AQ46">
        <v>0</v>
      </c>
      <c r="AR46">
        <v>2394</v>
      </c>
      <c r="AS46">
        <v>0</v>
      </c>
      <c r="AU46" t="s">
        <v>560</v>
      </c>
      <c r="AV46">
        <v>0</v>
      </c>
      <c r="AW46">
        <v>12650</v>
      </c>
    </row>
    <row r="47" spans="1:49">
      <c r="A47">
        <v>106</v>
      </c>
      <c r="B47" t="s">
        <v>673</v>
      </c>
      <c r="C47" s="59">
        <v>45452</v>
      </c>
      <c r="D47" t="s">
        <v>1648</v>
      </c>
      <c r="E47" t="s">
        <v>568</v>
      </c>
      <c r="F47" t="s">
        <v>1634</v>
      </c>
      <c r="G47" t="s">
        <v>1635</v>
      </c>
      <c r="H47" t="s">
        <v>1636</v>
      </c>
      <c r="I47" s="59">
        <v>45453</v>
      </c>
      <c r="J47" t="s">
        <v>563</v>
      </c>
      <c r="K47" t="s">
        <v>1647</v>
      </c>
      <c r="L47" s="59"/>
      <c r="M47" t="s">
        <v>26</v>
      </c>
      <c r="N47" t="s">
        <v>353</v>
      </c>
      <c r="O47">
        <v>10</v>
      </c>
      <c r="P47" t="s">
        <v>1631</v>
      </c>
      <c r="Q47" t="s">
        <v>1636</v>
      </c>
      <c r="S47" t="s">
        <v>1637</v>
      </c>
      <c r="T47" t="s">
        <v>571</v>
      </c>
      <c r="W47">
        <v>230200</v>
      </c>
      <c r="X47">
        <v>0</v>
      </c>
      <c r="Y47">
        <v>0</v>
      </c>
      <c r="Z47">
        <v>0</v>
      </c>
      <c r="AA47">
        <v>0</v>
      </c>
      <c r="AB47">
        <v>0</v>
      </c>
      <c r="AD47" t="s">
        <v>25</v>
      </c>
      <c r="AE47" t="s">
        <v>822</v>
      </c>
      <c r="AF47">
        <v>23020</v>
      </c>
      <c r="AG47">
        <v>15070</v>
      </c>
      <c r="AH47">
        <v>230200</v>
      </c>
      <c r="AI47">
        <v>0</v>
      </c>
      <c r="AJ47">
        <v>27348</v>
      </c>
      <c r="AK47">
        <v>0</v>
      </c>
      <c r="AN47" t="s">
        <v>834</v>
      </c>
      <c r="AP47">
        <v>230200</v>
      </c>
      <c r="AQ47">
        <v>0</v>
      </c>
      <c r="AR47">
        <v>27348</v>
      </c>
      <c r="AS47">
        <v>0</v>
      </c>
      <c r="AU47" t="s">
        <v>560</v>
      </c>
      <c r="AV47">
        <v>1</v>
      </c>
      <c r="AW47">
        <v>150700</v>
      </c>
    </row>
    <row r="48" spans="1:49">
      <c r="A48">
        <v>112</v>
      </c>
      <c r="B48" t="s">
        <v>673</v>
      </c>
      <c r="C48" s="59">
        <v>45452</v>
      </c>
      <c r="D48" t="s">
        <v>1688</v>
      </c>
      <c r="E48" t="s">
        <v>561</v>
      </c>
      <c r="F48" t="s">
        <v>1684</v>
      </c>
      <c r="G48" t="s">
        <v>1689</v>
      </c>
      <c r="H48" t="s">
        <v>1690</v>
      </c>
      <c r="I48" s="59">
        <v>45453</v>
      </c>
      <c r="J48" t="s">
        <v>563</v>
      </c>
      <c r="K48" t="s">
        <v>1686</v>
      </c>
      <c r="L48" s="59"/>
      <c r="M48" t="s">
        <v>18</v>
      </c>
      <c r="N48" t="s">
        <v>353</v>
      </c>
      <c r="O48">
        <v>1</v>
      </c>
      <c r="P48" t="s">
        <v>1684</v>
      </c>
      <c r="Q48" t="s">
        <v>1690</v>
      </c>
      <c r="R48" t="s">
        <v>1690</v>
      </c>
      <c r="S48" t="s">
        <v>1691</v>
      </c>
      <c r="W48">
        <v>10560</v>
      </c>
      <c r="X48">
        <v>0</v>
      </c>
      <c r="Y48">
        <v>3000</v>
      </c>
      <c r="Z48">
        <v>3000</v>
      </c>
      <c r="AA48">
        <v>0</v>
      </c>
      <c r="AB48">
        <v>0</v>
      </c>
      <c r="AD48" t="s">
        <v>17</v>
      </c>
      <c r="AF48">
        <v>10560</v>
      </c>
      <c r="AG48">
        <v>7260</v>
      </c>
      <c r="AH48">
        <v>13560</v>
      </c>
      <c r="AI48">
        <v>0</v>
      </c>
      <c r="AJ48">
        <v>700</v>
      </c>
      <c r="AK48">
        <v>0</v>
      </c>
      <c r="AN48" t="s">
        <v>834</v>
      </c>
      <c r="AP48">
        <v>13560</v>
      </c>
      <c r="AQ48">
        <v>0</v>
      </c>
      <c r="AR48">
        <v>700</v>
      </c>
      <c r="AS48">
        <v>0</v>
      </c>
      <c r="AU48" t="s">
        <v>560</v>
      </c>
      <c r="AV48">
        <v>0</v>
      </c>
      <c r="AW48">
        <v>7260</v>
      </c>
    </row>
    <row r="49" spans="1:49">
      <c r="A49">
        <v>113</v>
      </c>
      <c r="B49" t="s">
        <v>673</v>
      </c>
      <c r="C49" s="59">
        <v>45450</v>
      </c>
      <c r="D49" t="s">
        <v>1697</v>
      </c>
      <c r="E49" t="s">
        <v>561</v>
      </c>
      <c r="F49" t="s">
        <v>1693</v>
      </c>
      <c r="G49" t="s">
        <v>1698</v>
      </c>
      <c r="H49" t="s">
        <v>1699</v>
      </c>
      <c r="I49" s="59">
        <v>45453</v>
      </c>
      <c r="J49" t="s">
        <v>563</v>
      </c>
      <c r="K49" t="s">
        <v>1695</v>
      </c>
      <c r="L49" s="59"/>
      <c r="M49" t="s">
        <v>20</v>
      </c>
      <c r="N49" t="s">
        <v>353</v>
      </c>
      <c r="O49">
        <v>1</v>
      </c>
      <c r="P49" t="s">
        <v>1693</v>
      </c>
      <c r="Q49" t="s">
        <v>1699</v>
      </c>
      <c r="S49" t="s">
        <v>1700</v>
      </c>
      <c r="W49">
        <v>14080</v>
      </c>
      <c r="X49">
        <v>0</v>
      </c>
      <c r="Y49">
        <v>3000</v>
      </c>
      <c r="Z49">
        <v>3000</v>
      </c>
      <c r="AA49">
        <v>0</v>
      </c>
      <c r="AB49">
        <v>0</v>
      </c>
      <c r="AD49" t="s">
        <v>19</v>
      </c>
      <c r="AF49">
        <v>14080</v>
      </c>
      <c r="AG49">
        <v>9680</v>
      </c>
      <c r="AH49">
        <v>17080</v>
      </c>
      <c r="AI49">
        <v>0</v>
      </c>
      <c r="AJ49">
        <v>877</v>
      </c>
      <c r="AK49">
        <v>0</v>
      </c>
      <c r="AN49" t="s">
        <v>834</v>
      </c>
      <c r="AP49">
        <v>17080</v>
      </c>
      <c r="AQ49">
        <v>0</v>
      </c>
      <c r="AR49">
        <v>877</v>
      </c>
      <c r="AS49">
        <v>0</v>
      </c>
      <c r="AU49" t="s">
        <v>560</v>
      </c>
      <c r="AV49">
        <v>0</v>
      </c>
      <c r="AW49">
        <v>9680</v>
      </c>
    </row>
    <row r="50" spans="1:49">
      <c r="A50">
        <v>114</v>
      </c>
      <c r="B50" t="s">
        <v>673</v>
      </c>
      <c r="C50" s="59">
        <v>45454</v>
      </c>
      <c r="D50" t="s">
        <v>2093</v>
      </c>
      <c r="E50" t="s">
        <v>532</v>
      </c>
      <c r="I50" s="59">
        <v>45454</v>
      </c>
      <c r="J50" t="s">
        <v>563</v>
      </c>
      <c r="K50" t="s">
        <v>1703</v>
      </c>
      <c r="L50" s="59"/>
      <c r="M50" t="s">
        <v>531</v>
      </c>
      <c r="N50" t="s">
        <v>353</v>
      </c>
      <c r="O50">
        <v>1</v>
      </c>
      <c r="P50" t="s">
        <v>1702</v>
      </c>
      <c r="Q50" t="s">
        <v>1705</v>
      </c>
      <c r="S50" t="s">
        <v>1706</v>
      </c>
      <c r="W50">
        <v>0</v>
      </c>
      <c r="X50">
        <v>0</v>
      </c>
      <c r="Y50">
        <v>0</v>
      </c>
      <c r="Z50">
        <v>3500</v>
      </c>
      <c r="AA50">
        <v>0</v>
      </c>
      <c r="AB50">
        <v>0</v>
      </c>
      <c r="AD50" t="s">
        <v>532</v>
      </c>
      <c r="AE50" t="s">
        <v>822</v>
      </c>
      <c r="AH50">
        <v>0</v>
      </c>
      <c r="AI50">
        <v>0</v>
      </c>
      <c r="AJ50">
        <v>0</v>
      </c>
      <c r="AK50">
        <v>0</v>
      </c>
      <c r="AN50" t="s">
        <v>834</v>
      </c>
      <c r="AP50">
        <v>0</v>
      </c>
      <c r="AQ50">
        <v>0</v>
      </c>
      <c r="AR50">
        <v>0</v>
      </c>
      <c r="AS50">
        <v>0</v>
      </c>
      <c r="AU50" t="s">
        <v>560</v>
      </c>
      <c r="AV50">
        <v>0</v>
      </c>
    </row>
    <row r="51" spans="1:49">
      <c r="A51">
        <v>115</v>
      </c>
      <c r="B51" t="s">
        <v>673</v>
      </c>
      <c r="C51" s="59">
        <v>45454</v>
      </c>
      <c r="D51" t="s">
        <v>2094</v>
      </c>
      <c r="E51" t="s">
        <v>532</v>
      </c>
      <c r="I51" s="59">
        <v>45454</v>
      </c>
      <c r="J51" t="s">
        <v>563</v>
      </c>
      <c r="K51" t="s">
        <v>1708</v>
      </c>
      <c r="L51" s="59"/>
      <c r="M51" t="s">
        <v>531</v>
      </c>
      <c r="N51" t="s">
        <v>353</v>
      </c>
      <c r="O51">
        <v>1</v>
      </c>
      <c r="P51" t="s">
        <v>1707</v>
      </c>
      <c r="Q51" t="s">
        <v>1710</v>
      </c>
      <c r="S51" t="s">
        <v>1711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D51" t="s">
        <v>532</v>
      </c>
      <c r="AE51" t="s">
        <v>822</v>
      </c>
      <c r="AH51">
        <v>0</v>
      </c>
      <c r="AI51">
        <v>0</v>
      </c>
      <c r="AJ51">
        <v>0</v>
      </c>
      <c r="AK51">
        <v>0</v>
      </c>
      <c r="AN51" t="s">
        <v>834</v>
      </c>
      <c r="AP51">
        <v>0</v>
      </c>
      <c r="AQ51">
        <v>0</v>
      </c>
      <c r="AR51">
        <v>0</v>
      </c>
      <c r="AS51">
        <v>0</v>
      </c>
      <c r="AU51" t="s">
        <v>560</v>
      </c>
      <c r="AV51">
        <v>0</v>
      </c>
    </row>
    <row r="52" spans="1:49">
      <c r="A52">
        <v>116</v>
      </c>
      <c r="B52" t="s">
        <v>673</v>
      </c>
      <c r="C52" s="59">
        <v>45454</v>
      </c>
      <c r="D52" t="s">
        <v>2095</v>
      </c>
      <c r="E52" t="s">
        <v>532</v>
      </c>
      <c r="I52" s="59">
        <v>45454</v>
      </c>
      <c r="J52" t="s">
        <v>563</v>
      </c>
      <c r="K52" t="s">
        <v>1713</v>
      </c>
      <c r="L52" s="59"/>
      <c r="M52" t="s">
        <v>531</v>
      </c>
      <c r="N52" t="s">
        <v>353</v>
      </c>
      <c r="O52">
        <v>1</v>
      </c>
      <c r="P52" t="s">
        <v>1712</v>
      </c>
      <c r="Q52" t="s">
        <v>1715</v>
      </c>
      <c r="S52" t="s">
        <v>1716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D52" t="s">
        <v>532</v>
      </c>
      <c r="AE52" t="s">
        <v>822</v>
      </c>
      <c r="AH52">
        <v>0</v>
      </c>
      <c r="AI52">
        <v>0</v>
      </c>
      <c r="AJ52">
        <v>0</v>
      </c>
      <c r="AK52">
        <v>0</v>
      </c>
      <c r="AN52" t="s">
        <v>834</v>
      </c>
      <c r="AP52">
        <v>0</v>
      </c>
      <c r="AQ52">
        <v>0</v>
      </c>
      <c r="AR52">
        <v>0</v>
      </c>
      <c r="AS52">
        <v>0</v>
      </c>
      <c r="AU52" t="s">
        <v>560</v>
      </c>
      <c r="AV52">
        <v>0</v>
      </c>
    </row>
    <row r="53" spans="1:49">
      <c r="A53">
        <v>117</v>
      </c>
      <c r="B53" t="s">
        <v>673</v>
      </c>
      <c r="C53" s="59">
        <v>45454</v>
      </c>
      <c r="D53" t="s">
        <v>2096</v>
      </c>
      <c r="E53" t="s">
        <v>532</v>
      </c>
      <c r="I53" s="59">
        <v>45454</v>
      </c>
      <c r="J53" t="s">
        <v>563</v>
      </c>
      <c r="K53" t="s">
        <v>1717</v>
      </c>
      <c r="L53" s="59"/>
      <c r="M53" t="s">
        <v>531</v>
      </c>
      <c r="N53" t="s">
        <v>353</v>
      </c>
      <c r="O53">
        <v>1</v>
      </c>
      <c r="P53" t="s">
        <v>1707</v>
      </c>
      <c r="Q53" t="s">
        <v>1710</v>
      </c>
      <c r="S53" t="s">
        <v>1711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D53" t="s">
        <v>532</v>
      </c>
      <c r="AE53" t="s">
        <v>822</v>
      </c>
      <c r="AH53">
        <v>0</v>
      </c>
      <c r="AI53">
        <v>0</v>
      </c>
      <c r="AJ53">
        <v>0</v>
      </c>
      <c r="AK53">
        <v>0</v>
      </c>
      <c r="AN53" t="s">
        <v>834</v>
      </c>
      <c r="AP53">
        <v>0</v>
      </c>
      <c r="AQ53">
        <v>0</v>
      </c>
      <c r="AR53">
        <v>0</v>
      </c>
      <c r="AS53">
        <v>0</v>
      </c>
      <c r="AU53" t="s">
        <v>560</v>
      </c>
      <c r="AV53">
        <v>0</v>
      </c>
    </row>
    <row r="54" spans="1:49">
      <c r="A54">
        <v>118</v>
      </c>
      <c r="B54" t="s">
        <v>673</v>
      </c>
      <c r="C54" s="59">
        <v>45454</v>
      </c>
      <c r="D54" t="s">
        <v>2089</v>
      </c>
      <c r="E54" t="s">
        <v>532</v>
      </c>
      <c r="I54" s="59">
        <v>45454</v>
      </c>
      <c r="J54" t="s">
        <v>563</v>
      </c>
      <c r="K54" t="s">
        <v>1720</v>
      </c>
      <c r="L54" s="59"/>
      <c r="M54" t="s">
        <v>531</v>
      </c>
      <c r="N54" t="s">
        <v>353</v>
      </c>
      <c r="O54">
        <v>1</v>
      </c>
      <c r="P54" t="s">
        <v>1702</v>
      </c>
      <c r="Q54" t="s">
        <v>1705</v>
      </c>
      <c r="S54" t="s">
        <v>1706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D54" t="s">
        <v>532</v>
      </c>
      <c r="AE54" t="s">
        <v>822</v>
      </c>
      <c r="AH54">
        <v>0</v>
      </c>
      <c r="AI54">
        <v>0</v>
      </c>
      <c r="AJ54">
        <v>0</v>
      </c>
      <c r="AK54">
        <v>0</v>
      </c>
      <c r="AN54" t="s">
        <v>834</v>
      </c>
      <c r="AO54">
        <v>1</v>
      </c>
      <c r="AP54">
        <v>0</v>
      </c>
      <c r="AQ54">
        <v>0</v>
      </c>
      <c r="AR54">
        <v>0</v>
      </c>
      <c r="AS54">
        <v>0</v>
      </c>
      <c r="AU54" t="s">
        <v>560</v>
      </c>
      <c r="AV54">
        <v>0</v>
      </c>
    </row>
    <row r="55" spans="1:49">
      <c r="A55">
        <v>119</v>
      </c>
      <c r="B55" t="s">
        <v>673</v>
      </c>
      <c r="C55" s="59">
        <v>45454</v>
      </c>
      <c r="D55" t="s">
        <v>2097</v>
      </c>
      <c r="E55" t="s">
        <v>532</v>
      </c>
      <c r="I55" s="59">
        <v>45454</v>
      </c>
      <c r="J55" t="s">
        <v>563</v>
      </c>
      <c r="K55" t="s">
        <v>1723</v>
      </c>
      <c r="L55" s="59"/>
      <c r="M55" t="s">
        <v>531</v>
      </c>
      <c r="N55" t="s">
        <v>353</v>
      </c>
      <c r="O55">
        <v>1</v>
      </c>
      <c r="P55" t="s">
        <v>1722</v>
      </c>
      <c r="Q55" t="s">
        <v>1725</v>
      </c>
      <c r="S55" t="s">
        <v>1726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D55" t="s">
        <v>532</v>
      </c>
      <c r="AE55" t="s">
        <v>822</v>
      </c>
      <c r="AH55">
        <v>0</v>
      </c>
      <c r="AI55">
        <v>0</v>
      </c>
      <c r="AJ55">
        <v>0</v>
      </c>
      <c r="AK55">
        <v>0</v>
      </c>
      <c r="AN55" t="s">
        <v>834</v>
      </c>
      <c r="AP55">
        <v>0</v>
      </c>
      <c r="AQ55">
        <v>0</v>
      </c>
      <c r="AR55">
        <v>0</v>
      </c>
      <c r="AS55">
        <v>0</v>
      </c>
      <c r="AU55" t="s">
        <v>560</v>
      </c>
      <c r="AV55">
        <v>0</v>
      </c>
    </row>
    <row r="56" spans="1:49">
      <c r="A56">
        <v>120</v>
      </c>
      <c r="B56" t="s">
        <v>673</v>
      </c>
      <c r="C56" s="59">
        <v>45454</v>
      </c>
      <c r="D56" t="s">
        <v>2098</v>
      </c>
      <c r="E56" t="s">
        <v>532</v>
      </c>
      <c r="I56" s="59">
        <v>45454</v>
      </c>
      <c r="J56" t="s">
        <v>563</v>
      </c>
      <c r="K56" t="s">
        <v>1727</v>
      </c>
      <c r="L56" s="59"/>
      <c r="M56" t="s">
        <v>531</v>
      </c>
      <c r="N56" t="s">
        <v>353</v>
      </c>
      <c r="O56">
        <v>1</v>
      </c>
      <c r="P56" t="s">
        <v>1722</v>
      </c>
      <c r="Q56" t="s">
        <v>1725</v>
      </c>
      <c r="S56" t="s">
        <v>1726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D56" t="s">
        <v>532</v>
      </c>
      <c r="AE56" t="s">
        <v>822</v>
      </c>
      <c r="AH56">
        <v>0</v>
      </c>
      <c r="AI56">
        <v>0</v>
      </c>
      <c r="AJ56">
        <v>0</v>
      </c>
      <c r="AK56">
        <v>0</v>
      </c>
      <c r="AN56" t="s">
        <v>834</v>
      </c>
      <c r="AP56">
        <v>0</v>
      </c>
      <c r="AQ56">
        <v>0</v>
      </c>
      <c r="AR56">
        <v>0</v>
      </c>
      <c r="AS56">
        <v>0</v>
      </c>
      <c r="AU56" t="s">
        <v>560</v>
      </c>
      <c r="AV56">
        <v>0</v>
      </c>
    </row>
    <row r="57" spans="1:49">
      <c r="A57">
        <v>121</v>
      </c>
      <c r="B57" t="s">
        <v>673</v>
      </c>
      <c r="C57" s="59">
        <v>45454</v>
      </c>
      <c r="D57" t="s">
        <v>2099</v>
      </c>
      <c r="E57" t="s">
        <v>532</v>
      </c>
      <c r="I57" s="59">
        <v>45454</v>
      </c>
      <c r="J57" t="s">
        <v>563</v>
      </c>
      <c r="K57" t="s">
        <v>1729</v>
      </c>
      <c r="L57" s="59"/>
      <c r="M57" t="s">
        <v>531</v>
      </c>
      <c r="N57" t="s">
        <v>353</v>
      </c>
      <c r="O57">
        <v>1</v>
      </c>
      <c r="P57" t="s">
        <v>1722</v>
      </c>
      <c r="Q57" t="s">
        <v>1725</v>
      </c>
      <c r="S57" t="s">
        <v>1726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D57" t="s">
        <v>532</v>
      </c>
      <c r="AE57" t="s">
        <v>822</v>
      </c>
      <c r="AH57">
        <v>0</v>
      </c>
      <c r="AI57">
        <v>0</v>
      </c>
      <c r="AJ57">
        <v>0</v>
      </c>
      <c r="AK57">
        <v>0</v>
      </c>
      <c r="AN57" t="s">
        <v>834</v>
      </c>
      <c r="AP57">
        <v>0</v>
      </c>
      <c r="AQ57">
        <v>0</v>
      </c>
      <c r="AR57">
        <v>0</v>
      </c>
      <c r="AS57">
        <v>0</v>
      </c>
      <c r="AU57" t="s">
        <v>560</v>
      </c>
      <c r="AV57">
        <v>0</v>
      </c>
    </row>
    <row r="58" spans="1:49">
      <c r="A58">
        <v>135</v>
      </c>
      <c r="B58" t="s">
        <v>673</v>
      </c>
      <c r="C58" s="59">
        <v>45453</v>
      </c>
      <c r="D58" t="s">
        <v>1818</v>
      </c>
      <c r="E58" t="s">
        <v>561</v>
      </c>
      <c r="F58" t="s">
        <v>1814</v>
      </c>
      <c r="G58" t="s">
        <v>1819</v>
      </c>
      <c r="H58" t="s">
        <v>1820</v>
      </c>
      <c r="I58" s="59">
        <v>45454</v>
      </c>
      <c r="J58" t="s">
        <v>563</v>
      </c>
      <c r="K58" t="s">
        <v>1816</v>
      </c>
      <c r="L58" s="59"/>
      <c r="M58" t="s">
        <v>26</v>
      </c>
      <c r="N58" t="s">
        <v>353</v>
      </c>
      <c r="O58">
        <v>2</v>
      </c>
      <c r="P58" t="s">
        <v>1814</v>
      </c>
      <c r="Q58" t="s">
        <v>1820</v>
      </c>
      <c r="S58" t="s">
        <v>1821</v>
      </c>
      <c r="W58">
        <v>43840</v>
      </c>
      <c r="X58">
        <v>0</v>
      </c>
      <c r="Y58">
        <v>0</v>
      </c>
      <c r="Z58">
        <v>4400</v>
      </c>
      <c r="AA58">
        <v>0</v>
      </c>
      <c r="AB58">
        <v>0</v>
      </c>
      <c r="AD58" t="s">
        <v>25</v>
      </c>
      <c r="AF58">
        <v>21920</v>
      </c>
      <c r="AG58">
        <v>15070</v>
      </c>
      <c r="AH58">
        <v>43840</v>
      </c>
      <c r="AI58">
        <v>0</v>
      </c>
      <c r="AJ58">
        <v>2283</v>
      </c>
      <c r="AK58">
        <v>0</v>
      </c>
      <c r="AN58" t="s">
        <v>834</v>
      </c>
      <c r="AP58">
        <v>43840</v>
      </c>
      <c r="AQ58">
        <v>0</v>
      </c>
      <c r="AR58">
        <v>2283</v>
      </c>
      <c r="AS58">
        <v>0</v>
      </c>
      <c r="AU58" t="s">
        <v>560</v>
      </c>
      <c r="AV58">
        <v>0</v>
      </c>
      <c r="AW58">
        <v>30140</v>
      </c>
    </row>
    <row r="59" spans="1:49">
      <c r="A59">
        <v>136</v>
      </c>
      <c r="B59" t="s">
        <v>673</v>
      </c>
      <c r="C59" s="59">
        <v>45453</v>
      </c>
      <c r="D59" t="s">
        <v>1827</v>
      </c>
      <c r="E59" t="s">
        <v>561</v>
      </c>
      <c r="F59" t="s">
        <v>1828</v>
      </c>
      <c r="G59" t="s">
        <v>1829</v>
      </c>
      <c r="H59" t="s">
        <v>1830</v>
      </c>
      <c r="I59" s="59">
        <v>45454</v>
      </c>
      <c r="J59" t="s">
        <v>563</v>
      </c>
      <c r="K59" t="s">
        <v>1825</v>
      </c>
      <c r="L59" s="59"/>
      <c r="M59" t="s">
        <v>36</v>
      </c>
      <c r="N59" t="s">
        <v>353</v>
      </c>
      <c r="O59">
        <v>1</v>
      </c>
      <c r="P59" t="s">
        <v>1823</v>
      </c>
      <c r="Q59" t="s">
        <v>1830</v>
      </c>
      <c r="S59" t="s">
        <v>1831</v>
      </c>
      <c r="W59">
        <v>24000</v>
      </c>
      <c r="X59">
        <v>0</v>
      </c>
      <c r="Y59">
        <v>3000</v>
      </c>
      <c r="Z59">
        <v>3500</v>
      </c>
      <c r="AA59">
        <v>0</v>
      </c>
      <c r="AB59">
        <v>0</v>
      </c>
      <c r="AD59" t="s">
        <v>35</v>
      </c>
      <c r="AF59">
        <v>24000</v>
      </c>
      <c r="AG59">
        <v>16500</v>
      </c>
      <c r="AH59">
        <v>27000</v>
      </c>
      <c r="AI59">
        <v>0</v>
      </c>
      <c r="AJ59">
        <v>1375</v>
      </c>
      <c r="AK59">
        <v>0</v>
      </c>
      <c r="AN59" t="s">
        <v>834</v>
      </c>
      <c r="AP59">
        <v>27000</v>
      </c>
      <c r="AQ59">
        <v>0</v>
      </c>
      <c r="AR59">
        <v>1375</v>
      </c>
      <c r="AS59">
        <v>0</v>
      </c>
      <c r="AU59" t="s">
        <v>560</v>
      </c>
      <c r="AV59">
        <v>0</v>
      </c>
      <c r="AW59">
        <v>16500</v>
      </c>
    </row>
    <row r="60" spans="1:49">
      <c r="A60">
        <v>137</v>
      </c>
      <c r="B60" t="s">
        <v>673</v>
      </c>
      <c r="C60" s="59">
        <v>45453</v>
      </c>
      <c r="D60" t="s">
        <v>1836</v>
      </c>
      <c r="E60" t="s">
        <v>561</v>
      </c>
      <c r="F60" t="s">
        <v>1833</v>
      </c>
      <c r="G60" t="s">
        <v>1837</v>
      </c>
      <c r="H60" t="s">
        <v>1838</v>
      </c>
      <c r="I60" s="59">
        <v>45454</v>
      </c>
      <c r="J60" t="s">
        <v>563</v>
      </c>
      <c r="K60" t="s">
        <v>1834</v>
      </c>
      <c r="L60" s="59"/>
      <c r="M60" t="s">
        <v>26</v>
      </c>
      <c r="N60" t="s">
        <v>353</v>
      </c>
      <c r="O60">
        <v>1</v>
      </c>
      <c r="P60" t="s">
        <v>1833</v>
      </c>
      <c r="Q60" t="s">
        <v>1838</v>
      </c>
      <c r="S60" t="s">
        <v>1839</v>
      </c>
      <c r="W60">
        <v>21920</v>
      </c>
      <c r="X60">
        <v>0</v>
      </c>
      <c r="Y60">
        <v>3000</v>
      </c>
      <c r="Z60">
        <v>3500</v>
      </c>
      <c r="AA60">
        <v>0</v>
      </c>
      <c r="AB60">
        <v>0</v>
      </c>
      <c r="AD60" t="s">
        <v>25</v>
      </c>
      <c r="AF60">
        <v>21920</v>
      </c>
      <c r="AG60">
        <v>15070</v>
      </c>
      <c r="AH60">
        <v>24920</v>
      </c>
      <c r="AI60">
        <v>0</v>
      </c>
      <c r="AJ60">
        <v>1270</v>
      </c>
      <c r="AK60">
        <v>0</v>
      </c>
      <c r="AN60" t="s">
        <v>834</v>
      </c>
      <c r="AP60">
        <v>24920</v>
      </c>
      <c r="AQ60">
        <v>0</v>
      </c>
      <c r="AR60">
        <v>1270</v>
      </c>
      <c r="AS60">
        <v>0</v>
      </c>
      <c r="AU60" t="s">
        <v>560</v>
      </c>
      <c r="AV60">
        <v>0</v>
      </c>
      <c r="AW60">
        <v>15070</v>
      </c>
    </row>
    <row r="61" spans="1:49">
      <c r="A61">
        <v>138</v>
      </c>
      <c r="B61" t="s">
        <v>673</v>
      </c>
      <c r="C61" s="59">
        <v>45455</v>
      </c>
      <c r="D61" t="s">
        <v>2100</v>
      </c>
      <c r="E61" t="s">
        <v>532</v>
      </c>
      <c r="I61" s="59">
        <v>45455</v>
      </c>
      <c r="J61" t="s">
        <v>563</v>
      </c>
      <c r="K61" t="s">
        <v>1842</v>
      </c>
      <c r="L61" s="59"/>
      <c r="M61" t="s">
        <v>531</v>
      </c>
      <c r="N61" t="s">
        <v>353</v>
      </c>
      <c r="O61">
        <v>1</v>
      </c>
      <c r="P61" t="s">
        <v>1841</v>
      </c>
      <c r="Q61" t="s">
        <v>1844</v>
      </c>
      <c r="S61" t="s">
        <v>1845</v>
      </c>
      <c r="W61">
        <v>0</v>
      </c>
      <c r="X61">
        <v>0</v>
      </c>
      <c r="Y61">
        <v>0</v>
      </c>
      <c r="Z61">
        <v>4400</v>
      </c>
      <c r="AA61">
        <v>0</v>
      </c>
      <c r="AB61">
        <v>0</v>
      </c>
      <c r="AD61" t="s">
        <v>532</v>
      </c>
      <c r="AE61" t="s">
        <v>822</v>
      </c>
      <c r="AH61">
        <v>0</v>
      </c>
      <c r="AI61">
        <v>0</v>
      </c>
      <c r="AJ61">
        <v>0</v>
      </c>
      <c r="AK61">
        <v>0</v>
      </c>
      <c r="AN61" t="s">
        <v>834</v>
      </c>
      <c r="AP61">
        <v>0</v>
      </c>
      <c r="AQ61">
        <v>0</v>
      </c>
      <c r="AR61">
        <v>0</v>
      </c>
      <c r="AS61">
        <v>0</v>
      </c>
      <c r="AU61" t="s">
        <v>560</v>
      </c>
      <c r="AV61">
        <v>0</v>
      </c>
    </row>
    <row r="62" spans="1:49">
      <c r="A62">
        <v>140</v>
      </c>
      <c r="B62" t="s">
        <v>673</v>
      </c>
      <c r="C62" s="59">
        <v>45454</v>
      </c>
      <c r="D62" t="s">
        <v>1855</v>
      </c>
      <c r="E62" t="s">
        <v>568</v>
      </c>
      <c r="F62" t="s">
        <v>1853</v>
      </c>
      <c r="G62" t="s">
        <v>1856</v>
      </c>
      <c r="H62" t="s">
        <v>1857</v>
      </c>
      <c r="I62" s="59">
        <v>45455</v>
      </c>
      <c r="J62" t="s">
        <v>563</v>
      </c>
      <c r="K62" t="s">
        <v>1854</v>
      </c>
      <c r="L62" s="59"/>
      <c r="M62" t="s">
        <v>26</v>
      </c>
      <c r="N62" t="s">
        <v>353</v>
      </c>
      <c r="O62">
        <v>1</v>
      </c>
      <c r="P62" t="s">
        <v>1853</v>
      </c>
      <c r="Q62" t="s">
        <v>1857</v>
      </c>
      <c r="S62" t="s">
        <v>1858</v>
      </c>
      <c r="T62" t="s">
        <v>569</v>
      </c>
      <c r="W62">
        <v>23020</v>
      </c>
      <c r="X62">
        <v>0</v>
      </c>
      <c r="Y62">
        <v>3000</v>
      </c>
      <c r="Z62">
        <v>3000</v>
      </c>
      <c r="AA62">
        <v>0</v>
      </c>
      <c r="AB62">
        <v>0</v>
      </c>
      <c r="AD62" t="s">
        <v>25</v>
      </c>
      <c r="AF62">
        <v>23020</v>
      </c>
      <c r="AG62">
        <v>15070</v>
      </c>
      <c r="AH62">
        <v>26020</v>
      </c>
      <c r="AI62">
        <v>0</v>
      </c>
      <c r="AJ62">
        <v>2834</v>
      </c>
      <c r="AK62">
        <v>0</v>
      </c>
      <c r="AN62" t="s">
        <v>834</v>
      </c>
      <c r="AP62">
        <v>26020</v>
      </c>
      <c r="AQ62">
        <v>0</v>
      </c>
      <c r="AR62">
        <v>2834</v>
      </c>
      <c r="AS62">
        <v>0</v>
      </c>
      <c r="AU62" t="s">
        <v>560</v>
      </c>
      <c r="AV62">
        <v>0</v>
      </c>
      <c r="AW62">
        <v>15070</v>
      </c>
    </row>
    <row r="63" spans="1:49">
      <c r="A63">
        <v>143</v>
      </c>
      <c r="B63" t="s">
        <v>673</v>
      </c>
      <c r="C63" s="59">
        <v>45456</v>
      </c>
      <c r="D63" t="s">
        <v>675</v>
      </c>
      <c r="E63" t="s">
        <v>561</v>
      </c>
      <c r="F63" t="s">
        <v>670</v>
      </c>
      <c r="G63" t="s">
        <v>676</v>
      </c>
      <c r="H63" t="s">
        <v>677</v>
      </c>
      <c r="I63" s="59">
        <v>45456</v>
      </c>
      <c r="J63" t="s">
        <v>563</v>
      </c>
      <c r="K63" t="s">
        <v>672</v>
      </c>
      <c r="L63" s="59"/>
      <c r="M63" t="s">
        <v>18</v>
      </c>
      <c r="N63" t="s">
        <v>353</v>
      </c>
      <c r="O63">
        <v>1</v>
      </c>
      <c r="P63" t="s">
        <v>670</v>
      </c>
      <c r="Q63" t="s">
        <v>677</v>
      </c>
      <c r="S63" t="s">
        <v>678</v>
      </c>
      <c r="W63">
        <v>10560</v>
      </c>
      <c r="X63">
        <v>0</v>
      </c>
      <c r="Y63">
        <v>3000</v>
      </c>
      <c r="Z63">
        <v>3500</v>
      </c>
      <c r="AA63">
        <v>0</v>
      </c>
      <c r="AB63">
        <v>0</v>
      </c>
      <c r="AD63" t="s">
        <v>17</v>
      </c>
      <c r="AF63">
        <v>10560</v>
      </c>
      <c r="AG63">
        <v>7260</v>
      </c>
      <c r="AH63">
        <v>13560</v>
      </c>
      <c r="AI63">
        <v>0</v>
      </c>
      <c r="AJ63">
        <v>700</v>
      </c>
      <c r="AK63">
        <v>0</v>
      </c>
      <c r="AN63" t="s">
        <v>834</v>
      </c>
      <c r="AP63">
        <v>13560</v>
      </c>
      <c r="AQ63">
        <v>0</v>
      </c>
      <c r="AR63">
        <v>700</v>
      </c>
      <c r="AS63">
        <v>0</v>
      </c>
      <c r="AU63" t="s">
        <v>560</v>
      </c>
      <c r="AV63">
        <v>0</v>
      </c>
      <c r="AW63">
        <v>7260</v>
      </c>
    </row>
    <row r="64" spans="1:49">
      <c r="A64">
        <v>144</v>
      </c>
      <c r="B64" t="s">
        <v>673</v>
      </c>
      <c r="C64" s="59">
        <v>45456</v>
      </c>
      <c r="D64" t="s">
        <v>682</v>
      </c>
      <c r="E64" t="s">
        <v>561</v>
      </c>
      <c r="F64" t="s">
        <v>670</v>
      </c>
      <c r="G64" t="s">
        <v>676</v>
      </c>
      <c r="H64" t="s">
        <v>677</v>
      </c>
      <c r="I64" s="59">
        <v>45456</v>
      </c>
      <c r="J64" t="s">
        <v>563</v>
      </c>
      <c r="K64" t="s">
        <v>672</v>
      </c>
      <c r="L64" s="59"/>
      <c r="M64" t="s">
        <v>90</v>
      </c>
      <c r="N64" t="s">
        <v>353</v>
      </c>
      <c r="O64">
        <v>1</v>
      </c>
      <c r="P64" t="s">
        <v>670</v>
      </c>
      <c r="Q64" t="s">
        <v>677</v>
      </c>
      <c r="S64" t="s">
        <v>678</v>
      </c>
      <c r="W64">
        <v>3450</v>
      </c>
      <c r="X64">
        <v>0</v>
      </c>
      <c r="Y64">
        <v>0</v>
      </c>
      <c r="Z64">
        <v>0</v>
      </c>
      <c r="AA64">
        <v>0</v>
      </c>
      <c r="AB64">
        <v>0</v>
      </c>
      <c r="AD64" t="s">
        <v>89</v>
      </c>
      <c r="AE64" t="s">
        <v>822</v>
      </c>
      <c r="AF64">
        <v>3800</v>
      </c>
      <c r="AG64">
        <v>2530</v>
      </c>
      <c r="AH64">
        <v>3450</v>
      </c>
      <c r="AI64">
        <v>0</v>
      </c>
      <c r="AJ64">
        <v>253</v>
      </c>
      <c r="AK64">
        <v>0</v>
      </c>
      <c r="AN64" t="s">
        <v>834</v>
      </c>
      <c r="AP64">
        <v>3450</v>
      </c>
      <c r="AQ64">
        <v>0</v>
      </c>
      <c r="AR64">
        <v>253</v>
      </c>
      <c r="AS64">
        <v>0</v>
      </c>
      <c r="AU64" t="s">
        <v>560</v>
      </c>
      <c r="AV64">
        <v>0</v>
      </c>
      <c r="AW64">
        <v>2530</v>
      </c>
    </row>
    <row r="65" spans="1:49">
      <c r="A65">
        <v>145</v>
      </c>
      <c r="B65" t="s">
        <v>673</v>
      </c>
      <c r="C65" s="59">
        <v>45455</v>
      </c>
      <c r="D65" t="s">
        <v>687</v>
      </c>
      <c r="E65" t="s">
        <v>568</v>
      </c>
      <c r="F65" t="s">
        <v>688</v>
      </c>
      <c r="G65" t="s">
        <v>835</v>
      </c>
      <c r="H65" t="s">
        <v>836</v>
      </c>
      <c r="I65" s="59">
        <v>45456</v>
      </c>
      <c r="J65" t="s">
        <v>563</v>
      </c>
      <c r="K65" t="s">
        <v>686</v>
      </c>
      <c r="L65" s="59"/>
      <c r="M65" t="s">
        <v>34</v>
      </c>
      <c r="N65" t="s">
        <v>353</v>
      </c>
      <c r="O65">
        <v>2</v>
      </c>
      <c r="P65" t="s">
        <v>683</v>
      </c>
      <c r="Q65" t="s">
        <v>836</v>
      </c>
      <c r="S65" t="s">
        <v>689</v>
      </c>
      <c r="T65" t="s">
        <v>571</v>
      </c>
      <c r="W65">
        <v>60480</v>
      </c>
      <c r="X65">
        <v>0</v>
      </c>
      <c r="Y65">
        <v>0</v>
      </c>
      <c r="Z65">
        <v>4400</v>
      </c>
      <c r="AA65">
        <v>0</v>
      </c>
      <c r="AB65">
        <v>0</v>
      </c>
      <c r="AD65" t="s">
        <v>33</v>
      </c>
      <c r="AF65">
        <v>30240</v>
      </c>
      <c r="AG65">
        <v>19800</v>
      </c>
      <c r="AH65">
        <v>60480</v>
      </c>
      <c r="AI65">
        <v>0</v>
      </c>
      <c r="AJ65">
        <v>7185</v>
      </c>
      <c r="AK65">
        <v>0</v>
      </c>
      <c r="AN65" t="s">
        <v>834</v>
      </c>
      <c r="AP65">
        <v>60480</v>
      </c>
      <c r="AQ65">
        <v>0</v>
      </c>
      <c r="AR65">
        <v>7185</v>
      </c>
      <c r="AS65">
        <v>0</v>
      </c>
      <c r="AU65" t="s">
        <v>560</v>
      </c>
      <c r="AV65">
        <v>0</v>
      </c>
      <c r="AW65">
        <v>39600</v>
      </c>
    </row>
    <row r="66" spans="1:49">
      <c r="A66">
        <v>146</v>
      </c>
      <c r="B66" t="s">
        <v>673</v>
      </c>
      <c r="C66" s="59">
        <v>45455</v>
      </c>
      <c r="D66" t="s">
        <v>695</v>
      </c>
      <c r="E66" t="s">
        <v>568</v>
      </c>
      <c r="F66" t="s">
        <v>696</v>
      </c>
      <c r="G66" t="s">
        <v>697</v>
      </c>
      <c r="H66" t="s">
        <v>698</v>
      </c>
      <c r="I66" s="59">
        <v>45456</v>
      </c>
      <c r="J66" t="s">
        <v>563</v>
      </c>
      <c r="K66" t="s">
        <v>694</v>
      </c>
      <c r="L66" s="59"/>
      <c r="M66" t="s">
        <v>133</v>
      </c>
      <c r="N66" t="s">
        <v>353</v>
      </c>
      <c r="O66">
        <v>1</v>
      </c>
      <c r="P66" t="s">
        <v>691</v>
      </c>
      <c r="Q66" t="s">
        <v>698</v>
      </c>
      <c r="S66" t="s">
        <v>699</v>
      </c>
      <c r="T66" t="s">
        <v>571</v>
      </c>
      <c r="W66">
        <v>34000</v>
      </c>
      <c r="X66">
        <v>0</v>
      </c>
      <c r="Y66">
        <v>3000</v>
      </c>
      <c r="Z66">
        <v>4400</v>
      </c>
      <c r="AA66">
        <v>0</v>
      </c>
      <c r="AB66">
        <v>0</v>
      </c>
      <c r="AD66" t="s">
        <v>132</v>
      </c>
      <c r="AF66">
        <v>8700</v>
      </c>
      <c r="AG66">
        <v>5500</v>
      </c>
      <c r="AH66">
        <v>37000</v>
      </c>
      <c r="AI66">
        <v>0</v>
      </c>
      <c r="AJ66">
        <v>4138</v>
      </c>
      <c r="AK66">
        <v>0</v>
      </c>
      <c r="AN66" t="s">
        <v>834</v>
      </c>
      <c r="AO66">
        <v>10</v>
      </c>
      <c r="AP66">
        <v>37000</v>
      </c>
      <c r="AQ66">
        <v>0</v>
      </c>
      <c r="AR66">
        <v>4138</v>
      </c>
      <c r="AS66">
        <v>0</v>
      </c>
      <c r="AU66" t="s">
        <v>560</v>
      </c>
      <c r="AV66">
        <v>0</v>
      </c>
      <c r="AW66">
        <v>5500</v>
      </c>
    </row>
    <row r="67" spans="1:49">
      <c r="A67">
        <v>147</v>
      </c>
      <c r="B67" t="s">
        <v>673</v>
      </c>
      <c r="C67" s="59">
        <v>45456</v>
      </c>
      <c r="D67" t="s">
        <v>706</v>
      </c>
      <c r="E67" t="s">
        <v>568</v>
      </c>
      <c r="F67" t="s">
        <v>702</v>
      </c>
      <c r="G67" t="s">
        <v>707</v>
      </c>
      <c r="H67" t="s">
        <v>708</v>
      </c>
      <c r="I67" s="59">
        <v>45456</v>
      </c>
      <c r="J67" t="s">
        <v>563</v>
      </c>
      <c r="K67" t="s">
        <v>705</v>
      </c>
      <c r="L67" s="59"/>
      <c r="M67" t="s">
        <v>26</v>
      </c>
      <c r="N67" t="s">
        <v>353</v>
      </c>
      <c r="O67">
        <v>1</v>
      </c>
      <c r="P67" t="s">
        <v>702</v>
      </c>
      <c r="Q67" t="s">
        <v>708</v>
      </c>
      <c r="S67" t="s">
        <v>709</v>
      </c>
      <c r="T67" t="s">
        <v>569</v>
      </c>
      <c r="W67">
        <v>23020</v>
      </c>
      <c r="X67">
        <v>0</v>
      </c>
      <c r="Y67">
        <v>3000</v>
      </c>
      <c r="Z67">
        <v>3000</v>
      </c>
      <c r="AA67">
        <v>0</v>
      </c>
      <c r="AB67">
        <v>0</v>
      </c>
      <c r="AD67" t="s">
        <v>25</v>
      </c>
      <c r="AF67">
        <v>23020</v>
      </c>
      <c r="AG67">
        <v>15070</v>
      </c>
      <c r="AH67">
        <v>26020</v>
      </c>
      <c r="AI67">
        <v>0</v>
      </c>
      <c r="AJ67">
        <v>2834</v>
      </c>
      <c r="AK67">
        <v>0</v>
      </c>
      <c r="AN67" t="s">
        <v>834</v>
      </c>
      <c r="AP67">
        <v>26020</v>
      </c>
      <c r="AQ67">
        <v>0</v>
      </c>
      <c r="AR67">
        <v>2834</v>
      </c>
      <c r="AS67">
        <v>0</v>
      </c>
      <c r="AU67" t="s">
        <v>560</v>
      </c>
      <c r="AV67">
        <v>0</v>
      </c>
      <c r="AW67">
        <v>15070</v>
      </c>
    </row>
    <row r="68" spans="1:49">
      <c r="A68">
        <v>148</v>
      </c>
      <c r="B68" t="s">
        <v>673</v>
      </c>
      <c r="C68" s="59">
        <v>45456</v>
      </c>
      <c r="D68" t="s">
        <v>2101</v>
      </c>
      <c r="E68" t="s">
        <v>532</v>
      </c>
      <c r="I68" s="59">
        <v>45456</v>
      </c>
      <c r="J68" t="s">
        <v>563</v>
      </c>
      <c r="K68" t="s">
        <v>1881</v>
      </c>
      <c r="L68" s="59"/>
      <c r="M68" t="s">
        <v>531</v>
      </c>
      <c r="N68" t="s">
        <v>353</v>
      </c>
      <c r="O68">
        <v>1</v>
      </c>
      <c r="P68" t="s">
        <v>1879</v>
      </c>
      <c r="Q68" t="s">
        <v>1883</v>
      </c>
      <c r="S68" t="s">
        <v>1884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D68" t="s">
        <v>532</v>
      </c>
      <c r="AE68" t="s">
        <v>822</v>
      </c>
      <c r="AH68">
        <v>0</v>
      </c>
      <c r="AI68">
        <v>0</v>
      </c>
      <c r="AJ68">
        <v>0</v>
      </c>
      <c r="AK68">
        <v>0</v>
      </c>
      <c r="AN68" t="s">
        <v>834</v>
      </c>
      <c r="AO68">
        <v>1</v>
      </c>
      <c r="AP68">
        <v>0</v>
      </c>
      <c r="AQ68">
        <v>0</v>
      </c>
      <c r="AR68">
        <v>0</v>
      </c>
      <c r="AS68">
        <v>0</v>
      </c>
      <c r="AU68" t="s">
        <v>560</v>
      </c>
      <c r="AV68">
        <v>0</v>
      </c>
    </row>
    <row r="69" spans="1:49">
      <c r="A69">
        <v>164</v>
      </c>
      <c r="B69" t="s">
        <v>673</v>
      </c>
      <c r="C69" s="59">
        <v>45457</v>
      </c>
      <c r="D69" t="s">
        <v>1889</v>
      </c>
      <c r="E69" t="s">
        <v>561</v>
      </c>
      <c r="F69" t="s">
        <v>1890</v>
      </c>
      <c r="G69" t="s">
        <v>1891</v>
      </c>
      <c r="H69" t="s">
        <v>1892</v>
      </c>
      <c r="I69" s="59">
        <v>45457</v>
      </c>
      <c r="J69" t="s">
        <v>563</v>
      </c>
      <c r="K69" t="s">
        <v>1887</v>
      </c>
      <c r="L69" s="59"/>
      <c r="M69" t="s">
        <v>22</v>
      </c>
      <c r="N69" t="s">
        <v>353</v>
      </c>
      <c r="O69">
        <v>2</v>
      </c>
      <c r="P69" t="s">
        <v>1885</v>
      </c>
      <c r="Q69" t="s">
        <v>1892</v>
      </c>
      <c r="R69" t="s">
        <v>1893</v>
      </c>
      <c r="S69" t="s">
        <v>1894</v>
      </c>
      <c r="W69">
        <v>36800</v>
      </c>
      <c r="X69">
        <v>0</v>
      </c>
      <c r="Y69">
        <v>0</v>
      </c>
      <c r="Z69">
        <v>4400</v>
      </c>
      <c r="AA69">
        <v>0</v>
      </c>
      <c r="AB69">
        <v>0</v>
      </c>
      <c r="AD69" t="s">
        <v>21</v>
      </c>
      <c r="AF69">
        <v>18400</v>
      </c>
      <c r="AG69">
        <v>12650</v>
      </c>
      <c r="AH69">
        <v>36800</v>
      </c>
      <c r="AI69">
        <v>0</v>
      </c>
      <c r="AJ69">
        <v>1929</v>
      </c>
      <c r="AK69">
        <v>0</v>
      </c>
      <c r="AN69" t="s">
        <v>834</v>
      </c>
      <c r="AP69">
        <v>36800</v>
      </c>
      <c r="AQ69">
        <v>0</v>
      </c>
      <c r="AR69">
        <v>1929</v>
      </c>
      <c r="AS69">
        <v>0</v>
      </c>
      <c r="AU69" t="s">
        <v>560</v>
      </c>
      <c r="AV69">
        <v>0</v>
      </c>
      <c r="AW69">
        <v>25300</v>
      </c>
    </row>
    <row r="70" spans="1:49">
      <c r="A70">
        <v>165</v>
      </c>
      <c r="B70" t="s">
        <v>673</v>
      </c>
      <c r="C70" s="59">
        <v>45457</v>
      </c>
      <c r="D70" t="s">
        <v>1897</v>
      </c>
      <c r="E70" t="s">
        <v>561</v>
      </c>
      <c r="F70" t="s">
        <v>1890</v>
      </c>
      <c r="G70" t="s">
        <v>1891</v>
      </c>
      <c r="H70" t="s">
        <v>1892</v>
      </c>
      <c r="I70" s="59">
        <v>45457</v>
      </c>
      <c r="J70" t="s">
        <v>563</v>
      </c>
      <c r="K70" t="s">
        <v>1887</v>
      </c>
      <c r="L70" s="59"/>
      <c r="M70" t="s">
        <v>30</v>
      </c>
      <c r="N70" t="s">
        <v>353</v>
      </c>
      <c r="O70">
        <v>1</v>
      </c>
      <c r="P70" t="s">
        <v>1885</v>
      </c>
      <c r="Q70" t="s">
        <v>1892</v>
      </c>
      <c r="R70" t="s">
        <v>1893</v>
      </c>
      <c r="S70" t="s">
        <v>1894</v>
      </c>
      <c r="W70">
        <v>10560</v>
      </c>
      <c r="X70">
        <v>0</v>
      </c>
      <c r="Y70">
        <v>0</v>
      </c>
      <c r="Z70">
        <v>0</v>
      </c>
      <c r="AA70">
        <v>0</v>
      </c>
      <c r="AB70">
        <v>0</v>
      </c>
      <c r="AD70" t="s">
        <v>29</v>
      </c>
      <c r="AE70" t="s">
        <v>822</v>
      </c>
      <c r="AF70">
        <v>10560</v>
      </c>
      <c r="AG70">
        <v>7260</v>
      </c>
      <c r="AH70">
        <v>10560</v>
      </c>
      <c r="AI70">
        <v>0</v>
      </c>
      <c r="AJ70">
        <v>611</v>
      </c>
      <c r="AK70">
        <v>0</v>
      </c>
      <c r="AN70" t="s">
        <v>834</v>
      </c>
      <c r="AP70">
        <v>10560</v>
      </c>
      <c r="AQ70">
        <v>0</v>
      </c>
      <c r="AR70">
        <v>611</v>
      </c>
      <c r="AS70">
        <v>0</v>
      </c>
      <c r="AU70" t="s">
        <v>560</v>
      </c>
      <c r="AV70">
        <v>0</v>
      </c>
      <c r="AW70">
        <v>7260</v>
      </c>
    </row>
    <row r="71" spans="1:49">
      <c r="A71">
        <v>166</v>
      </c>
      <c r="B71" t="s">
        <v>673</v>
      </c>
      <c r="C71" s="59">
        <v>45457</v>
      </c>
      <c r="D71" t="s">
        <v>1898</v>
      </c>
      <c r="E71" t="s">
        <v>561</v>
      </c>
      <c r="F71" t="s">
        <v>1890</v>
      </c>
      <c r="G71" t="s">
        <v>1891</v>
      </c>
      <c r="H71" t="s">
        <v>1892</v>
      </c>
      <c r="I71" s="59">
        <v>45457</v>
      </c>
      <c r="J71" t="s">
        <v>563</v>
      </c>
      <c r="K71" t="s">
        <v>1887</v>
      </c>
      <c r="L71" s="59"/>
      <c r="M71" t="s">
        <v>26</v>
      </c>
      <c r="N71" t="s">
        <v>353</v>
      </c>
      <c r="O71">
        <v>2</v>
      </c>
      <c r="P71" t="s">
        <v>1885</v>
      </c>
      <c r="Q71" t="s">
        <v>1892</v>
      </c>
      <c r="R71" t="s">
        <v>1893</v>
      </c>
      <c r="S71" t="s">
        <v>1894</v>
      </c>
      <c r="W71">
        <v>43840</v>
      </c>
      <c r="X71">
        <v>0</v>
      </c>
      <c r="Y71">
        <v>0</v>
      </c>
      <c r="Z71">
        <v>0</v>
      </c>
      <c r="AA71">
        <v>0</v>
      </c>
      <c r="AB71">
        <v>0</v>
      </c>
      <c r="AD71" t="s">
        <v>25</v>
      </c>
      <c r="AE71" t="s">
        <v>822</v>
      </c>
      <c r="AF71">
        <v>21920</v>
      </c>
      <c r="AG71">
        <v>15070</v>
      </c>
      <c r="AH71">
        <v>43840</v>
      </c>
      <c r="AI71">
        <v>0</v>
      </c>
      <c r="AJ71">
        <v>2283</v>
      </c>
      <c r="AK71">
        <v>0</v>
      </c>
      <c r="AN71" t="s">
        <v>834</v>
      </c>
      <c r="AP71">
        <v>43840</v>
      </c>
      <c r="AQ71">
        <v>0</v>
      </c>
      <c r="AR71">
        <v>2283</v>
      </c>
      <c r="AS71">
        <v>0</v>
      </c>
      <c r="AU71" t="s">
        <v>560</v>
      </c>
      <c r="AV71">
        <v>0</v>
      </c>
      <c r="AW71">
        <v>30140</v>
      </c>
    </row>
    <row r="72" spans="1:49">
      <c r="A72">
        <v>167</v>
      </c>
      <c r="B72" t="s">
        <v>673</v>
      </c>
      <c r="C72" s="59">
        <v>45456</v>
      </c>
      <c r="D72" t="s">
        <v>1902</v>
      </c>
      <c r="E72" t="s">
        <v>561</v>
      </c>
      <c r="F72" t="s">
        <v>1899</v>
      </c>
      <c r="G72" t="s">
        <v>1903</v>
      </c>
      <c r="H72" t="s">
        <v>1904</v>
      </c>
      <c r="I72" s="59">
        <v>45457</v>
      </c>
      <c r="J72" t="s">
        <v>563</v>
      </c>
      <c r="K72" t="s">
        <v>1900</v>
      </c>
      <c r="L72" s="59"/>
      <c r="M72" t="s">
        <v>36</v>
      </c>
      <c r="N72" t="s">
        <v>353</v>
      </c>
      <c r="O72">
        <v>2</v>
      </c>
      <c r="P72" t="s">
        <v>1899</v>
      </c>
      <c r="Q72" t="s">
        <v>1904</v>
      </c>
      <c r="S72" t="s">
        <v>1905</v>
      </c>
      <c r="W72">
        <v>48000</v>
      </c>
      <c r="X72">
        <v>0</v>
      </c>
      <c r="Y72">
        <v>0</v>
      </c>
      <c r="Z72">
        <v>4400</v>
      </c>
      <c r="AA72">
        <v>0</v>
      </c>
      <c r="AB72">
        <v>0</v>
      </c>
      <c r="AD72" t="s">
        <v>35</v>
      </c>
      <c r="AF72">
        <v>24000</v>
      </c>
      <c r="AG72">
        <v>16500</v>
      </c>
      <c r="AH72">
        <v>48000</v>
      </c>
      <c r="AI72">
        <v>0</v>
      </c>
      <c r="AJ72">
        <v>2492</v>
      </c>
      <c r="AK72">
        <v>0</v>
      </c>
      <c r="AN72" t="s">
        <v>834</v>
      </c>
      <c r="AP72">
        <v>48000</v>
      </c>
      <c r="AQ72">
        <v>0</v>
      </c>
      <c r="AR72">
        <v>2492</v>
      </c>
      <c r="AS72">
        <v>0</v>
      </c>
      <c r="AU72" t="s">
        <v>560</v>
      </c>
      <c r="AV72">
        <v>0</v>
      </c>
      <c r="AW72">
        <v>33000</v>
      </c>
    </row>
    <row r="73" spans="1:49">
      <c r="A73">
        <v>179</v>
      </c>
      <c r="B73" t="s">
        <v>673</v>
      </c>
      <c r="C73" s="59">
        <v>45457</v>
      </c>
      <c r="D73" t="s">
        <v>1968</v>
      </c>
      <c r="E73" t="s">
        <v>568</v>
      </c>
      <c r="F73" t="s">
        <v>1966</v>
      </c>
      <c r="G73" t="s">
        <v>1969</v>
      </c>
      <c r="H73" t="s">
        <v>1970</v>
      </c>
      <c r="I73" s="59">
        <v>45457</v>
      </c>
      <c r="J73" t="s">
        <v>563</v>
      </c>
      <c r="K73" t="s">
        <v>1967</v>
      </c>
      <c r="L73" s="59"/>
      <c r="M73" t="s">
        <v>34</v>
      </c>
      <c r="N73" t="s">
        <v>353</v>
      </c>
      <c r="O73">
        <v>1</v>
      </c>
      <c r="P73" t="s">
        <v>1966</v>
      </c>
      <c r="Q73" t="s">
        <v>1970</v>
      </c>
      <c r="S73" t="s">
        <v>1971</v>
      </c>
      <c r="T73" t="s">
        <v>571</v>
      </c>
      <c r="W73">
        <v>30240</v>
      </c>
      <c r="X73">
        <v>0</v>
      </c>
      <c r="Y73">
        <v>3000</v>
      </c>
      <c r="Z73">
        <v>3500</v>
      </c>
      <c r="AA73">
        <v>0</v>
      </c>
      <c r="AB73">
        <v>0</v>
      </c>
      <c r="AD73" t="s">
        <v>33</v>
      </c>
      <c r="AF73">
        <v>30240</v>
      </c>
      <c r="AG73">
        <v>19800</v>
      </c>
      <c r="AH73">
        <v>33240</v>
      </c>
      <c r="AI73">
        <v>0</v>
      </c>
      <c r="AJ73">
        <v>3692</v>
      </c>
      <c r="AK73">
        <v>0</v>
      </c>
      <c r="AN73" t="s">
        <v>834</v>
      </c>
      <c r="AP73">
        <v>33240</v>
      </c>
      <c r="AQ73">
        <v>0</v>
      </c>
      <c r="AR73">
        <v>3692</v>
      </c>
      <c r="AS73">
        <v>0</v>
      </c>
      <c r="AU73" t="s">
        <v>560</v>
      </c>
      <c r="AV73">
        <v>0</v>
      </c>
      <c r="AW73">
        <v>19800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DFFC1-CD4B-4826-8D28-111A6ECBCA35}">
  <sheetPr codeName="Sheet8"/>
  <dimension ref="A1:AW108"/>
  <sheetViews>
    <sheetView topLeftCell="P1" workbookViewId="0">
      <selection activeCell="P9" sqref="P9"/>
    </sheetView>
  </sheetViews>
  <sheetFormatPr defaultRowHeight="16.5"/>
  <cols>
    <col min="1" max="1" width="5.75" bestFit="1" customWidth="1"/>
    <col min="2" max="2" width="13.25" bestFit="1" customWidth="1"/>
    <col min="3" max="3" width="11.25" bestFit="1" customWidth="1"/>
    <col min="4" max="4" width="18.375" bestFit="1" customWidth="1"/>
    <col min="5" max="5" width="13.75" bestFit="1" customWidth="1"/>
    <col min="6" max="6" width="22.75" bestFit="1" customWidth="1"/>
    <col min="7" max="7" width="12.375" bestFit="1" customWidth="1"/>
    <col min="8" max="8" width="15.5" bestFit="1" customWidth="1"/>
    <col min="9" max="9" width="11.125" bestFit="1" customWidth="1"/>
    <col min="10" max="10" width="11" bestFit="1" customWidth="1"/>
    <col min="11" max="11" width="13.875" bestFit="1" customWidth="1"/>
    <col min="12" max="12" width="13.25" bestFit="1" customWidth="1"/>
    <col min="13" max="13" width="9.375" bestFit="1" customWidth="1"/>
    <col min="14" max="14" width="11.25" bestFit="1" customWidth="1"/>
    <col min="15" max="15" width="7.5" bestFit="1" customWidth="1"/>
    <col min="16" max="16" width="21.375" bestFit="1" customWidth="1"/>
    <col min="17" max="18" width="16.5" bestFit="1" customWidth="1"/>
    <col min="19" max="19" width="81" bestFit="1" customWidth="1"/>
    <col min="20" max="20" width="50.25" bestFit="1" customWidth="1"/>
    <col min="21" max="21" width="13.25" bestFit="1" customWidth="1"/>
    <col min="22" max="23" width="9.375" bestFit="1" customWidth="1"/>
    <col min="24" max="24" width="19.5" bestFit="1" customWidth="1"/>
    <col min="25" max="25" width="9.375" bestFit="1" customWidth="1"/>
    <col min="26" max="26" width="13.25" bestFit="1" customWidth="1"/>
    <col min="27" max="27" width="22.5" bestFit="1" customWidth="1"/>
    <col min="28" max="28" width="11.25" bestFit="1" customWidth="1"/>
    <col min="29" max="29" width="15.25" bestFit="1" customWidth="1"/>
    <col min="30" max="30" width="12.875" bestFit="1" customWidth="1"/>
    <col min="31" max="31" width="9.375" bestFit="1" customWidth="1"/>
    <col min="32" max="32" width="14.5" bestFit="1" customWidth="1"/>
    <col min="33" max="34" width="13.25" bestFit="1" customWidth="1"/>
    <col min="35" max="35" width="15.25" bestFit="1" customWidth="1"/>
    <col min="36" max="38" width="9.375" bestFit="1" customWidth="1"/>
    <col min="39" max="39" width="7.5" bestFit="1" customWidth="1"/>
    <col min="40" max="40" width="11.25" bestFit="1" customWidth="1"/>
    <col min="41" max="41" width="7.5" bestFit="1" customWidth="1"/>
    <col min="42" max="42" width="16.625" bestFit="1" customWidth="1"/>
    <col min="43" max="43" width="18.75" bestFit="1" customWidth="1"/>
    <col min="44" max="46" width="12.5" bestFit="1" customWidth="1"/>
    <col min="47" max="47" width="10.625" bestFit="1" customWidth="1"/>
    <col min="48" max="48" width="7.5" bestFit="1" customWidth="1"/>
    <col min="49" max="49" width="22.375" bestFit="1" customWidth="1"/>
    <col min="50" max="50" width="19.125" bestFit="1" customWidth="1"/>
  </cols>
  <sheetData>
    <row r="1" spans="1:49">
      <c r="A1" t="s">
        <v>660</v>
      </c>
      <c r="B1" t="s">
        <v>539</v>
      </c>
      <c r="C1" t="s">
        <v>540</v>
      </c>
      <c r="D1" t="s">
        <v>633</v>
      </c>
      <c r="E1" t="s">
        <v>538</v>
      </c>
      <c r="F1" t="s">
        <v>313</v>
      </c>
      <c r="G1" t="s">
        <v>632</v>
      </c>
      <c r="H1" t="s">
        <v>544</v>
      </c>
      <c r="I1" t="s">
        <v>127</v>
      </c>
      <c r="J1" t="s">
        <v>546</v>
      </c>
      <c r="K1" t="s">
        <v>116</v>
      </c>
      <c r="L1" t="s">
        <v>840</v>
      </c>
      <c r="M1" t="s">
        <v>113</v>
      </c>
      <c r="N1" t="s">
        <v>624</v>
      </c>
      <c r="O1" t="s">
        <v>536</v>
      </c>
      <c r="P1" t="s">
        <v>123</v>
      </c>
      <c r="Q1" t="s">
        <v>626</v>
      </c>
      <c r="R1" t="s">
        <v>625</v>
      </c>
      <c r="S1" t="s">
        <v>549</v>
      </c>
      <c r="T1" t="s">
        <v>550</v>
      </c>
      <c r="U1" t="s">
        <v>847</v>
      </c>
      <c r="V1" t="s">
        <v>825</v>
      </c>
      <c r="W1" t="s">
        <v>841</v>
      </c>
      <c r="X1" t="s">
        <v>845</v>
      </c>
      <c r="Y1" t="s">
        <v>842</v>
      </c>
      <c r="Z1" t="s">
        <v>817</v>
      </c>
      <c r="AA1" t="s">
        <v>846</v>
      </c>
      <c r="AB1" t="s">
        <v>824</v>
      </c>
      <c r="AC1" t="s">
        <v>843</v>
      </c>
      <c r="AD1" t="s">
        <v>839</v>
      </c>
      <c r="AE1" t="s">
        <v>822</v>
      </c>
      <c r="AF1" t="s">
        <v>863</v>
      </c>
      <c r="AG1" t="s">
        <v>864</v>
      </c>
      <c r="AH1" t="s">
        <v>865</v>
      </c>
      <c r="AI1" t="s">
        <v>119</v>
      </c>
      <c r="AJ1" t="s">
        <v>866</v>
      </c>
      <c r="AK1" t="s">
        <v>820</v>
      </c>
      <c r="AL1" t="s">
        <v>821</v>
      </c>
      <c r="AM1" t="s">
        <v>844</v>
      </c>
      <c r="AN1" t="s">
        <v>867</v>
      </c>
      <c r="AO1" t="s">
        <v>701</v>
      </c>
      <c r="AP1" t="s">
        <v>868</v>
      </c>
      <c r="AQ1" t="s">
        <v>869</v>
      </c>
      <c r="AR1" t="s">
        <v>870</v>
      </c>
      <c r="AS1" t="s">
        <v>871</v>
      </c>
      <c r="AT1" t="s">
        <v>872</v>
      </c>
      <c r="AU1" t="s">
        <v>873</v>
      </c>
      <c r="AV1" t="s">
        <v>874</v>
      </c>
      <c r="AW1" t="s">
        <v>916</v>
      </c>
    </row>
    <row r="2" spans="1:49">
      <c r="A2">
        <v>1</v>
      </c>
      <c r="B2" t="s">
        <v>562</v>
      </c>
      <c r="C2" s="59">
        <v>45293</v>
      </c>
      <c r="D2" t="s">
        <v>850</v>
      </c>
      <c r="E2" t="s">
        <v>561</v>
      </c>
      <c r="F2" t="s">
        <v>848</v>
      </c>
      <c r="G2" t="s">
        <v>851</v>
      </c>
      <c r="I2" s="59">
        <v>45293</v>
      </c>
      <c r="J2" t="s">
        <v>563</v>
      </c>
      <c r="K2" t="s">
        <v>849</v>
      </c>
      <c r="L2" s="59">
        <v>44929</v>
      </c>
      <c r="M2" t="s">
        <v>34</v>
      </c>
      <c r="N2" t="s">
        <v>353</v>
      </c>
      <c r="O2">
        <v>2</v>
      </c>
      <c r="P2" t="s">
        <v>848</v>
      </c>
      <c r="Q2" t="s">
        <v>852</v>
      </c>
      <c r="S2" t="s">
        <v>853</v>
      </c>
      <c r="W2">
        <v>64800</v>
      </c>
      <c r="X2">
        <v>0</v>
      </c>
      <c r="Y2">
        <v>0</v>
      </c>
      <c r="Z2">
        <v>4300</v>
      </c>
      <c r="AA2">
        <v>0</v>
      </c>
      <c r="AB2">
        <v>1650</v>
      </c>
      <c r="AC2">
        <v>0</v>
      </c>
      <c r="AD2" t="s">
        <v>33</v>
      </c>
      <c r="AF2">
        <v>32400</v>
      </c>
      <c r="AG2">
        <v>19800</v>
      </c>
      <c r="AH2">
        <v>64800</v>
      </c>
      <c r="AI2">
        <v>45550</v>
      </c>
      <c r="AJ2">
        <v>2579</v>
      </c>
      <c r="AK2">
        <v>16671</v>
      </c>
      <c r="AL2">
        <v>0.25729999999999997</v>
      </c>
      <c r="AN2" t="s">
        <v>837</v>
      </c>
      <c r="AP2">
        <v>64800</v>
      </c>
      <c r="AQ2">
        <v>45550</v>
      </c>
      <c r="AR2">
        <v>2659</v>
      </c>
      <c r="AS2">
        <v>16591</v>
      </c>
      <c r="AT2">
        <v>0.25600000000000001</v>
      </c>
      <c r="AU2" t="s">
        <v>875</v>
      </c>
      <c r="AV2">
        <v>0</v>
      </c>
      <c r="AW2">
        <v>39600</v>
      </c>
    </row>
    <row r="3" spans="1:49">
      <c r="A3">
        <v>4</v>
      </c>
      <c r="B3" t="s">
        <v>562</v>
      </c>
      <c r="C3" s="59">
        <v>45443</v>
      </c>
      <c r="D3" t="s">
        <v>2076</v>
      </c>
      <c r="E3" t="s">
        <v>561</v>
      </c>
      <c r="F3" t="s">
        <v>926</v>
      </c>
      <c r="G3" t="s">
        <v>930</v>
      </c>
      <c r="H3" t="s">
        <v>931</v>
      </c>
      <c r="I3" s="59">
        <v>45443</v>
      </c>
      <c r="J3" t="s">
        <v>563</v>
      </c>
      <c r="K3" t="s">
        <v>928</v>
      </c>
      <c r="L3" s="59"/>
      <c r="M3" t="s">
        <v>36</v>
      </c>
      <c r="N3" t="s">
        <v>353</v>
      </c>
      <c r="O3">
        <v>5</v>
      </c>
      <c r="P3" t="s">
        <v>926</v>
      </c>
      <c r="Q3" t="s">
        <v>931</v>
      </c>
      <c r="S3" t="s">
        <v>932</v>
      </c>
      <c r="W3">
        <v>135000</v>
      </c>
      <c r="X3">
        <v>0</v>
      </c>
      <c r="Y3">
        <v>0</v>
      </c>
      <c r="Z3">
        <v>4400</v>
      </c>
      <c r="AA3">
        <v>0</v>
      </c>
      <c r="AB3">
        <v>0</v>
      </c>
      <c r="AD3" t="s">
        <v>35</v>
      </c>
      <c r="AF3">
        <v>25500</v>
      </c>
      <c r="AG3">
        <v>16500</v>
      </c>
      <c r="AH3">
        <v>135000</v>
      </c>
      <c r="AI3">
        <v>86900</v>
      </c>
      <c r="AJ3">
        <v>5453</v>
      </c>
      <c r="AK3">
        <v>42647</v>
      </c>
      <c r="AL3">
        <v>0.31590000000000001</v>
      </c>
      <c r="AN3" t="s">
        <v>834</v>
      </c>
      <c r="AP3">
        <v>135000</v>
      </c>
      <c r="AQ3">
        <v>86900</v>
      </c>
      <c r="AR3">
        <v>5453</v>
      </c>
      <c r="AS3">
        <v>42647</v>
      </c>
      <c r="AT3">
        <v>0.31590000000000001</v>
      </c>
      <c r="AU3" t="s">
        <v>560</v>
      </c>
      <c r="AV3">
        <v>1</v>
      </c>
      <c r="AW3">
        <v>82500</v>
      </c>
    </row>
    <row r="4" spans="1:49">
      <c r="A4">
        <v>5</v>
      </c>
      <c r="B4" t="s">
        <v>562</v>
      </c>
      <c r="C4" s="59">
        <v>45443</v>
      </c>
      <c r="D4" t="s">
        <v>937</v>
      </c>
      <c r="E4" t="s">
        <v>561</v>
      </c>
      <c r="F4" t="s">
        <v>933</v>
      </c>
      <c r="G4" t="s">
        <v>938</v>
      </c>
      <c r="H4" t="s">
        <v>939</v>
      </c>
      <c r="I4" s="59">
        <v>45443</v>
      </c>
      <c r="J4" t="s">
        <v>563</v>
      </c>
      <c r="K4" t="s">
        <v>935</v>
      </c>
      <c r="L4" s="59"/>
      <c r="M4" t="s">
        <v>34</v>
      </c>
      <c r="N4" t="s">
        <v>353</v>
      </c>
      <c r="O4">
        <v>1</v>
      </c>
      <c r="P4" t="s">
        <v>933</v>
      </c>
      <c r="Q4" t="s">
        <v>939</v>
      </c>
      <c r="S4" t="s">
        <v>940</v>
      </c>
      <c r="W4">
        <v>28620</v>
      </c>
      <c r="X4">
        <v>3180</v>
      </c>
      <c r="Y4">
        <v>3000</v>
      </c>
      <c r="Z4">
        <v>3500</v>
      </c>
      <c r="AA4">
        <v>0</v>
      </c>
      <c r="AB4">
        <v>0</v>
      </c>
      <c r="AD4" t="s">
        <v>33</v>
      </c>
      <c r="AF4">
        <v>30600</v>
      </c>
      <c r="AG4">
        <v>19800</v>
      </c>
      <c r="AH4">
        <v>31620</v>
      </c>
      <c r="AI4">
        <v>23300</v>
      </c>
      <c r="AJ4">
        <v>1278</v>
      </c>
      <c r="AK4">
        <v>7042</v>
      </c>
      <c r="AL4">
        <v>0.22270000000000001</v>
      </c>
      <c r="AN4" t="s">
        <v>834</v>
      </c>
      <c r="AP4">
        <v>31620</v>
      </c>
      <c r="AQ4">
        <v>23300</v>
      </c>
      <c r="AR4">
        <v>1278</v>
      </c>
      <c r="AS4">
        <v>7042</v>
      </c>
      <c r="AT4">
        <v>0.22270000000000001</v>
      </c>
      <c r="AU4" t="s">
        <v>560</v>
      </c>
      <c r="AV4">
        <v>0</v>
      </c>
      <c r="AW4">
        <v>19800</v>
      </c>
    </row>
    <row r="5" spans="1:49">
      <c r="A5">
        <v>6</v>
      </c>
      <c r="B5" t="s">
        <v>562</v>
      </c>
      <c r="C5" s="59">
        <v>45443</v>
      </c>
      <c r="D5" t="s">
        <v>947</v>
      </c>
      <c r="E5" t="s">
        <v>561</v>
      </c>
      <c r="F5" t="s">
        <v>942</v>
      </c>
      <c r="G5" t="s">
        <v>948</v>
      </c>
      <c r="H5" t="s">
        <v>949</v>
      </c>
      <c r="I5" s="59">
        <v>45443</v>
      </c>
      <c r="J5" t="s">
        <v>563</v>
      </c>
      <c r="K5" t="s">
        <v>945</v>
      </c>
      <c r="L5" s="59"/>
      <c r="M5" t="s">
        <v>266</v>
      </c>
      <c r="N5" t="s">
        <v>380</v>
      </c>
      <c r="O5">
        <v>40</v>
      </c>
      <c r="P5" t="s">
        <v>942</v>
      </c>
      <c r="Q5" t="s">
        <v>949</v>
      </c>
      <c r="S5" t="s">
        <v>950</v>
      </c>
      <c r="W5">
        <v>50400</v>
      </c>
      <c r="X5">
        <v>0</v>
      </c>
      <c r="Y5">
        <v>0</v>
      </c>
      <c r="Z5">
        <v>4400</v>
      </c>
      <c r="AA5">
        <v>0</v>
      </c>
      <c r="AB5">
        <v>0</v>
      </c>
      <c r="AD5" t="s">
        <v>1973</v>
      </c>
      <c r="AF5">
        <v>1210</v>
      </c>
      <c r="AG5">
        <v>770</v>
      </c>
      <c r="AH5">
        <v>50400</v>
      </c>
      <c r="AI5">
        <v>35200</v>
      </c>
      <c r="AJ5">
        <v>2086</v>
      </c>
      <c r="AK5">
        <v>13114</v>
      </c>
      <c r="AL5">
        <v>0.26019999999999999</v>
      </c>
      <c r="AN5" t="s">
        <v>834</v>
      </c>
      <c r="AP5">
        <v>50400</v>
      </c>
      <c r="AQ5">
        <v>35200</v>
      </c>
      <c r="AR5">
        <v>2086</v>
      </c>
      <c r="AS5">
        <v>13114</v>
      </c>
      <c r="AT5">
        <v>0.26019999999999999</v>
      </c>
      <c r="AU5" t="s">
        <v>560</v>
      </c>
      <c r="AV5">
        <v>0</v>
      </c>
      <c r="AW5">
        <v>30800</v>
      </c>
    </row>
    <row r="6" spans="1:49">
      <c r="A6">
        <v>7</v>
      </c>
      <c r="B6" t="s">
        <v>562</v>
      </c>
      <c r="C6" s="59">
        <v>45443</v>
      </c>
      <c r="D6" t="s">
        <v>957</v>
      </c>
      <c r="E6" t="s">
        <v>561</v>
      </c>
      <c r="F6" t="s">
        <v>953</v>
      </c>
      <c r="G6" t="s">
        <v>958</v>
      </c>
      <c r="H6" t="s">
        <v>959</v>
      </c>
      <c r="I6" s="59">
        <v>45443</v>
      </c>
      <c r="J6" t="s">
        <v>563</v>
      </c>
      <c r="K6" t="s">
        <v>955</v>
      </c>
      <c r="L6" s="59"/>
      <c r="M6" t="s">
        <v>18</v>
      </c>
      <c r="N6" t="s">
        <v>353</v>
      </c>
      <c r="O6">
        <v>1</v>
      </c>
      <c r="P6" t="s">
        <v>953</v>
      </c>
      <c r="Q6" t="s">
        <v>959</v>
      </c>
      <c r="S6" t="s">
        <v>960</v>
      </c>
      <c r="W6">
        <v>10690</v>
      </c>
      <c r="X6">
        <v>1190</v>
      </c>
      <c r="Y6">
        <v>3000</v>
      </c>
      <c r="Z6">
        <v>3000</v>
      </c>
      <c r="AA6">
        <v>0</v>
      </c>
      <c r="AB6">
        <v>0</v>
      </c>
      <c r="AD6" t="s">
        <v>17</v>
      </c>
      <c r="AF6">
        <v>11220</v>
      </c>
      <c r="AG6">
        <v>7260</v>
      </c>
      <c r="AH6">
        <v>13690</v>
      </c>
      <c r="AI6">
        <v>10260</v>
      </c>
      <c r="AJ6">
        <v>564</v>
      </c>
      <c r="AK6">
        <v>2866</v>
      </c>
      <c r="AL6">
        <v>0.20930000000000001</v>
      </c>
      <c r="AN6" t="s">
        <v>834</v>
      </c>
      <c r="AP6">
        <v>13690</v>
      </c>
      <c r="AQ6">
        <v>10260</v>
      </c>
      <c r="AR6">
        <v>564</v>
      </c>
      <c r="AS6">
        <v>2866</v>
      </c>
      <c r="AT6">
        <v>0.20930000000000001</v>
      </c>
      <c r="AU6" t="s">
        <v>560</v>
      </c>
      <c r="AV6">
        <v>0</v>
      </c>
      <c r="AW6">
        <v>7260</v>
      </c>
    </row>
    <row r="7" spans="1:49">
      <c r="A7">
        <v>8</v>
      </c>
      <c r="B7" t="s">
        <v>562</v>
      </c>
      <c r="C7" s="59">
        <v>45442</v>
      </c>
      <c r="D7" t="s">
        <v>966</v>
      </c>
      <c r="E7" t="s">
        <v>561</v>
      </c>
      <c r="F7" t="s">
        <v>962</v>
      </c>
      <c r="G7" t="s">
        <v>967</v>
      </c>
      <c r="H7" t="s">
        <v>968</v>
      </c>
      <c r="I7" s="59">
        <v>45443</v>
      </c>
      <c r="J7" t="s">
        <v>563</v>
      </c>
      <c r="K7" t="s">
        <v>964</v>
      </c>
      <c r="L7" s="59"/>
      <c r="M7" t="s">
        <v>22</v>
      </c>
      <c r="N7" t="s">
        <v>353</v>
      </c>
      <c r="O7">
        <v>1</v>
      </c>
      <c r="P7" t="s">
        <v>962</v>
      </c>
      <c r="Q7" t="s">
        <v>968</v>
      </c>
      <c r="S7" t="s">
        <v>969</v>
      </c>
      <c r="T7" t="s">
        <v>970</v>
      </c>
      <c r="W7">
        <v>18630</v>
      </c>
      <c r="X7">
        <v>2070</v>
      </c>
      <c r="Y7">
        <v>0</v>
      </c>
      <c r="Z7">
        <v>3500</v>
      </c>
      <c r="AA7">
        <v>0</v>
      </c>
      <c r="AB7">
        <v>0</v>
      </c>
      <c r="AD7" t="s">
        <v>21</v>
      </c>
      <c r="AF7">
        <v>19550</v>
      </c>
      <c r="AG7">
        <v>12650</v>
      </c>
      <c r="AH7">
        <v>18630</v>
      </c>
      <c r="AI7">
        <v>16150</v>
      </c>
      <c r="AJ7">
        <v>821</v>
      </c>
      <c r="AK7">
        <v>1659</v>
      </c>
      <c r="AL7">
        <v>8.8999999999999996E-2</v>
      </c>
      <c r="AN7" t="s">
        <v>834</v>
      </c>
      <c r="AP7">
        <v>18630</v>
      </c>
      <c r="AQ7">
        <v>16150</v>
      </c>
      <c r="AR7">
        <v>821</v>
      </c>
      <c r="AS7">
        <v>1659</v>
      </c>
      <c r="AT7">
        <v>8.8999999999999996E-2</v>
      </c>
      <c r="AU7" t="s">
        <v>560</v>
      </c>
      <c r="AV7">
        <v>0</v>
      </c>
      <c r="AW7">
        <v>12650</v>
      </c>
    </row>
    <row r="8" spans="1:49">
      <c r="A8">
        <v>9</v>
      </c>
      <c r="B8" t="s">
        <v>562</v>
      </c>
      <c r="C8" s="59">
        <v>45442</v>
      </c>
      <c r="D8" t="s">
        <v>972</v>
      </c>
      <c r="E8" t="s">
        <v>561</v>
      </c>
      <c r="F8" t="s">
        <v>962</v>
      </c>
      <c r="G8" t="s">
        <v>967</v>
      </c>
      <c r="H8" t="s">
        <v>968</v>
      </c>
      <c r="I8" s="59">
        <v>45443</v>
      </c>
      <c r="J8" t="s">
        <v>563</v>
      </c>
      <c r="K8" t="s">
        <v>964</v>
      </c>
      <c r="L8" s="59"/>
      <c r="M8" t="s">
        <v>24</v>
      </c>
      <c r="N8" t="s">
        <v>353</v>
      </c>
      <c r="O8">
        <v>1</v>
      </c>
      <c r="P8" t="s">
        <v>962</v>
      </c>
      <c r="Q8" t="s">
        <v>968</v>
      </c>
      <c r="S8" t="s">
        <v>969</v>
      </c>
      <c r="T8" t="s">
        <v>970</v>
      </c>
      <c r="W8">
        <v>13770</v>
      </c>
      <c r="X8">
        <v>1530</v>
      </c>
      <c r="Y8">
        <v>0</v>
      </c>
      <c r="Z8">
        <v>0</v>
      </c>
      <c r="AA8">
        <v>0</v>
      </c>
      <c r="AB8">
        <v>0</v>
      </c>
      <c r="AD8" t="s">
        <v>23</v>
      </c>
      <c r="AE8" t="s">
        <v>822</v>
      </c>
      <c r="AF8">
        <v>14450</v>
      </c>
      <c r="AG8">
        <v>9350</v>
      </c>
      <c r="AH8">
        <v>13770</v>
      </c>
      <c r="AI8">
        <v>9350</v>
      </c>
      <c r="AJ8">
        <v>628</v>
      </c>
      <c r="AK8">
        <v>3792</v>
      </c>
      <c r="AL8">
        <v>0.27539999999999998</v>
      </c>
      <c r="AN8" t="s">
        <v>834</v>
      </c>
      <c r="AP8">
        <v>13770</v>
      </c>
      <c r="AQ8">
        <v>9350</v>
      </c>
      <c r="AR8">
        <v>628</v>
      </c>
      <c r="AS8">
        <v>3792</v>
      </c>
      <c r="AT8">
        <v>0.27539999999999998</v>
      </c>
      <c r="AU8" t="s">
        <v>560</v>
      </c>
      <c r="AV8">
        <v>0</v>
      </c>
      <c r="AW8">
        <v>9350</v>
      </c>
    </row>
    <row r="9" spans="1:49">
      <c r="A9">
        <v>10</v>
      </c>
      <c r="B9" t="s">
        <v>562</v>
      </c>
      <c r="C9" s="59">
        <v>45442</v>
      </c>
      <c r="D9" t="s">
        <v>976</v>
      </c>
      <c r="E9" t="s">
        <v>561</v>
      </c>
      <c r="F9" t="s">
        <v>926</v>
      </c>
      <c r="G9" t="s">
        <v>930</v>
      </c>
      <c r="H9" t="s">
        <v>931</v>
      </c>
      <c r="I9" s="59">
        <v>45443</v>
      </c>
      <c r="J9" t="s">
        <v>563</v>
      </c>
      <c r="K9" t="s">
        <v>974</v>
      </c>
      <c r="L9" s="59"/>
      <c r="M9" t="s">
        <v>36</v>
      </c>
      <c r="N9" t="s">
        <v>353</v>
      </c>
      <c r="O9">
        <v>5</v>
      </c>
      <c r="P9" t="s">
        <v>926</v>
      </c>
      <c r="Q9" t="s">
        <v>931</v>
      </c>
      <c r="S9" t="s">
        <v>932</v>
      </c>
      <c r="W9">
        <v>121500</v>
      </c>
      <c r="X9">
        <v>13500</v>
      </c>
      <c r="Y9">
        <v>0</v>
      </c>
      <c r="Z9">
        <v>0</v>
      </c>
      <c r="AA9">
        <v>0</v>
      </c>
      <c r="AB9">
        <v>0</v>
      </c>
      <c r="AD9" t="s">
        <v>35</v>
      </c>
      <c r="AE9" t="s">
        <v>822</v>
      </c>
      <c r="AF9">
        <v>25500</v>
      </c>
      <c r="AG9">
        <v>16500</v>
      </c>
      <c r="AH9">
        <v>121500</v>
      </c>
      <c r="AI9">
        <v>82500</v>
      </c>
      <c r="AJ9">
        <v>4916</v>
      </c>
      <c r="AK9">
        <v>34084</v>
      </c>
      <c r="AL9">
        <v>0.28050000000000003</v>
      </c>
      <c r="AN9" t="s">
        <v>834</v>
      </c>
      <c r="AP9">
        <v>121500</v>
      </c>
      <c r="AQ9">
        <v>82500</v>
      </c>
      <c r="AR9">
        <v>4916</v>
      </c>
      <c r="AS9">
        <v>34084</v>
      </c>
      <c r="AT9">
        <v>0.28050000000000003</v>
      </c>
      <c r="AU9" t="s">
        <v>560</v>
      </c>
      <c r="AV9">
        <v>1</v>
      </c>
      <c r="AW9">
        <v>82500</v>
      </c>
    </row>
    <row r="10" spans="1:49">
      <c r="A10">
        <v>14</v>
      </c>
      <c r="B10" t="s">
        <v>562</v>
      </c>
      <c r="C10" s="59">
        <v>45442</v>
      </c>
      <c r="D10" t="s">
        <v>1004</v>
      </c>
      <c r="E10" t="s">
        <v>568</v>
      </c>
      <c r="F10" t="s">
        <v>1002</v>
      </c>
      <c r="G10" t="s">
        <v>1005</v>
      </c>
      <c r="H10" t="s">
        <v>1006</v>
      </c>
      <c r="I10" s="59">
        <v>45443</v>
      </c>
      <c r="J10" t="s">
        <v>563</v>
      </c>
      <c r="K10" t="s">
        <v>1003</v>
      </c>
      <c r="L10" s="59"/>
      <c r="M10" t="s">
        <v>34</v>
      </c>
      <c r="N10" t="s">
        <v>353</v>
      </c>
      <c r="O10">
        <v>1</v>
      </c>
      <c r="P10" t="s">
        <v>1002</v>
      </c>
      <c r="Q10" t="s">
        <v>1006</v>
      </c>
      <c r="S10" t="s">
        <v>1007</v>
      </c>
      <c r="T10" t="s">
        <v>571</v>
      </c>
      <c r="W10">
        <v>34020</v>
      </c>
      <c r="X10">
        <v>0</v>
      </c>
      <c r="Y10">
        <v>3000</v>
      </c>
      <c r="Z10">
        <v>3500</v>
      </c>
      <c r="AA10">
        <v>0</v>
      </c>
      <c r="AB10">
        <v>0</v>
      </c>
      <c r="AD10" t="s">
        <v>33</v>
      </c>
      <c r="AF10">
        <v>32130</v>
      </c>
      <c r="AG10">
        <v>19800</v>
      </c>
      <c r="AH10">
        <v>37020</v>
      </c>
      <c r="AI10">
        <v>23300</v>
      </c>
      <c r="AJ10">
        <v>4141</v>
      </c>
      <c r="AK10">
        <v>9579</v>
      </c>
      <c r="AL10">
        <v>0.25879999999999997</v>
      </c>
      <c r="AN10" t="s">
        <v>834</v>
      </c>
      <c r="AP10">
        <v>37020</v>
      </c>
      <c r="AQ10">
        <v>23300</v>
      </c>
      <c r="AR10">
        <v>4141</v>
      </c>
      <c r="AS10">
        <v>9579</v>
      </c>
      <c r="AT10">
        <v>0.25879999999999997</v>
      </c>
      <c r="AU10" t="s">
        <v>560</v>
      </c>
      <c r="AV10">
        <v>0</v>
      </c>
      <c r="AW10">
        <v>19800</v>
      </c>
    </row>
    <row r="11" spans="1:49">
      <c r="A11">
        <v>15</v>
      </c>
      <c r="B11" t="s">
        <v>562</v>
      </c>
      <c r="C11" s="59">
        <v>45443</v>
      </c>
      <c r="D11" t="s">
        <v>1011</v>
      </c>
      <c r="E11" t="s">
        <v>568</v>
      </c>
      <c r="F11" t="s">
        <v>1012</v>
      </c>
      <c r="G11" t="s">
        <v>1013</v>
      </c>
      <c r="H11" t="s">
        <v>1014</v>
      </c>
      <c r="I11" s="59">
        <v>45443</v>
      </c>
      <c r="J11" t="s">
        <v>563</v>
      </c>
      <c r="K11" t="s">
        <v>1010</v>
      </c>
      <c r="L11" s="59"/>
      <c r="M11" t="s">
        <v>34</v>
      </c>
      <c r="N11" t="s">
        <v>353</v>
      </c>
      <c r="O11">
        <v>1</v>
      </c>
      <c r="P11" t="s">
        <v>1009</v>
      </c>
      <c r="Q11" t="s">
        <v>1014</v>
      </c>
      <c r="S11" t="s">
        <v>1015</v>
      </c>
      <c r="T11" t="s">
        <v>1016</v>
      </c>
      <c r="W11">
        <v>34020</v>
      </c>
      <c r="X11">
        <v>0</v>
      </c>
      <c r="Y11">
        <v>3000</v>
      </c>
      <c r="Z11">
        <v>3500</v>
      </c>
      <c r="AA11">
        <v>0</v>
      </c>
      <c r="AB11">
        <v>0</v>
      </c>
      <c r="AD11" t="s">
        <v>33</v>
      </c>
      <c r="AF11">
        <v>32130</v>
      </c>
      <c r="AG11">
        <v>19800</v>
      </c>
      <c r="AH11">
        <v>37020</v>
      </c>
      <c r="AI11">
        <v>23300</v>
      </c>
      <c r="AJ11">
        <v>4141</v>
      </c>
      <c r="AK11">
        <v>9579</v>
      </c>
      <c r="AL11">
        <v>0.25879999999999997</v>
      </c>
      <c r="AN11" t="s">
        <v>834</v>
      </c>
      <c r="AP11">
        <v>37020</v>
      </c>
      <c r="AQ11">
        <v>23300</v>
      </c>
      <c r="AR11">
        <v>4141</v>
      </c>
      <c r="AS11">
        <v>9579</v>
      </c>
      <c r="AT11">
        <v>0.25879999999999997</v>
      </c>
      <c r="AU11" t="s">
        <v>560</v>
      </c>
      <c r="AV11">
        <v>0</v>
      </c>
      <c r="AW11">
        <v>19800</v>
      </c>
    </row>
    <row r="12" spans="1:49">
      <c r="A12">
        <v>16</v>
      </c>
      <c r="B12" t="s">
        <v>562</v>
      </c>
      <c r="C12" s="59">
        <v>45443</v>
      </c>
      <c r="D12" t="s">
        <v>1020</v>
      </c>
      <c r="E12" t="s">
        <v>568</v>
      </c>
      <c r="F12" t="s">
        <v>1018</v>
      </c>
      <c r="G12" t="s">
        <v>1021</v>
      </c>
      <c r="H12" t="s">
        <v>1022</v>
      </c>
      <c r="I12" s="59">
        <v>45443</v>
      </c>
      <c r="J12" t="s">
        <v>563</v>
      </c>
      <c r="K12" t="s">
        <v>1019</v>
      </c>
      <c r="L12" s="59"/>
      <c r="M12" t="s">
        <v>34</v>
      </c>
      <c r="N12" t="s">
        <v>353</v>
      </c>
      <c r="O12">
        <v>1</v>
      </c>
      <c r="P12" t="s">
        <v>1018</v>
      </c>
      <c r="Q12" t="s">
        <v>1022</v>
      </c>
      <c r="S12" t="s">
        <v>1023</v>
      </c>
      <c r="T12" t="s">
        <v>571</v>
      </c>
      <c r="W12">
        <v>34020</v>
      </c>
      <c r="X12">
        <v>0</v>
      </c>
      <c r="Y12">
        <v>3000</v>
      </c>
      <c r="Z12">
        <v>3500</v>
      </c>
      <c r="AA12">
        <v>0</v>
      </c>
      <c r="AB12">
        <v>0</v>
      </c>
      <c r="AD12" t="s">
        <v>33</v>
      </c>
      <c r="AF12">
        <v>32130</v>
      </c>
      <c r="AG12">
        <v>19800</v>
      </c>
      <c r="AH12">
        <v>37020</v>
      </c>
      <c r="AI12">
        <v>23300</v>
      </c>
      <c r="AJ12">
        <v>4141</v>
      </c>
      <c r="AK12">
        <v>9579</v>
      </c>
      <c r="AL12">
        <v>0.25879999999999997</v>
      </c>
      <c r="AN12" t="s">
        <v>834</v>
      </c>
      <c r="AP12">
        <v>37020</v>
      </c>
      <c r="AQ12">
        <v>23300</v>
      </c>
      <c r="AR12">
        <v>4141</v>
      </c>
      <c r="AS12">
        <v>9579</v>
      </c>
      <c r="AT12">
        <v>0.25879999999999997</v>
      </c>
      <c r="AU12" t="s">
        <v>560</v>
      </c>
      <c r="AV12">
        <v>0</v>
      </c>
      <c r="AW12">
        <v>19800</v>
      </c>
    </row>
    <row r="13" spans="1:49">
      <c r="A13">
        <v>17</v>
      </c>
      <c r="B13" t="s">
        <v>562</v>
      </c>
      <c r="C13" s="59">
        <v>45443</v>
      </c>
      <c r="D13" t="s">
        <v>1027</v>
      </c>
      <c r="E13" t="s">
        <v>568</v>
      </c>
      <c r="F13" t="s">
        <v>1028</v>
      </c>
      <c r="G13" t="s">
        <v>1029</v>
      </c>
      <c r="H13" t="s">
        <v>1030</v>
      </c>
      <c r="I13" s="59">
        <v>45443</v>
      </c>
      <c r="J13" t="s">
        <v>563</v>
      </c>
      <c r="K13" t="s">
        <v>1026</v>
      </c>
      <c r="L13" s="59"/>
      <c r="M13" t="s">
        <v>118</v>
      </c>
      <c r="N13" t="s">
        <v>353</v>
      </c>
      <c r="O13">
        <v>3</v>
      </c>
      <c r="P13" t="s">
        <v>1025</v>
      </c>
      <c r="Q13" t="s">
        <v>1030</v>
      </c>
      <c r="S13" t="s">
        <v>1031</v>
      </c>
      <c r="T13" t="s">
        <v>571</v>
      </c>
      <c r="W13">
        <v>7320</v>
      </c>
      <c r="X13">
        <v>1320</v>
      </c>
      <c r="Y13">
        <v>0</v>
      </c>
      <c r="Z13">
        <v>3000</v>
      </c>
      <c r="AA13">
        <v>0</v>
      </c>
      <c r="AB13">
        <v>0</v>
      </c>
      <c r="AD13" t="s">
        <v>117</v>
      </c>
      <c r="AF13">
        <v>2680</v>
      </c>
      <c r="AG13">
        <v>1650</v>
      </c>
      <c r="AH13">
        <v>7320</v>
      </c>
      <c r="AI13">
        <v>7950</v>
      </c>
      <c r="AJ13">
        <v>870</v>
      </c>
      <c r="AK13">
        <v>-1500</v>
      </c>
      <c r="AL13">
        <v>-0.2049</v>
      </c>
      <c r="AN13" t="s">
        <v>834</v>
      </c>
      <c r="AP13">
        <v>7320</v>
      </c>
      <c r="AQ13">
        <v>7950</v>
      </c>
      <c r="AR13">
        <v>870</v>
      </c>
      <c r="AS13">
        <v>-1500</v>
      </c>
      <c r="AT13">
        <v>-0.2049</v>
      </c>
      <c r="AU13" t="s">
        <v>560</v>
      </c>
      <c r="AV13">
        <v>0</v>
      </c>
      <c r="AW13">
        <v>4950</v>
      </c>
    </row>
    <row r="14" spans="1:49">
      <c r="A14">
        <v>18</v>
      </c>
      <c r="B14" t="s">
        <v>562</v>
      </c>
      <c r="C14" s="59">
        <v>45443</v>
      </c>
      <c r="D14" t="s">
        <v>1027</v>
      </c>
      <c r="E14" t="s">
        <v>568</v>
      </c>
      <c r="F14" t="s">
        <v>1028</v>
      </c>
      <c r="G14" t="s">
        <v>1029</v>
      </c>
      <c r="H14" t="s">
        <v>1030</v>
      </c>
      <c r="I14" s="59">
        <v>45443</v>
      </c>
      <c r="J14" t="s">
        <v>563</v>
      </c>
      <c r="K14" t="s">
        <v>1026</v>
      </c>
      <c r="L14" s="59"/>
      <c r="M14" t="s">
        <v>50</v>
      </c>
      <c r="N14" t="s">
        <v>353</v>
      </c>
      <c r="O14">
        <v>3</v>
      </c>
      <c r="P14" t="s">
        <v>1025</v>
      </c>
      <c r="Q14" t="s">
        <v>1030</v>
      </c>
      <c r="S14" t="s">
        <v>1031</v>
      </c>
      <c r="T14" t="s">
        <v>571</v>
      </c>
      <c r="W14">
        <v>7620</v>
      </c>
      <c r="X14">
        <v>420</v>
      </c>
      <c r="Y14">
        <v>0</v>
      </c>
      <c r="Z14">
        <v>0</v>
      </c>
      <c r="AA14">
        <v>0</v>
      </c>
      <c r="AB14">
        <v>0</v>
      </c>
      <c r="AD14" t="s">
        <v>49</v>
      </c>
      <c r="AE14" t="s">
        <v>822</v>
      </c>
      <c r="AF14">
        <v>1950</v>
      </c>
      <c r="AG14">
        <v>1320</v>
      </c>
      <c r="AH14">
        <v>7620</v>
      </c>
      <c r="AI14">
        <v>3960</v>
      </c>
      <c r="AJ14">
        <v>905</v>
      </c>
      <c r="AK14">
        <v>2755</v>
      </c>
      <c r="AL14">
        <v>0.36149999999999999</v>
      </c>
      <c r="AN14" t="s">
        <v>834</v>
      </c>
      <c r="AP14">
        <v>7620</v>
      </c>
      <c r="AQ14">
        <v>3960</v>
      </c>
      <c r="AR14">
        <v>905</v>
      </c>
      <c r="AS14">
        <v>2755</v>
      </c>
      <c r="AT14">
        <v>0.36149999999999999</v>
      </c>
      <c r="AU14" t="s">
        <v>560</v>
      </c>
      <c r="AV14">
        <v>0</v>
      </c>
      <c r="AW14">
        <v>3960</v>
      </c>
    </row>
    <row r="15" spans="1:49">
      <c r="A15">
        <v>23</v>
      </c>
      <c r="B15" t="s">
        <v>562</v>
      </c>
      <c r="C15" s="59">
        <v>45446</v>
      </c>
      <c r="D15" t="s">
        <v>1067</v>
      </c>
      <c r="E15" t="s">
        <v>561</v>
      </c>
      <c r="F15" t="s">
        <v>1063</v>
      </c>
      <c r="G15" t="s">
        <v>1068</v>
      </c>
      <c r="H15" t="s">
        <v>1069</v>
      </c>
      <c r="I15" s="59">
        <v>45446</v>
      </c>
      <c r="J15" t="s">
        <v>563</v>
      </c>
      <c r="K15" t="s">
        <v>1065</v>
      </c>
      <c r="L15" s="59"/>
      <c r="M15" t="s">
        <v>44</v>
      </c>
      <c r="N15" t="s">
        <v>353</v>
      </c>
      <c r="O15">
        <v>1</v>
      </c>
      <c r="P15" t="s">
        <v>1063</v>
      </c>
      <c r="Q15" t="s">
        <v>1069</v>
      </c>
      <c r="S15" t="s">
        <v>1070</v>
      </c>
      <c r="W15">
        <v>14580</v>
      </c>
      <c r="X15">
        <v>1620</v>
      </c>
      <c r="Y15">
        <v>3000</v>
      </c>
      <c r="Z15">
        <v>3000</v>
      </c>
      <c r="AA15">
        <v>0</v>
      </c>
      <c r="AB15">
        <v>0</v>
      </c>
      <c r="AD15" t="s">
        <v>43</v>
      </c>
      <c r="AF15">
        <v>15300</v>
      </c>
      <c r="AG15">
        <v>9900</v>
      </c>
      <c r="AH15">
        <v>17580</v>
      </c>
      <c r="AI15">
        <v>12900</v>
      </c>
      <c r="AJ15">
        <v>719</v>
      </c>
      <c r="AK15">
        <v>3961</v>
      </c>
      <c r="AL15">
        <v>0.2253</v>
      </c>
      <c r="AN15" t="s">
        <v>834</v>
      </c>
      <c r="AP15">
        <v>17580</v>
      </c>
      <c r="AQ15">
        <v>12900</v>
      </c>
      <c r="AR15">
        <v>719</v>
      </c>
      <c r="AS15">
        <v>3961</v>
      </c>
      <c r="AT15">
        <v>0.2253</v>
      </c>
      <c r="AU15" t="s">
        <v>560</v>
      </c>
      <c r="AV15">
        <v>0</v>
      </c>
      <c r="AW15">
        <v>9900</v>
      </c>
    </row>
    <row r="16" spans="1:49">
      <c r="A16">
        <v>24</v>
      </c>
      <c r="B16" t="s">
        <v>562</v>
      </c>
      <c r="C16" s="59">
        <v>45445</v>
      </c>
      <c r="D16" t="s">
        <v>1075</v>
      </c>
      <c r="E16" t="s">
        <v>561</v>
      </c>
      <c r="F16" t="s">
        <v>1072</v>
      </c>
      <c r="G16" t="s">
        <v>1076</v>
      </c>
      <c r="H16" t="s">
        <v>1077</v>
      </c>
      <c r="I16" s="59">
        <v>45446</v>
      </c>
      <c r="J16" t="s">
        <v>563</v>
      </c>
      <c r="K16" t="s">
        <v>1073</v>
      </c>
      <c r="L16" s="59"/>
      <c r="M16" t="s">
        <v>44</v>
      </c>
      <c r="N16" t="s">
        <v>353</v>
      </c>
      <c r="O16">
        <v>1</v>
      </c>
      <c r="P16" t="s">
        <v>1072</v>
      </c>
      <c r="Q16" t="s">
        <v>1077</v>
      </c>
      <c r="S16" t="s">
        <v>1078</v>
      </c>
      <c r="W16">
        <v>14580</v>
      </c>
      <c r="X16">
        <v>1620</v>
      </c>
      <c r="Y16">
        <v>3000</v>
      </c>
      <c r="Z16">
        <v>3000</v>
      </c>
      <c r="AA16">
        <v>0</v>
      </c>
      <c r="AB16">
        <v>0</v>
      </c>
      <c r="AD16" t="s">
        <v>43</v>
      </c>
      <c r="AF16">
        <v>15300</v>
      </c>
      <c r="AG16">
        <v>9900</v>
      </c>
      <c r="AH16">
        <v>17580</v>
      </c>
      <c r="AI16">
        <v>12900</v>
      </c>
      <c r="AJ16">
        <v>719</v>
      </c>
      <c r="AK16">
        <v>3961</v>
      </c>
      <c r="AL16">
        <v>0.2253</v>
      </c>
      <c r="AN16" t="s">
        <v>834</v>
      </c>
      <c r="AP16">
        <v>17580</v>
      </c>
      <c r="AQ16">
        <v>12900</v>
      </c>
      <c r="AR16">
        <v>719</v>
      </c>
      <c r="AS16">
        <v>3961</v>
      </c>
      <c r="AT16">
        <v>0.2253</v>
      </c>
      <c r="AU16" t="s">
        <v>560</v>
      </c>
      <c r="AV16">
        <v>0</v>
      </c>
      <c r="AW16">
        <v>9900</v>
      </c>
    </row>
    <row r="17" spans="1:49">
      <c r="A17">
        <v>25</v>
      </c>
      <c r="B17" t="s">
        <v>562</v>
      </c>
      <c r="C17" s="59">
        <v>45444</v>
      </c>
      <c r="D17" t="s">
        <v>1083</v>
      </c>
      <c r="E17" t="s">
        <v>561</v>
      </c>
      <c r="F17" t="s">
        <v>1080</v>
      </c>
      <c r="G17" t="s">
        <v>1084</v>
      </c>
      <c r="H17" t="s">
        <v>1085</v>
      </c>
      <c r="I17" s="59">
        <v>45446</v>
      </c>
      <c r="J17" t="s">
        <v>563</v>
      </c>
      <c r="K17" t="s">
        <v>1081</v>
      </c>
      <c r="L17" s="59"/>
      <c r="M17" t="s">
        <v>34</v>
      </c>
      <c r="N17" t="s">
        <v>353</v>
      </c>
      <c r="O17">
        <v>2</v>
      </c>
      <c r="P17" t="s">
        <v>1080</v>
      </c>
      <c r="Q17" t="s">
        <v>1086</v>
      </c>
      <c r="S17" t="s">
        <v>1087</v>
      </c>
      <c r="W17">
        <v>57240</v>
      </c>
      <c r="X17">
        <v>6360</v>
      </c>
      <c r="Y17">
        <v>0</v>
      </c>
      <c r="Z17">
        <v>4400</v>
      </c>
      <c r="AA17">
        <v>0</v>
      </c>
      <c r="AB17">
        <v>0</v>
      </c>
      <c r="AD17" t="s">
        <v>33</v>
      </c>
      <c r="AF17">
        <v>30600</v>
      </c>
      <c r="AG17">
        <v>19800</v>
      </c>
      <c r="AH17">
        <v>57240</v>
      </c>
      <c r="AI17">
        <v>44000</v>
      </c>
      <c r="AJ17">
        <v>2358</v>
      </c>
      <c r="AK17">
        <v>10882</v>
      </c>
      <c r="AL17">
        <v>0.19009999999999999</v>
      </c>
      <c r="AN17" t="s">
        <v>834</v>
      </c>
      <c r="AP17">
        <v>57240</v>
      </c>
      <c r="AQ17">
        <v>44000</v>
      </c>
      <c r="AR17">
        <v>2358</v>
      </c>
      <c r="AS17">
        <v>10882</v>
      </c>
      <c r="AT17">
        <v>0.19009999999999999</v>
      </c>
      <c r="AU17" t="s">
        <v>560</v>
      </c>
      <c r="AV17">
        <v>0</v>
      </c>
      <c r="AW17">
        <v>39600</v>
      </c>
    </row>
    <row r="18" spans="1:49">
      <c r="A18">
        <v>33</v>
      </c>
      <c r="B18" t="s">
        <v>562</v>
      </c>
      <c r="C18" s="59">
        <v>45444</v>
      </c>
      <c r="D18" t="s">
        <v>1148</v>
      </c>
      <c r="E18" t="s">
        <v>568</v>
      </c>
      <c r="F18" t="s">
        <v>1149</v>
      </c>
      <c r="G18" t="s">
        <v>1150</v>
      </c>
      <c r="H18" t="s">
        <v>1151</v>
      </c>
      <c r="I18" s="59">
        <v>45446</v>
      </c>
      <c r="J18" t="s">
        <v>563</v>
      </c>
      <c r="K18" t="s">
        <v>1147</v>
      </c>
      <c r="L18" s="59"/>
      <c r="M18" t="s">
        <v>18</v>
      </c>
      <c r="N18" t="s">
        <v>353</v>
      </c>
      <c r="O18">
        <v>1</v>
      </c>
      <c r="P18" t="s">
        <v>1144</v>
      </c>
      <c r="Q18" t="s">
        <v>1151</v>
      </c>
      <c r="S18" t="s">
        <v>1152</v>
      </c>
      <c r="T18" t="s">
        <v>571</v>
      </c>
      <c r="W18">
        <v>12470</v>
      </c>
      <c r="X18">
        <v>0</v>
      </c>
      <c r="Y18">
        <v>3000</v>
      </c>
      <c r="Z18">
        <v>3000</v>
      </c>
      <c r="AA18">
        <v>0</v>
      </c>
      <c r="AB18">
        <v>0</v>
      </c>
      <c r="AD18" t="s">
        <v>17</v>
      </c>
      <c r="AF18">
        <v>11780</v>
      </c>
      <c r="AG18">
        <v>7260</v>
      </c>
      <c r="AH18">
        <v>15470</v>
      </c>
      <c r="AI18">
        <v>10260</v>
      </c>
      <c r="AJ18">
        <v>1580</v>
      </c>
      <c r="AK18">
        <v>3630</v>
      </c>
      <c r="AL18">
        <v>0.2346</v>
      </c>
      <c r="AN18" t="s">
        <v>834</v>
      </c>
      <c r="AP18">
        <v>15470</v>
      </c>
      <c r="AQ18">
        <v>10260</v>
      </c>
      <c r="AR18">
        <v>1580</v>
      </c>
      <c r="AS18">
        <v>3630</v>
      </c>
      <c r="AT18">
        <v>0.2346</v>
      </c>
      <c r="AU18" t="s">
        <v>560</v>
      </c>
      <c r="AV18">
        <v>0</v>
      </c>
      <c r="AW18">
        <v>7260</v>
      </c>
    </row>
    <row r="19" spans="1:49">
      <c r="A19">
        <v>34</v>
      </c>
      <c r="B19" t="s">
        <v>562</v>
      </c>
      <c r="C19" s="59">
        <v>45444</v>
      </c>
      <c r="D19" t="s">
        <v>1156</v>
      </c>
      <c r="E19" t="s">
        <v>568</v>
      </c>
      <c r="F19" t="s">
        <v>1154</v>
      </c>
      <c r="G19" t="s">
        <v>982</v>
      </c>
      <c r="H19" t="s">
        <v>1157</v>
      </c>
      <c r="I19" s="59">
        <v>45446</v>
      </c>
      <c r="J19" t="s">
        <v>563</v>
      </c>
      <c r="K19" t="s">
        <v>1155</v>
      </c>
      <c r="L19" s="59"/>
      <c r="M19" t="s">
        <v>34</v>
      </c>
      <c r="N19" t="s">
        <v>353</v>
      </c>
      <c r="O19">
        <v>1</v>
      </c>
      <c r="P19" t="s">
        <v>1154</v>
      </c>
      <c r="Q19" t="s">
        <v>1157</v>
      </c>
      <c r="S19" t="s">
        <v>1158</v>
      </c>
      <c r="T19" t="s">
        <v>571</v>
      </c>
      <c r="W19">
        <v>34020</v>
      </c>
      <c r="X19">
        <v>0</v>
      </c>
      <c r="Y19">
        <v>3000</v>
      </c>
      <c r="Z19">
        <v>3500</v>
      </c>
      <c r="AA19">
        <v>0</v>
      </c>
      <c r="AB19">
        <v>0</v>
      </c>
      <c r="AD19" t="s">
        <v>33</v>
      </c>
      <c r="AF19">
        <v>32130</v>
      </c>
      <c r="AG19">
        <v>19800</v>
      </c>
      <c r="AH19">
        <v>37020</v>
      </c>
      <c r="AI19">
        <v>23300</v>
      </c>
      <c r="AJ19">
        <v>4141</v>
      </c>
      <c r="AK19">
        <v>9579</v>
      </c>
      <c r="AL19">
        <v>0.25879999999999997</v>
      </c>
      <c r="AN19" t="s">
        <v>834</v>
      </c>
      <c r="AP19">
        <v>37020</v>
      </c>
      <c r="AQ19">
        <v>23300</v>
      </c>
      <c r="AR19">
        <v>4141</v>
      </c>
      <c r="AS19">
        <v>9579</v>
      </c>
      <c r="AT19">
        <v>0.25879999999999997</v>
      </c>
      <c r="AU19" t="s">
        <v>560</v>
      </c>
      <c r="AV19">
        <v>0</v>
      </c>
      <c r="AW19">
        <v>19800</v>
      </c>
    </row>
    <row r="20" spans="1:49">
      <c r="A20">
        <v>35</v>
      </c>
      <c r="B20" t="s">
        <v>562</v>
      </c>
      <c r="C20" s="59">
        <v>45444</v>
      </c>
      <c r="D20" t="s">
        <v>1162</v>
      </c>
      <c r="E20" t="s">
        <v>568</v>
      </c>
      <c r="F20" t="s">
        <v>1160</v>
      </c>
      <c r="G20" t="s">
        <v>1163</v>
      </c>
      <c r="H20" t="s">
        <v>1164</v>
      </c>
      <c r="I20" s="59">
        <v>45446</v>
      </c>
      <c r="J20" t="s">
        <v>563</v>
      </c>
      <c r="K20" t="s">
        <v>1161</v>
      </c>
      <c r="L20" s="59"/>
      <c r="M20" t="s">
        <v>129</v>
      </c>
      <c r="N20" t="s">
        <v>353</v>
      </c>
      <c r="O20">
        <v>40</v>
      </c>
      <c r="P20" t="s">
        <v>1160</v>
      </c>
      <c r="Q20" t="s">
        <v>1164</v>
      </c>
      <c r="S20" t="s">
        <v>1165</v>
      </c>
      <c r="T20" t="s">
        <v>569</v>
      </c>
      <c r="W20">
        <v>46000</v>
      </c>
      <c r="X20">
        <v>0</v>
      </c>
      <c r="Y20">
        <v>0</v>
      </c>
      <c r="Z20">
        <v>3500</v>
      </c>
      <c r="AA20">
        <v>0</v>
      </c>
      <c r="AB20">
        <v>0</v>
      </c>
      <c r="AD20" t="s">
        <v>128</v>
      </c>
      <c r="AF20">
        <v>1070</v>
      </c>
      <c r="AG20">
        <v>660</v>
      </c>
      <c r="AH20">
        <v>46000</v>
      </c>
      <c r="AI20">
        <v>29900</v>
      </c>
      <c r="AJ20">
        <v>5465</v>
      </c>
      <c r="AK20">
        <v>10635</v>
      </c>
      <c r="AL20">
        <v>0.23119999999999999</v>
      </c>
      <c r="AN20" t="s">
        <v>834</v>
      </c>
      <c r="AP20">
        <v>46000</v>
      </c>
      <c r="AQ20">
        <v>29900</v>
      </c>
      <c r="AR20">
        <v>5465</v>
      </c>
      <c r="AS20">
        <v>10635</v>
      </c>
      <c r="AT20">
        <v>0.23119999999999999</v>
      </c>
      <c r="AU20" t="s">
        <v>560</v>
      </c>
      <c r="AV20">
        <v>0</v>
      </c>
      <c r="AW20">
        <v>26400</v>
      </c>
    </row>
    <row r="21" spans="1:49">
      <c r="A21">
        <v>36</v>
      </c>
      <c r="B21" t="s">
        <v>562</v>
      </c>
      <c r="C21" s="59">
        <v>45444</v>
      </c>
      <c r="D21" t="s">
        <v>1169</v>
      </c>
      <c r="E21" t="s">
        <v>568</v>
      </c>
      <c r="F21" t="s">
        <v>1167</v>
      </c>
      <c r="G21" t="s">
        <v>1170</v>
      </c>
      <c r="H21" t="s">
        <v>1171</v>
      </c>
      <c r="I21" s="59">
        <v>45446</v>
      </c>
      <c r="J21" t="s">
        <v>563</v>
      </c>
      <c r="K21" t="s">
        <v>1168</v>
      </c>
      <c r="L21" s="59"/>
      <c r="M21" t="s">
        <v>133</v>
      </c>
      <c r="N21" t="s">
        <v>353</v>
      </c>
      <c r="O21">
        <v>30</v>
      </c>
      <c r="P21" t="s">
        <v>1167</v>
      </c>
      <c r="Q21" t="s">
        <v>1171</v>
      </c>
      <c r="S21" t="s">
        <v>1172</v>
      </c>
      <c r="T21" t="s">
        <v>571</v>
      </c>
      <c r="W21">
        <v>28200</v>
      </c>
      <c r="X21">
        <v>0</v>
      </c>
      <c r="Y21">
        <v>3000</v>
      </c>
      <c r="Z21">
        <v>3500</v>
      </c>
      <c r="AA21">
        <v>0</v>
      </c>
      <c r="AB21">
        <v>0</v>
      </c>
      <c r="AD21" t="s">
        <v>132</v>
      </c>
      <c r="AF21">
        <v>890</v>
      </c>
      <c r="AG21">
        <v>550</v>
      </c>
      <c r="AH21">
        <v>31200</v>
      </c>
      <c r="AI21">
        <v>20000</v>
      </c>
      <c r="AJ21">
        <v>3449</v>
      </c>
      <c r="AK21">
        <v>7751</v>
      </c>
      <c r="AL21">
        <v>0.24840000000000001</v>
      </c>
      <c r="AN21" t="s">
        <v>834</v>
      </c>
      <c r="AP21">
        <v>31200</v>
      </c>
      <c r="AQ21">
        <v>20000</v>
      </c>
      <c r="AR21">
        <v>3449</v>
      </c>
      <c r="AS21">
        <v>7751</v>
      </c>
      <c r="AT21">
        <v>0.24840000000000001</v>
      </c>
      <c r="AU21" t="s">
        <v>560</v>
      </c>
      <c r="AV21">
        <v>0</v>
      </c>
      <c r="AW21">
        <v>16500</v>
      </c>
    </row>
    <row r="22" spans="1:49">
      <c r="A22">
        <v>37</v>
      </c>
      <c r="B22" t="s">
        <v>562</v>
      </c>
      <c r="C22" s="59">
        <v>45445</v>
      </c>
      <c r="D22" t="s">
        <v>1177</v>
      </c>
      <c r="E22" t="s">
        <v>568</v>
      </c>
      <c r="F22" t="s">
        <v>1174</v>
      </c>
      <c r="G22" t="s">
        <v>1178</v>
      </c>
      <c r="H22" t="s">
        <v>1179</v>
      </c>
      <c r="I22" s="59">
        <v>45446</v>
      </c>
      <c r="J22" t="s">
        <v>563</v>
      </c>
      <c r="K22" t="s">
        <v>1176</v>
      </c>
      <c r="L22" s="59"/>
      <c r="M22" t="s">
        <v>110</v>
      </c>
      <c r="N22" t="s">
        <v>353</v>
      </c>
      <c r="O22">
        <v>5</v>
      </c>
      <c r="P22" t="s">
        <v>1174</v>
      </c>
      <c r="Q22" t="s">
        <v>1179</v>
      </c>
      <c r="S22" t="s">
        <v>1180</v>
      </c>
      <c r="T22" t="s">
        <v>571</v>
      </c>
      <c r="W22">
        <v>6250</v>
      </c>
      <c r="X22">
        <v>0</v>
      </c>
      <c r="Y22">
        <v>3000</v>
      </c>
      <c r="Z22">
        <v>3000</v>
      </c>
      <c r="AA22">
        <v>0</v>
      </c>
      <c r="AB22">
        <v>0</v>
      </c>
      <c r="AD22" t="s">
        <v>1975</v>
      </c>
      <c r="AF22">
        <v>1170</v>
      </c>
      <c r="AG22">
        <v>715</v>
      </c>
      <c r="AH22">
        <v>9250</v>
      </c>
      <c r="AI22">
        <v>6575</v>
      </c>
      <c r="AJ22">
        <v>842</v>
      </c>
      <c r="AK22">
        <v>1833</v>
      </c>
      <c r="AL22">
        <v>0.19819999999999999</v>
      </c>
      <c r="AN22" t="s">
        <v>834</v>
      </c>
      <c r="AP22">
        <v>9250</v>
      </c>
      <c r="AQ22">
        <v>6575</v>
      </c>
      <c r="AR22">
        <v>842</v>
      </c>
      <c r="AS22">
        <v>1833</v>
      </c>
      <c r="AT22">
        <v>0.19819999999999999</v>
      </c>
      <c r="AU22" t="s">
        <v>560</v>
      </c>
      <c r="AV22">
        <v>0</v>
      </c>
      <c r="AW22">
        <v>3575</v>
      </c>
    </row>
    <row r="23" spans="1:49">
      <c r="A23">
        <v>39</v>
      </c>
      <c r="B23" t="s">
        <v>562</v>
      </c>
      <c r="C23" s="59">
        <v>45447</v>
      </c>
      <c r="D23" t="s">
        <v>2080</v>
      </c>
      <c r="E23" t="s">
        <v>561</v>
      </c>
      <c r="F23" t="s">
        <v>1194</v>
      </c>
      <c r="G23" t="s">
        <v>1195</v>
      </c>
      <c r="H23" t="s">
        <v>1196</v>
      </c>
      <c r="I23" s="59">
        <v>45447</v>
      </c>
      <c r="J23" t="s">
        <v>563</v>
      </c>
      <c r="K23" t="s">
        <v>1192</v>
      </c>
      <c r="L23" s="59"/>
      <c r="M23" t="s">
        <v>176</v>
      </c>
      <c r="N23" t="s">
        <v>375</v>
      </c>
      <c r="O23">
        <v>6</v>
      </c>
      <c r="P23" t="s">
        <v>1189</v>
      </c>
      <c r="Q23" t="s">
        <v>1196</v>
      </c>
      <c r="S23" t="s">
        <v>1197</v>
      </c>
      <c r="T23" t="s">
        <v>1198</v>
      </c>
      <c r="W23">
        <v>45360</v>
      </c>
      <c r="X23">
        <v>0</v>
      </c>
      <c r="Y23">
        <v>0</v>
      </c>
      <c r="Z23">
        <v>5500</v>
      </c>
      <c r="AB23">
        <v>0</v>
      </c>
      <c r="AD23" t="s">
        <v>1976</v>
      </c>
      <c r="AF23">
        <v>7230</v>
      </c>
      <c r="AG23">
        <v>4620</v>
      </c>
      <c r="AH23">
        <v>45360</v>
      </c>
      <c r="AI23">
        <v>33220</v>
      </c>
      <c r="AJ23">
        <v>1885</v>
      </c>
      <c r="AK23">
        <v>10255</v>
      </c>
      <c r="AL23">
        <v>0.2261</v>
      </c>
      <c r="AN23" t="s">
        <v>834</v>
      </c>
      <c r="AP23">
        <v>45360</v>
      </c>
      <c r="AQ23">
        <v>33220</v>
      </c>
      <c r="AR23">
        <v>1885</v>
      </c>
      <c r="AS23">
        <v>10255</v>
      </c>
      <c r="AT23">
        <v>0.2261</v>
      </c>
      <c r="AU23" t="s">
        <v>560</v>
      </c>
      <c r="AV23">
        <v>0</v>
      </c>
      <c r="AW23">
        <v>27720</v>
      </c>
    </row>
    <row r="24" spans="1:49">
      <c r="A24">
        <v>40</v>
      </c>
      <c r="B24" t="s">
        <v>562</v>
      </c>
      <c r="C24" s="59">
        <v>45447</v>
      </c>
      <c r="D24" t="s">
        <v>1203</v>
      </c>
      <c r="E24" t="s">
        <v>561</v>
      </c>
      <c r="F24" t="s">
        <v>1194</v>
      </c>
      <c r="G24" t="s">
        <v>1195</v>
      </c>
      <c r="H24" t="s">
        <v>1196</v>
      </c>
      <c r="I24" s="59">
        <v>45447</v>
      </c>
      <c r="J24" t="s">
        <v>563</v>
      </c>
      <c r="K24" t="s">
        <v>1201</v>
      </c>
      <c r="L24" s="59"/>
      <c r="M24" t="s">
        <v>180</v>
      </c>
      <c r="N24" t="s">
        <v>375</v>
      </c>
      <c r="O24">
        <v>16</v>
      </c>
      <c r="P24" t="s">
        <v>1189</v>
      </c>
      <c r="Q24" t="s">
        <v>1196</v>
      </c>
      <c r="S24" t="s">
        <v>1197</v>
      </c>
      <c r="T24" t="s">
        <v>1198</v>
      </c>
      <c r="W24">
        <v>92160</v>
      </c>
      <c r="X24">
        <v>0</v>
      </c>
      <c r="Y24">
        <v>0</v>
      </c>
      <c r="Z24">
        <v>0</v>
      </c>
      <c r="AA24">
        <v>0</v>
      </c>
      <c r="AB24">
        <v>0</v>
      </c>
      <c r="AD24" t="s">
        <v>1977</v>
      </c>
      <c r="AE24" t="s">
        <v>822</v>
      </c>
      <c r="AF24">
        <v>5510</v>
      </c>
      <c r="AG24">
        <v>3520</v>
      </c>
      <c r="AH24">
        <v>92160</v>
      </c>
      <c r="AI24">
        <v>56320</v>
      </c>
      <c r="AJ24">
        <v>3748</v>
      </c>
      <c r="AK24">
        <v>32092</v>
      </c>
      <c r="AL24">
        <v>0.34820000000000001</v>
      </c>
      <c r="AN24" t="s">
        <v>834</v>
      </c>
      <c r="AP24">
        <v>92160</v>
      </c>
      <c r="AQ24">
        <v>56320</v>
      </c>
      <c r="AR24">
        <v>3748</v>
      </c>
      <c r="AS24">
        <v>32092</v>
      </c>
      <c r="AT24">
        <v>0.34820000000000001</v>
      </c>
      <c r="AU24" t="s">
        <v>560</v>
      </c>
      <c r="AV24">
        <v>0</v>
      </c>
      <c r="AW24">
        <v>56320</v>
      </c>
    </row>
    <row r="25" spans="1:49">
      <c r="A25">
        <v>41</v>
      </c>
      <c r="B25" t="s">
        <v>562</v>
      </c>
      <c r="C25" s="59">
        <v>45447</v>
      </c>
      <c r="D25" t="s">
        <v>1207</v>
      </c>
      <c r="E25" t="s">
        <v>561</v>
      </c>
      <c r="F25" t="s">
        <v>1194</v>
      </c>
      <c r="G25" t="s">
        <v>1195</v>
      </c>
      <c r="H25" t="s">
        <v>1196</v>
      </c>
      <c r="I25" s="59">
        <v>45447</v>
      </c>
      <c r="J25" t="s">
        <v>563</v>
      </c>
      <c r="K25" t="s">
        <v>1201</v>
      </c>
      <c r="L25" s="59"/>
      <c r="M25" t="s">
        <v>176</v>
      </c>
      <c r="N25" t="s">
        <v>375</v>
      </c>
      <c r="O25">
        <v>6</v>
      </c>
      <c r="P25" t="s">
        <v>1189</v>
      </c>
      <c r="Q25" t="s">
        <v>1196</v>
      </c>
      <c r="S25" t="s">
        <v>1197</v>
      </c>
      <c r="T25" t="s">
        <v>1198</v>
      </c>
      <c r="W25">
        <v>45360</v>
      </c>
      <c r="X25">
        <v>0</v>
      </c>
      <c r="Y25">
        <v>0</v>
      </c>
      <c r="Z25">
        <v>0</v>
      </c>
      <c r="AA25">
        <v>0</v>
      </c>
      <c r="AB25">
        <v>0</v>
      </c>
      <c r="AD25" t="s">
        <v>1976</v>
      </c>
      <c r="AE25" t="s">
        <v>822</v>
      </c>
      <c r="AF25">
        <v>7230</v>
      </c>
      <c r="AG25">
        <v>4620</v>
      </c>
      <c r="AH25">
        <v>45360</v>
      </c>
      <c r="AI25">
        <v>27720</v>
      </c>
      <c r="AJ25">
        <v>1885</v>
      </c>
      <c r="AK25">
        <v>15755</v>
      </c>
      <c r="AL25">
        <v>0.3473</v>
      </c>
      <c r="AN25" t="s">
        <v>834</v>
      </c>
      <c r="AP25">
        <v>45360</v>
      </c>
      <c r="AQ25">
        <v>27720</v>
      </c>
      <c r="AR25">
        <v>1885</v>
      </c>
      <c r="AS25">
        <v>15755</v>
      </c>
      <c r="AT25">
        <v>0.3473</v>
      </c>
      <c r="AU25" t="s">
        <v>560</v>
      </c>
      <c r="AV25">
        <v>0</v>
      </c>
      <c r="AW25">
        <v>27720</v>
      </c>
    </row>
    <row r="26" spans="1:49">
      <c r="A26">
        <v>42</v>
      </c>
      <c r="B26" t="s">
        <v>562</v>
      </c>
      <c r="C26" s="59">
        <v>45447</v>
      </c>
      <c r="D26" t="s">
        <v>1212</v>
      </c>
      <c r="E26" t="s">
        <v>561</v>
      </c>
      <c r="F26" t="s">
        <v>1209</v>
      </c>
      <c r="G26" t="s">
        <v>1213</v>
      </c>
      <c r="H26" t="s">
        <v>1214</v>
      </c>
      <c r="I26" s="59">
        <v>45447</v>
      </c>
      <c r="J26" t="s">
        <v>563</v>
      </c>
      <c r="K26" t="s">
        <v>1210</v>
      </c>
      <c r="L26" s="59"/>
      <c r="M26" t="s">
        <v>118</v>
      </c>
      <c r="N26" t="s">
        <v>353</v>
      </c>
      <c r="O26">
        <v>10</v>
      </c>
      <c r="P26" t="s">
        <v>1209</v>
      </c>
      <c r="Q26" t="s">
        <v>1214</v>
      </c>
      <c r="R26" t="s">
        <v>1215</v>
      </c>
      <c r="S26" t="s">
        <v>1216</v>
      </c>
      <c r="W26">
        <v>27800</v>
      </c>
      <c r="X26">
        <v>0</v>
      </c>
      <c r="Y26">
        <v>3000</v>
      </c>
      <c r="Z26">
        <v>3500</v>
      </c>
      <c r="AA26">
        <v>0</v>
      </c>
      <c r="AB26">
        <v>0</v>
      </c>
      <c r="AD26" t="s">
        <v>117</v>
      </c>
      <c r="AF26">
        <v>2550</v>
      </c>
      <c r="AG26">
        <v>1650</v>
      </c>
      <c r="AH26">
        <v>30800</v>
      </c>
      <c r="AI26">
        <v>20000</v>
      </c>
      <c r="AJ26">
        <v>1245</v>
      </c>
      <c r="AK26">
        <v>9555</v>
      </c>
      <c r="AL26">
        <v>0.31019999999999998</v>
      </c>
      <c r="AN26" t="s">
        <v>834</v>
      </c>
      <c r="AP26">
        <v>30800</v>
      </c>
      <c r="AQ26">
        <v>20000</v>
      </c>
      <c r="AR26">
        <v>1245</v>
      </c>
      <c r="AS26">
        <v>9555</v>
      </c>
      <c r="AT26">
        <v>0.31019999999999998</v>
      </c>
      <c r="AU26" t="s">
        <v>560</v>
      </c>
      <c r="AV26">
        <v>0</v>
      </c>
      <c r="AW26">
        <v>16500</v>
      </c>
    </row>
    <row r="27" spans="1:49">
      <c r="A27">
        <v>43</v>
      </c>
      <c r="B27" t="s">
        <v>562</v>
      </c>
      <c r="C27" s="59">
        <v>45446</v>
      </c>
      <c r="D27" t="s">
        <v>1222</v>
      </c>
      <c r="E27" t="s">
        <v>561</v>
      </c>
      <c r="F27" t="s">
        <v>1218</v>
      </c>
      <c r="G27" t="s">
        <v>1223</v>
      </c>
      <c r="H27" t="s">
        <v>1224</v>
      </c>
      <c r="I27" s="59">
        <v>45447</v>
      </c>
      <c r="J27" t="s">
        <v>563</v>
      </c>
      <c r="K27" t="s">
        <v>1220</v>
      </c>
      <c r="L27" s="59"/>
      <c r="M27" t="s">
        <v>20</v>
      </c>
      <c r="N27" t="s">
        <v>353</v>
      </c>
      <c r="O27">
        <v>2</v>
      </c>
      <c r="P27" t="s">
        <v>1218</v>
      </c>
      <c r="Q27" t="s">
        <v>1224</v>
      </c>
      <c r="R27" t="s">
        <v>1224</v>
      </c>
      <c r="S27" t="s">
        <v>1225</v>
      </c>
      <c r="T27" t="s">
        <v>1226</v>
      </c>
      <c r="W27">
        <v>28500</v>
      </c>
      <c r="X27">
        <v>3180</v>
      </c>
      <c r="Y27">
        <v>3000</v>
      </c>
      <c r="Z27">
        <v>3500</v>
      </c>
      <c r="AA27">
        <v>0</v>
      </c>
      <c r="AB27">
        <v>0</v>
      </c>
      <c r="AD27" t="s">
        <v>19</v>
      </c>
      <c r="AF27">
        <v>14960</v>
      </c>
      <c r="AG27">
        <v>9680</v>
      </c>
      <c r="AH27">
        <v>31500</v>
      </c>
      <c r="AI27">
        <v>22860</v>
      </c>
      <c r="AJ27">
        <v>1273</v>
      </c>
      <c r="AK27">
        <v>7367</v>
      </c>
      <c r="AL27">
        <v>0.2339</v>
      </c>
      <c r="AN27" t="s">
        <v>834</v>
      </c>
      <c r="AP27">
        <v>31500</v>
      </c>
      <c r="AQ27">
        <v>22860</v>
      </c>
      <c r="AR27">
        <v>1273</v>
      </c>
      <c r="AS27">
        <v>7367</v>
      </c>
      <c r="AT27">
        <v>0.2339</v>
      </c>
      <c r="AU27" t="s">
        <v>560</v>
      </c>
      <c r="AV27">
        <v>0</v>
      </c>
      <c r="AW27">
        <v>19360</v>
      </c>
    </row>
    <row r="28" spans="1:49">
      <c r="A28">
        <v>44</v>
      </c>
      <c r="B28" t="s">
        <v>562</v>
      </c>
      <c r="C28" s="59">
        <v>45446</v>
      </c>
      <c r="D28" t="s">
        <v>1230</v>
      </c>
      <c r="E28" t="s">
        <v>568</v>
      </c>
      <c r="F28" t="s">
        <v>1231</v>
      </c>
      <c r="G28" t="s">
        <v>1232</v>
      </c>
      <c r="H28" t="s">
        <v>1233</v>
      </c>
      <c r="I28" s="59">
        <v>45447</v>
      </c>
      <c r="J28" t="s">
        <v>563</v>
      </c>
      <c r="K28" t="s">
        <v>1229</v>
      </c>
      <c r="L28" s="59"/>
      <c r="M28" t="s">
        <v>18</v>
      </c>
      <c r="N28" t="s">
        <v>353</v>
      </c>
      <c r="O28">
        <v>1</v>
      </c>
      <c r="P28" t="s">
        <v>1228</v>
      </c>
      <c r="Q28" t="s">
        <v>1233</v>
      </c>
      <c r="S28" t="s">
        <v>1234</v>
      </c>
      <c r="T28" t="s">
        <v>1235</v>
      </c>
      <c r="W28">
        <v>12470</v>
      </c>
      <c r="X28">
        <v>0</v>
      </c>
      <c r="Y28">
        <v>3000</v>
      </c>
      <c r="Z28">
        <v>3000</v>
      </c>
      <c r="AA28">
        <v>0</v>
      </c>
      <c r="AB28">
        <v>0</v>
      </c>
      <c r="AD28" t="s">
        <v>17</v>
      </c>
      <c r="AF28">
        <v>11780</v>
      </c>
      <c r="AG28">
        <v>7260</v>
      </c>
      <c r="AH28">
        <v>15470</v>
      </c>
      <c r="AI28">
        <v>10260</v>
      </c>
      <c r="AJ28">
        <v>1580</v>
      </c>
      <c r="AK28">
        <v>3630</v>
      </c>
      <c r="AL28">
        <v>0.2346</v>
      </c>
      <c r="AN28" t="s">
        <v>834</v>
      </c>
      <c r="AP28">
        <v>15470</v>
      </c>
      <c r="AQ28">
        <v>10260</v>
      </c>
      <c r="AR28">
        <v>1580</v>
      </c>
      <c r="AS28">
        <v>3630</v>
      </c>
      <c r="AT28">
        <v>0.2346</v>
      </c>
      <c r="AU28" t="s">
        <v>560</v>
      </c>
      <c r="AV28">
        <v>0</v>
      </c>
      <c r="AW28">
        <v>7260</v>
      </c>
    </row>
    <row r="29" spans="1:49">
      <c r="A29">
        <v>45</v>
      </c>
      <c r="B29" t="s">
        <v>562</v>
      </c>
      <c r="C29" s="59">
        <v>45447</v>
      </c>
      <c r="D29" t="s">
        <v>1239</v>
      </c>
      <c r="E29" t="s">
        <v>568</v>
      </c>
      <c r="F29" t="s">
        <v>1237</v>
      </c>
      <c r="G29" t="s">
        <v>1240</v>
      </c>
      <c r="H29" t="s">
        <v>1241</v>
      </c>
      <c r="I29" s="59">
        <v>45447</v>
      </c>
      <c r="J29" t="s">
        <v>563</v>
      </c>
      <c r="K29" t="s">
        <v>1238</v>
      </c>
      <c r="L29" s="59"/>
      <c r="M29" t="s">
        <v>129</v>
      </c>
      <c r="N29" t="s">
        <v>353</v>
      </c>
      <c r="O29">
        <v>1</v>
      </c>
      <c r="P29" t="s">
        <v>1237</v>
      </c>
      <c r="Q29" t="s">
        <v>1241</v>
      </c>
      <c r="S29" t="s">
        <v>1242</v>
      </c>
      <c r="T29" t="s">
        <v>571</v>
      </c>
      <c r="W29">
        <v>1150</v>
      </c>
      <c r="X29">
        <v>0</v>
      </c>
      <c r="Y29">
        <v>3000</v>
      </c>
      <c r="Z29">
        <v>3000</v>
      </c>
      <c r="AA29">
        <v>0</v>
      </c>
      <c r="AB29">
        <v>0</v>
      </c>
      <c r="AD29" t="s">
        <v>128</v>
      </c>
      <c r="AF29">
        <v>1070</v>
      </c>
      <c r="AG29">
        <v>660</v>
      </c>
      <c r="AH29">
        <v>4150</v>
      </c>
      <c r="AI29">
        <v>3660</v>
      </c>
      <c r="AJ29">
        <v>236</v>
      </c>
      <c r="AK29">
        <v>254</v>
      </c>
      <c r="AL29">
        <v>6.1199999999999997E-2</v>
      </c>
      <c r="AN29" t="s">
        <v>834</v>
      </c>
      <c r="AP29">
        <v>4150</v>
      </c>
      <c r="AQ29">
        <v>3660</v>
      </c>
      <c r="AR29">
        <v>236</v>
      </c>
      <c r="AS29">
        <v>254</v>
      </c>
      <c r="AT29">
        <v>6.1199999999999997E-2</v>
      </c>
      <c r="AU29" t="s">
        <v>560</v>
      </c>
      <c r="AV29">
        <v>0</v>
      </c>
      <c r="AW29">
        <v>660</v>
      </c>
    </row>
    <row r="30" spans="1:49">
      <c r="A30">
        <v>46</v>
      </c>
      <c r="B30" t="s">
        <v>562</v>
      </c>
      <c r="C30" s="59">
        <v>45447</v>
      </c>
      <c r="D30" t="s">
        <v>1246</v>
      </c>
      <c r="E30" t="s">
        <v>568</v>
      </c>
      <c r="F30" t="s">
        <v>1247</v>
      </c>
      <c r="G30" t="s">
        <v>1248</v>
      </c>
      <c r="H30" t="s">
        <v>1249</v>
      </c>
      <c r="I30" s="59">
        <v>45447</v>
      </c>
      <c r="J30" t="s">
        <v>563</v>
      </c>
      <c r="K30" t="s">
        <v>1245</v>
      </c>
      <c r="L30" s="59"/>
      <c r="M30" t="s">
        <v>34</v>
      </c>
      <c r="N30" t="s">
        <v>353</v>
      </c>
      <c r="O30">
        <v>1</v>
      </c>
      <c r="P30" t="s">
        <v>1244</v>
      </c>
      <c r="Q30" t="s">
        <v>1249</v>
      </c>
      <c r="S30" t="s">
        <v>1250</v>
      </c>
      <c r="T30" t="s">
        <v>571</v>
      </c>
      <c r="W30">
        <v>34020</v>
      </c>
      <c r="X30">
        <v>0</v>
      </c>
      <c r="Y30">
        <v>3000</v>
      </c>
      <c r="Z30">
        <v>3500</v>
      </c>
      <c r="AA30">
        <v>0</v>
      </c>
      <c r="AB30">
        <v>0</v>
      </c>
      <c r="AD30" t="s">
        <v>33</v>
      </c>
      <c r="AF30">
        <v>32130</v>
      </c>
      <c r="AG30">
        <v>19800</v>
      </c>
      <c r="AH30">
        <v>37020</v>
      </c>
      <c r="AI30">
        <v>23300</v>
      </c>
      <c r="AJ30">
        <v>4141</v>
      </c>
      <c r="AK30">
        <v>9579</v>
      </c>
      <c r="AL30">
        <v>0.25879999999999997</v>
      </c>
      <c r="AN30" t="s">
        <v>834</v>
      </c>
      <c r="AP30">
        <v>37020</v>
      </c>
      <c r="AQ30">
        <v>23300</v>
      </c>
      <c r="AR30">
        <v>4141</v>
      </c>
      <c r="AS30">
        <v>9579</v>
      </c>
      <c r="AT30">
        <v>0.25879999999999997</v>
      </c>
      <c r="AU30" t="s">
        <v>560</v>
      </c>
      <c r="AV30">
        <v>0</v>
      </c>
      <c r="AW30">
        <v>19800</v>
      </c>
    </row>
    <row r="31" spans="1:49">
      <c r="A31">
        <v>53</v>
      </c>
      <c r="B31" t="s">
        <v>562</v>
      </c>
      <c r="C31" s="59">
        <v>45447</v>
      </c>
      <c r="D31" t="s">
        <v>1295</v>
      </c>
      <c r="E31" t="s">
        <v>1294</v>
      </c>
      <c r="I31" s="59">
        <v>45447</v>
      </c>
      <c r="J31" t="s">
        <v>563</v>
      </c>
      <c r="K31" t="s">
        <v>1293</v>
      </c>
      <c r="L31" s="59"/>
      <c r="M31" t="s">
        <v>90</v>
      </c>
      <c r="N31" t="s">
        <v>353</v>
      </c>
      <c r="O31">
        <v>1</v>
      </c>
      <c r="P31" t="s">
        <v>1291</v>
      </c>
      <c r="Q31" t="s">
        <v>1296</v>
      </c>
      <c r="S31" t="s">
        <v>1297</v>
      </c>
      <c r="W31">
        <v>0</v>
      </c>
      <c r="X31">
        <v>0</v>
      </c>
      <c r="Y31">
        <v>0</v>
      </c>
      <c r="Z31">
        <v>3000</v>
      </c>
      <c r="AA31">
        <v>0</v>
      </c>
      <c r="AB31">
        <v>0</v>
      </c>
      <c r="AD31" t="s">
        <v>89</v>
      </c>
      <c r="AE31" t="s">
        <v>822</v>
      </c>
      <c r="AF31">
        <v>3900</v>
      </c>
      <c r="AG31">
        <v>2530</v>
      </c>
      <c r="AH31">
        <v>0</v>
      </c>
      <c r="AI31">
        <v>0</v>
      </c>
      <c r="AJ31">
        <v>0</v>
      </c>
      <c r="AK31">
        <v>0</v>
      </c>
      <c r="AN31" t="s">
        <v>837</v>
      </c>
      <c r="AP31">
        <v>0</v>
      </c>
      <c r="AQ31">
        <v>5530</v>
      </c>
      <c r="AR31">
        <v>80</v>
      </c>
      <c r="AS31">
        <v>-5610</v>
      </c>
      <c r="AT31">
        <v>0</v>
      </c>
      <c r="AU31" t="s">
        <v>875</v>
      </c>
      <c r="AV31">
        <v>0</v>
      </c>
      <c r="AW31">
        <v>2530</v>
      </c>
    </row>
    <row r="32" spans="1:49">
      <c r="A32">
        <v>54</v>
      </c>
      <c r="B32" t="s">
        <v>562</v>
      </c>
      <c r="C32" s="59">
        <v>45447</v>
      </c>
      <c r="D32" t="s">
        <v>1301</v>
      </c>
      <c r="E32" t="s">
        <v>1294</v>
      </c>
      <c r="I32" s="59">
        <v>45447</v>
      </c>
      <c r="J32" t="s">
        <v>563</v>
      </c>
      <c r="K32" t="s">
        <v>1300</v>
      </c>
      <c r="L32" s="59"/>
      <c r="M32" t="s">
        <v>84</v>
      </c>
      <c r="N32" t="s">
        <v>353</v>
      </c>
      <c r="O32">
        <v>1</v>
      </c>
      <c r="P32" t="s">
        <v>1298</v>
      </c>
      <c r="Q32" t="s">
        <v>1302</v>
      </c>
      <c r="S32" t="s">
        <v>1303</v>
      </c>
      <c r="W32">
        <v>0</v>
      </c>
      <c r="X32">
        <v>0</v>
      </c>
      <c r="Y32">
        <v>0</v>
      </c>
      <c r="Z32">
        <v>3000</v>
      </c>
      <c r="AA32">
        <v>0</v>
      </c>
      <c r="AB32">
        <v>0</v>
      </c>
      <c r="AD32" t="s">
        <v>83</v>
      </c>
      <c r="AE32" t="s">
        <v>822</v>
      </c>
      <c r="AF32">
        <v>5250</v>
      </c>
      <c r="AG32">
        <v>3410</v>
      </c>
      <c r="AH32">
        <v>0</v>
      </c>
      <c r="AI32">
        <v>0</v>
      </c>
      <c r="AJ32">
        <v>0</v>
      </c>
      <c r="AK32">
        <v>0</v>
      </c>
      <c r="AN32" t="s">
        <v>837</v>
      </c>
      <c r="AP32">
        <v>0</v>
      </c>
      <c r="AQ32">
        <v>6410</v>
      </c>
      <c r="AR32">
        <v>80</v>
      </c>
      <c r="AS32">
        <v>-6490</v>
      </c>
      <c r="AT32">
        <v>0</v>
      </c>
      <c r="AU32" t="s">
        <v>875</v>
      </c>
      <c r="AV32">
        <v>0</v>
      </c>
      <c r="AW32">
        <v>3410</v>
      </c>
    </row>
    <row r="33" spans="1:49">
      <c r="A33">
        <v>60</v>
      </c>
      <c r="B33" t="s">
        <v>562</v>
      </c>
      <c r="C33" s="59">
        <v>45448</v>
      </c>
      <c r="D33" t="s">
        <v>1338</v>
      </c>
      <c r="E33" t="s">
        <v>561</v>
      </c>
      <c r="F33" t="s">
        <v>1339</v>
      </c>
      <c r="G33" t="s">
        <v>1340</v>
      </c>
      <c r="H33" t="s">
        <v>1341</v>
      </c>
      <c r="I33" s="59">
        <v>45448</v>
      </c>
      <c r="J33" t="s">
        <v>563</v>
      </c>
      <c r="K33" t="s">
        <v>1336</v>
      </c>
      <c r="L33" s="59"/>
      <c r="M33" t="s">
        <v>44</v>
      </c>
      <c r="N33" t="s">
        <v>353</v>
      </c>
      <c r="O33">
        <v>1</v>
      </c>
      <c r="P33" t="s">
        <v>1335</v>
      </c>
      <c r="Q33" t="s">
        <v>1341</v>
      </c>
      <c r="S33" t="s">
        <v>1342</v>
      </c>
      <c r="W33">
        <v>14580</v>
      </c>
      <c r="X33">
        <v>1620</v>
      </c>
      <c r="Y33">
        <v>3000</v>
      </c>
      <c r="Z33">
        <v>3000</v>
      </c>
      <c r="AA33">
        <v>0</v>
      </c>
      <c r="AB33">
        <v>0</v>
      </c>
      <c r="AD33" t="s">
        <v>43</v>
      </c>
      <c r="AF33">
        <v>15300</v>
      </c>
      <c r="AG33">
        <v>9900</v>
      </c>
      <c r="AH33">
        <v>17580</v>
      </c>
      <c r="AI33">
        <v>12900</v>
      </c>
      <c r="AJ33">
        <v>719</v>
      </c>
      <c r="AK33">
        <v>3961</v>
      </c>
      <c r="AL33">
        <v>0.2253</v>
      </c>
      <c r="AN33" t="s">
        <v>834</v>
      </c>
      <c r="AP33">
        <v>17580</v>
      </c>
      <c r="AQ33">
        <v>12900</v>
      </c>
      <c r="AR33">
        <v>719</v>
      </c>
      <c r="AS33">
        <v>3961</v>
      </c>
      <c r="AT33">
        <v>0.2253</v>
      </c>
      <c r="AU33" t="s">
        <v>560</v>
      </c>
      <c r="AV33">
        <v>0</v>
      </c>
      <c r="AW33">
        <v>9900</v>
      </c>
    </row>
    <row r="34" spans="1:49">
      <c r="A34">
        <v>61</v>
      </c>
      <c r="B34" t="s">
        <v>562</v>
      </c>
      <c r="C34" s="59">
        <v>45448</v>
      </c>
      <c r="D34" t="s">
        <v>1348</v>
      </c>
      <c r="E34" t="s">
        <v>561</v>
      </c>
      <c r="F34" t="s">
        <v>1349</v>
      </c>
      <c r="G34" t="s">
        <v>1350</v>
      </c>
      <c r="H34" t="s">
        <v>1351</v>
      </c>
      <c r="I34" s="59">
        <v>45448</v>
      </c>
      <c r="J34" t="s">
        <v>563</v>
      </c>
      <c r="K34" t="s">
        <v>1346</v>
      </c>
      <c r="L34" s="59"/>
      <c r="M34" t="s">
        <v>38</v>
      </c>
      <c r="N34" t="s">
        <v>353</v>
      </c>
      <c r="O34">
        <v>2</v>
      </c>
      <c r="P34" t="s">
        <v>1344</v>
      </c>
      <c r="Q34" t="s">
        <v>1351</v>
      </c>
      <c r="R34" t="s">
        <v>1352</v>
      </c>
      <c r="S34" t="s">
        <v>1353</v>
      </c>
      <c r="T34" t="s">
        <v>1354</v>
      </c>
      <c r="W34">
        <v>42120</v>
      </c>
      <c r="X34">
        <v>4680</v>
      </c>
      <c r="Y34">
        <v>0</v>
      </c>
      <c r="Z34">
        <v>4400</v>
      </c>
      <c r="AA34">
        <v>0</v>
      </c>
      <c r="AB34">
        <v>0</v>
      </c>
      <c r="AD34" t="s">
        <v>37</v>
      </c>
      <c r="AF34">
        <v>22100</v>
      </c>
      <c r="AG34">
        <v>14300</v>
      </c>
      <c r="AH34">
        <v>42120</v>
      </c>
      <c r="AI34">
        <v>33000</v>
      </c>
      <c r="AJ34">
        <v>1756</v>
      </c>
      <c r="AK34">
        <v>7364</v>
      </c>
      <c r="AL34">
        <v>0.17480000000000001</v>
      </c>
      <c r="AN34" t="s">
        <v>834</v>
      </c>
      <c r="AP34">
        <v>42120</v>
      </c>
      <c r="AQ34">
        <v>33000</v>
      </c>
      <c r="AR34">
        <v>1756</v>
      </c>
      <c r="AS34">
        <v>7364</v>
      </c>
      <c r="AT34">
        <v>0.17480000000000001</v>
      </c>
      <c r="AU34" t="s">
        <v>560</v>
      </c>
      <c r="AV34">
        <v>0</v>
      </c>
      <c r="AW34">
        <v>28600</v>
      </c>
    </row>
    <row r="35" spans="1:49">
      <c r="A35">
        <v>62</v>
      </c>
      <c r="B35" t="s">
        <v>562</v>
      </c>
      <c r="C35" s="59">
        <v>45447</v>
      </c>
      <c r="D35" t="s">
        <v>1361</v>
      </c>
      <c r="E35" t="s">
        <v>561</v>
      </c>
      <c r="F35" t="s">
        <v>1356</v>
      </c>
      <c r="G35" t="s">
        <v>1362</v>
      </c>
      <c r="H35" t="s">
        <v>1363</v>
      </c>
      <c r="I35" s="59">
        <v>45448</v>
      </c>
      <c r="J35" t="s">
        <v>563</v>
      </c>
      <c r="K35" t="s">
        <v>1359</v>
      </c>
      <c r="L35" s="59"/>
      <c r="M35" t="s">
        <v>206</v>
      </c>
      <c r="N35" t="s">
        <v>354</v>
      </c>
      <c r="O35">
        <v>4</v>
      </c>
      <c r="P35" t="s">
        <v>1356</v>
      </c>
      <c r="Q35" t="s">
        <v>1363</v>
      </c>
      <c r="S35" t="s">
        <v>1364</v>
      </c>
      <c r="W35">
        <v>15480</v>
      </c>
      <c r="X35">
        <v>0</v>
      </c>
      <c r="Y35">
        <v>3000</v>
      </c>
      <c r="Z35">
        <v>3000</v>
      </c>
      <c r="AA35">
        <v>0</v>
      </c>
      <c r="AB35">
        <v>0</v>
      </c>
      <c r="AD35" t="s">
        <v>1978</v>
      </c>
      <c r="AF35">
        <v>3700</v>
      </c>
      <c r="AG35">
        <v>2365</v>
      </c>
      <c r="AH35">
        <v>18480</v>
      </c>
      <c r="AI35">
        <v>12460</v>
      </c>
      <c r="AJ35">
        <v>755</v>
      </c>
      <c r="AK35">
        <v>5265</v>
      </c>
      <c r="AL35">
        <v>0.28489999999999999</v>
      </c>
      <c r="AN35" t="s">
        <v>834</v>
      </c>
      <c r="AP35">
        <v>18480</v>
      </c>
      <c r="AQ35">
        <v>12460</v>
      </c>
      <c r="AR35">
        <v>755</v>
      </c>
      <c r="AS35">
        <v>5265</v>
      </c>
      <c r="AT35">
        <v>0.28489999999999999</v>
      </c>
      <c r="AU35" t="s">
        <v>560</v>
      </c>
      <c r="AV35">
        <v>0</v>
      </c>
      <c r="AW35">
        <v>9460</v>
      </c>
    </row>
    <row r="36" spans="1:49">
      <c r="A36">
        <v>63</v>
      </c>
      <c r="B36" t="s">
        <v>562</v>
      </c>
      <c r="C36" s="59">
        <v>45447</v>
      </c>
      <c r="D36" t="s">
        <v>1371</v>
      </c>
      <c r="E36" t="s">
        <v>561</v>
      </c>
      <c r="F36" t="s">
        <v>1367</v>
      </c>
      <c r="G36" t="s">
        <v>1372</v>
      </c>
      <c r="H36" t="s">
        <v>1373</v>
      </c>
      <c r="I36" s="59">
        <v>45448</v>
      </c>
      <c r="J36" t="s">
        <v>563</v>
      </c>
      <c r="K36" t="s">
        <v>1369</v>
      </c>
      <c r="L36" s="59"/>
      <c r="M36" t="s">
        <v>26</v>
      </c>
      <c r="N36" t="s">
        <v>353</v>
      </c>
      <c r="O36">
        <v>1</v>
      </c>
      <c r="P36" t="s">
        <v>1367</v>
      </c>
      <c r="Q36" t="s">
        <v>1373</v>
      </c>
      <c r="S36" t="s">
        <v>1374</v>
      </c>
      <c r="W36">
        <v>22190</v>
      </c>
      <c r="X36">
        <v>2470</v>
      </c>
      <c r="Y36">
        <v>3000</v>
      </c>
      <c r="Z36">
        <v>3000</v>
      </c>
      <c r="AA36">
        <v>0</v>
      </c>
      <c r="AB36">
        <v>0</v>
      </c>
      <c r="AD36" t="s">
        <v>25</v>
      </c>
      <c r="AF36">
        <v>23290</v>
      </c>
      <c r="AG36">
        <v>15070</v>
      </c>
      <c r="AH36">
        <v>25190</v>
      </c>
      <c r="AI36">
        <v>18070</v>
      </c>
      <c r="AJ36">
        <v>1022</v>
      </c>
      <c r="AK36">
        <v>6098</v>
      </c>
      <c r="AL36">
        <v>0.24210000000000001</v>
      </c>
      <c r="AN36" t="s">
        <v>834</v>
      </c>
      <c r="AP36">
        <v>25190</v>
      </c>
      <c r="AQ36">
        <v>18070</v>
      </c>
      <c r="AR36">
        <v>1022</v>
      </c>
      <c r="AS36">
        <v>6098</v>
      </c>
      <c r="AT36">
        <v>0.24210000000000001</v>
      </c>
      <c r="AU36" t="s">
        <v>560</v>
      </c>
      <c r="AV36">
        <v>0</v>
      </c>
      <c r="AW36">
        <v>15070</v>
      </c>
    </row>
    <row r="37" spans="1:49">
      <c r="A37">
        <v>67</v>
      </c>
      <c r="B37" t="s">
        <v>562</v>
      </c>
      <c r="C37" s="59">
        <v>45447</v>
      </c>
      <c r="D37" t="s">
        <v>1405</v>
      </c>
      <c r="E37" t="s">
        <v>568</v>
      </c>
      <c r="F37" t="s">
        <v>1403</v>
      </c>
      <c r="G37" t="s">
        <v>1406</v>
      </c>
      <c r="H37" t="s">
        <v>1407</v>
      </c>
      <c r="I37" s="59">
        <v>45448</v>
      </c>
      <c r="J37" t="s">
        <v>563</v>
      </c>
      <c r="K37" t="s">
        <v>1404</v>
      </c>
      <c r="L37" s="59"/>
      <c r="M37" t="s">
        <v>129</v>
      </c>
      <c r="N37" t="s">
        <v>353</v>
      </c>
      <c r="O37">
        <v>10</v>
      </c>
      <c r="P37" t="s">
        <v>1403</v>
      </c>
      <c r="Q37" t="s">
        <v>1407</v>
      </c>
      <c r="S37" t="s">
        <v>1408</v>
      </c>
      <c r="T37" t="s">
        <v>571</v>
      </c>
      <c r="W37">
        <v>11500</v>
      </c>
      <c r="X37">
        <v>0</v>
      </c>
      <c r="Y37">
        <v>3000</v>
      </c>
      <c r="Z37">
        <v>3000</v>
      </c>
      <c r="AA37">
        <v>0</v>
      </c>
      <c r="AB37">
        <v>0</v>
      </c>
      <c r="AD37" t="s">
        <v>128</v>
      </c>
      <c r="AF37">
        <v>1070</v>
      </c>
      <c r="AG37">
        <v>660</v>
      </c>
      <c r="AH37">
        <v>14500</v>
      </c>
      <c r="AI37">
        <v>9600</v>
      </c>
      <c r="AJ37">
        <v>1465</v>
      </c>
      <c r="AK37">
        <v>3435</v>
      </c>
      <c r="AL37">
        <v>0.2369</v>
      </c>
      <c r="AN37" t="s">
        <v>834</v>
      </c>
      <c r="AP37">
        <v>14500</v>
      </c>
      <c r="AQ37">
        <v>9600</v>
      </c>
      <c r="AR37">
        <v>1465</v>
      </c>
      <c r="AS37">
        <v>3435</v>
      </c>
      <c r="AT37">
        <v>0.2369</v>
      </c>
      <c r="AU37" t="s">
        <v>560</v>
      </c>
      <c r="AV37">
        <v>0</v>
      </c>
      <c r="AW37">
        <v>6600</v>
      </c>
    </row>
    <row r="38" spans="1:49">
      <c r="A38">
        <v>68</v>
      </c>
      <c r="B38" t="s">
        <v>562</v>
      </c>
      <c r="C38" s="59">
        <v>45447</v>
      </c>
      <c r="D38" t="s">
        <v>1412</v>
      </c>
      <c r="E38" t="s">
        <v>568</v>
      </c>
      <c r="F38" t="s">
        <v>1413</v>
      </c>
      <c r="G38" t="s">
        <v>1414</v>
      </c>
      <c r="H38" t="s">
        <v>1415</v>
      </c>
      <c r="I38" s="59">
        <v>45448</v>
      </c>
      <c r="J38" t="s">
        <v>563</v>
      </c>
      <c r="K38" t="s">
        <v>1411</v>
      </c>
      <c r="L38" s="59"/>
      <c r="M38" t="s">
        <v>18</v>
      </c>
      <c r="N38" t="s">
        <v>353</v>
      </c>
      <c r="O38">
        <v>1</v>
      </c>
      <c r="P38" t="s">
        <v>1410</v>
      </c>
      <c r="Q38" t="s">
        <v>1415</v>
      </c>
      <c r="S38" t="s">
        <v>1416</v>
      </c>
      <c r="T38" t="s">
        <v>571</v>
      </c>
      <c r="W38">
        <v>12470</v>
      </c>
      <c r="X38">
        <v>0</v>
      </c>
      <c r="Y38">
        <v>3000</v>
      </c>
      <c r="Z38">
        <v>3000</v>
      </c>
      <c r="AA38">
        <v>0</v>
      </c>
      <c r="AB38">
        <v>0</v>
      </c>
      <c r="AD38" t="s">
        <v>17</v>
      </c>
      <c r="AF38">
        <v>11780</v>
      </c>
      <c r="AG38">
        <v>7260</v>
      </c>
      <c r="AH38">
        <v>15470</v>
      </c>
      <c r="AI38">
        <v>10260</v>
      </c>
      <c r="AJ38">
        <v>1580</v>
      </c>
      <c r="AK38">
        <v>3630</v>
      </c>
      <c r="AL38">
        <v>0.2346</v>
      </c>
      <c r="AN38" t="s">
        <v>834</v>
      </c>
      <c r="AP38">
        <v>15470</v>
      </c>
      <c r="AQ38">
        <v>10260</v>
      </c>
      <c r="AR38">
        <v>1580</v>
      </c>
      <c r="AS38">
        <v>3630</v>
      </c>
      <c r="AT38">
        <v>0.2346</v>
      </c>
      <c r="AU38" t="s">
        <v>560</v>
      </c>
      <c r="AV38">
        <v>0</v>
      </c>
      <c r="AW38">
        <v>7260</v>
      </c>
    </row>
    <row r="39" spans="1:49">
      <c r="A39">
        <v>77</v>
      </c>
      <c r="B39" t="s">
        <v>562</v>
      </c>
      <c r="C39" s="59">
        <v>45450</v>
      </c>
      <c r="D39" t="s">
        <v>1459</v>
      </c>
      <c r="E39" t="s">
        <v>561</v>
      </c>
      <c r="F39" t="s">
        <v>1460</v>
      </c>
      <c r="G39" t="s">
        <v>1461</v>
      </c>
      <c r="H39" t="s">
        <v>1462</v>
      </c>
      <c r="I39" s="59">
        <v>45450</v>
      </c>
      <c r="J39" t="s">
        <v>563</v>
      </c>
      <c r="K39" t="s">
        <v>1457</v>
      </c>
      <c r="L39" s="59"/>
      <c r="M39" t="s">
        <v>208</v>
      </c>
      <c r="N39" t="s">
        <v>375</v>
      </c>
      <c r="O39">
        <v>5</v>
      </c>
      <c r="P39" t="s">
        <v>1455</v>
      </c>
      <c r="Q39" t="s">
        <v>1463</v>
      </c>
      <c r="S39" t="s">
        <v>1464</v>
      </c>
      <c r="W39">
        <v>18900</v>
      </c>
      <c r="X39">
        <v>0</v>
      </c>
      <c r="Y39">
        <v>3000</v>
      </c>
      <c r="Z39">
        <v>3000</v>
      </c>
      <c r="AA39">
        <v>0</v>
      </c>
      <c r="AB39">
        <v>0</v>
      </c>
      <c r="AD39" t="s">
        <v>402</v>
      </c>
      <c r="AF39">
        <v>3620</v>
      </c>
      <c r="AG39">
        <v>2310</v>
      </c>
      <c r="AH39">
        <v>21900</v>
      </c>
      <c r="AI39">
        <v>14550</v>
      </c>
      <c r="AJ39">
        <v>891</v>
      </c>
      <c r="AK39">
        <v>6459</v>
      </c>
      <c r="AL39">
        <v>0.2949</v>
      </c>
      <c r="AN39" t="s">
        <v>834</v>
      </c>
      <c r="AP39">
        <v>21900</v>
      </c>
      <c r="AQ39">
        <v>14550</v>
      </c>
      <c r="AR39">
        <v>891</v>
      </c>
      <c r="AS39">
        <v>6459</v>
      </c>
      <c r="AT39">
        <v>0.2949</v>
      </c>
      <c r="AU39" t="s">
        <v>560</v>
      </c>
      <c r="AV39">
        <v>0</v>
      </c>
      <c r="AW39">
        <v>11550</v>
      </c>
    </row>
    <row r="40" spans="1:49">
      <c r="A40">
        <v>78</v>
      </c>
      <c r="B40" t="s">
        <v>562</v>
      </c>
      <c r="C40" s="59">
        <v>45450</v>
      </c>
      <c r="D40" t="s">
        <v>1470</v>
      </c>
      <c r="E40" t="s">
        <v>561</v>
      </c>
      <c r="F40" t="s">
        <v>1467</v>
      </c>
      <c r="G40" t="s">
        <v>1471</v>
      </c>
      <c r="H40" t="s">
        <v>1472</v>
      </c>
      <c r="I40" s="59">
        <v>45450</v>
      </c>
      <c r="J40" t="s">
        <v>563</v>
      </c>
      <c r="K40" t="s">
        <v>1468</v>
      </c>
      <c r="L40" s="59"/>
      <c r="M40" t="s">
        <v>34</v>
      </c>
      <c r="N40" t="s">
        <v>353</v>
      </c>
      <c r="O40">
        <v>1</v>
      </c>
      <c r="P40" t="s">
        <v>1467</v>
      </c>
      <c r="Q40" t="s">
        <v>1472</v>
      </c>
      <c r="S40" t="s">
        <v>1473</v>
      </c>
      <c r="W40">
        <v>28620</v>
      </c>
      <c r="X40">
        <v>3180</v>
      </c>
      <c r="Y40">
        <v>3000</v>
      </c>
      <c r="Z40">
        <v>3500</v>
      </c>
      <c r="AA40">
        <v>0</v>
      </c>
      <c r="AB40">
        <v>0</v>
      </c>
      <c r="AD40" t="s">
        <v>33</v>
      </c>
      <c r="AF40">
        <v>30600</v>
      </c>
      <c r="AG40">
        <v>19800</v>
      </c>
      <c r="AH40">
        <v>31620</v>
      </c>
      <c r="AI40">
        <v>23300</v>
      </c>
      <c r="AJ40">
        <v>1278</v>
      </c>
      <c r="AK40">
        <v>7042</v>
      </c>
      <c r="AL40">
        <v>0.22270000000000001</v>
      </c>
      <c r="AN40" t="s">
        <v>834</v>
      </c>
      <c r="AP40">
        <v>31620</v>
      </c>
      <c r="AQ40">
        <v>23300</v>
      </c>
      <c r="AR40">
        <v>1278</v>
      </c>
      <c r="AS40">
        <v>7042</v>
      </c>
      <c r="AT40">
        <v>0.22270000000000001</v>
      </c>
      <c r="AU40" t="s">
        <v>560</v>
      </c>
      <c r="AV40">
        <v>0</v>
      </c>
      <c r="AW40">
        <v>19800</v>
      </c>
    </row>
    <row r="41" spans="1:49">
      <c r="A41">
        <v>79</v>
      </c>
      <c r="B41" t="s">
        <v>562</v>
      </c>
      <c r="C41" s="59">
        <v>45449</v>
      </c>
      <c r="D41" t="s">
        <v>1480</v>
      </c>
      <c r="E41" t="s">
        <v>561</v>
      </c>
      <c r="F41" t="s">
        <v>1475</v>
      </c>
      <c r="G41" t="s">
        <v>1481</v>
      </c>
      <c r="H41" t="s">
        <v>1482</v>
      </c>
      <c r="I41" s="59">
        <v>45450</v>
      </c>
      <c r="J41" t="s">
        <v>563</v>
      </c>
      <c r="K41" t="s">
        <v>1478</v>
      </c>
      <c r="L41" s="59"/>
      <c r="M41" t="s">
        <v>224</v>
      </c>
      <c r="N41" t="s">
        <v>368</v>
      </c>
      <c r="O41">
        <v>4</v>
      </c>
      <c r="P41" t="s">
        <v>1475</v>
      </c>
      <c r="Q41" t="s">
        <v>1482</v>
      </c>
      <c r="S41" t="s">
        <v>1483</v>
      </c>
      <c r="W41">
        <v>8480</v>
      </c>
      <c r="X41">
        <v>0</v>
      </c>
      <c r="Y41">
        <v>3000</v>
      </c>
      <c r="Z41">
        <v>3000</v>
      </c>
      <c r="AA41">
        <v>0</v>
      </c>
      <c r="AB41">
        <v>0</v>
      </c>
      <c r="AD41" t="s">
        <v>1974</v>
      </c>
      <c r="AF41">
        <v>2030</v>
      </c>
      <c r="AG41">
        <v>1293</v>
      </c>
      <c r="AH41">
        <v>11480</v>
      </c>
      <c r="AI41">
        <v>8172</v>
      </c>
      <c r="AJ41">
        <v>477</v>
      </c>
      <c r="AK41">
        <v>2831</v>
      </c>
      <c r="AL41">
        <v>0.24660000000000001</v>
      </c>
      <c r="AN41" t="s">
        <v>834</v>
      </c>
      <c r="AP41">
        <v>11480</v>
      </c>
      <c r="AQ41">
        <v>8172</v>
      </c>
      <c r="AR41">
        <v>477</v>
      </c>
      <c r="AS41">
        <v>2831</v>
      </c>
      <c r="AT41">
        <v>0.24660000000000001</v>
      </c>
      <c r="AU41" t="s">
        <v>560</v>
      </c>
      <c r="AV41">
        <v>0</v>
      </c>
      <c r="AW41">
        <v>5172</v>
      </c>
    </row>
    <row r="42" spans="1:49">
      <c r="A42">
        <v>80</v>
      </c>
      <c r="B42" t="s">
        <v>562</v>
      </c>
      <c r="C42" s="59">
        <v>45448</v>
      </c>
      <c r="D42" t="s">
        <v>1489</v>
      </c>
      <c r="E42" t="s">
        <v>561</v>
      </c>
      <c r="F42" t="s">
        <v>1486</v>
      </c>
      <c r="G42" t="s">
        <v>1490</v>
      </c>
      <c r="H42" t="s">
        <v>1491</v>
      </c>
      <c r="I42" s="59">
        <v>45450</v>
      </c>
      <c r="J42" t="s">
        <v>563</v>
      </c>
      <c r="K42" t="s">
        <v>1487</v>
      </c>
      <c r="L42" s="59"/>
      <c r="M42" t="s">
        <v>118</v>
      </c>
      <c r="N42" t="s">
        <v>353</v>
      </c>
      <c r="O42">
        <v>1</v>
      </c>
      <c r="P42" t="s">
        <v>1486</v>
      </c>
      <c r="Q42" t="s">
        <v>1492</v>
      </c>
      <c r="S42" t="s">
        <v>1493</v>
      </c>
      <c r="W42">
        <v>2780</v>
      </c>
      <c r="X42">
        <v>0</v>
      </c>
      <c r="Y42">
        <v>3000</v>
      </c>
      <c r="Z42">
        <v>3000</v>
      </c>
      <c r="AA42">
        <v>0</v>
      </c>
      <c r="AB42">
        <v>0</v>
      </c>
      <c r="AD42" t="s">
        <v>117</v>
      </c>
      <c r="AF42">
        <v>2550</v>
      </c>
      <c r="AG42">
        <v>1650</v>
      </c>
      <c r="AH42">
        <v>5780</v>
      </c>
      <c r="AI42">
        <v>4650</v>
      </c>
      <c r="AJ42">
        <v>250</v>
      </c>
      <c r="AK42">
        <v>-2120</v>
      </c>
      <c r="AL42">
        <v>-0.36680000000000001</v>
      </c>
      <c r="AN42" t="s">
        <v>834</v>
      </c>
      <c r="AP42">
        <v>5780</v>
      </c>
      <c r="AQ42">
        <v>4650</v>
      </c>
      <c r="AR42">
        <v>250</v>
      </c>
      <c r="AS42">
        <v>880</v>
      </c>
      <c r="AT42">
        <v>0.1522</v>
      </c>
      <c r="AU42" t="s">
        <v>875</v>
      </c>
      <c r="AV42">
        <v>0</v>
      </c>
      <c r="AW42">
        <v>1650</v>
      </c>
    </row>
    <row r="43" spans="1:49">
      <c r="A43">
        <v>81</v>
      </c>
      <c r="B43" t="s">
        <v>562</v>
      </c>
      <c r="C43" s="59">
        <v>45448</v>
      </c>
      <c r="D43" t="s">
        <v>1496</v>
      </c>
      <c r="E43" t="s">
        <v>561</v>
      </c>
      <c r="F43" t="s">
        <v>1486</v>
      </c>
      <c r="G43" t="s">
        <v>1490</v>
      </c>
      <c r="H43" t="s">
        <v>1491</v>
      </c>
      <c r="I43" s="59">
        <v>45450</v>
      </c>
      <c r="J43" t="s">
        <v>563</v>
      </c>
      <c r="K43" t="s">
        <v>1487</v>
      </c>
      <c r="L43" s="59"/>
      <c r="M43" t="s">
        <v>112</v>
      </c>
      <c r="N43" t="s">
        <v>353</v>
      </c>
      <c r="O43">
        <v>1</v>
      </c>
      <c r="P43" t="s">
        <v>1486</v>
      </c>
      <c r="Q43" t="s">
        <v>1492</v>
      </c>
      <c r="S43" t="s">
        <v>1493</v>
      </c>
      <c r="W43">
        <v>3330</v>
      </c>
      <c r="X43">
        <v>0</v>
      </c>
      <c r="Y43">
        <v>0</v>
      </c>
      <c r="Z43">
        <v>0</v>
      </c>
      <c r="AA43">
        <v>0</v>
      </c>
      <c r="AB43">
        <v>0</v>
      </c>
      <c r="AD43" t="s">
        <v>111</v>
      </c>
      <c r="AE43" t="s">
        <v>822</v>
      </c>
      <c r="AF43">
        <v>3340</v>
      </c>
      <c r="AG43">
        <v>2156</v>
      </c>
      <c r="AH43">
        <v>3330</v>
      </c>
      <c r="AI43">
        <v>2156</v>
      </c>
      <c r="AJ43">
        <v>213</v>
      </c>
      <c r="AK43">
        <v>961</v>
      </c>
      <c r="AL43">
        <v>0.28860000000000002</v>
      </c>
      <c r="AN43" t="s">
        <v>834</v>
      </c>
      <c r="AP43">
        <v>3330</v>
      </c>
      <c r="AQ43">
        <v>2156</v>
      </c>
      <c r="AR43">
        <v>213</v>
      </c>
      <c r="AS43">
        <v>961</v>
      </c>
      <c r="AT43">
        <v>0.28860000000000002</v>
      </c>
      <c r="AU43" t="s">
        <v>560</v>
      </c>
      <c r="AV43">
        <v>0</v>
      </c>
      <c r="AW43">
        <v>2156</v>
      </c>
    </row>
    <row r="44" spans="1:49">
      <c r="A44">
        <v>82</v>
      </c>
      <c r="B44" t="s">
        <v>562</v>
      </c>
      <c r="C44" s="59">
        <v>45448</v>
      </c>
      <c r="D44" t="s">
        <v>1499</v>
      </c>
      <c r="E44" t="s">
        <v>561</v>
      </c>
      <c r="F44" t="s">
        <v>1486</v>
      </c>
      <c r="G44" t="s">
        <v>1490</v>
      </c>
      <c r="H44" t="s">
        <v>1491</v>
      </c>
      <c r="I44" s="59">
        <v>45450</v>
      </c>
      <c r="J44" t="s">
        <v>563</v>
      </c>
      <c r="K44" t="s">
        <v>1487</v>
      </c>
      <c r="L44" s="59"/>
      <c r="M44" t="s">
        <v>110</v>
      </c>
      <c r="N44" t="s">
        <v>353</v>
      </c>
      <c r="O44">
        <v>1</v>
      </c>
      <c r="P44" t="s">
        <v>1486</v>
      </c>
      <c r="Q44" t="s">
        <v>1492</v>
      </c>
      <c r="S44" t="s">
        <v>1493</v>
      </c>
      <c r="W44">
        <v>1640</v>
      </c>
      <c r="X44">
        <v>0</v>
      </c>
      <c r="Y44">
        <v>0</v>
      </c>
      <c r="Z44">
        <v>0</v>
      </c>
      <c r="AA44">
        <v>0</v>
      </c>
      <c r="AB44">
        <v>0</v>
      </c>
      <c r="AD44" t="s">
        <v>1975</v>
      </c>
      <c r="AE44" t="s">
        <v>822</v>
      </c>
      <c r="AF44">
        <v>1110</v>
      </c>
      <c r="AG44">
        <v>715</v>
      </c>
      <c r="AH44">
        <v>1640</v>
      </c>
      <c r="AI44">
        <v>715</v>
      </c>
      <c r="AJ44">
        <v>145</v>
      </c>
      <c r="AK44">
        <v>780</v>
      </c>
      <c r="AL44">
        <v>0.47560000000000002</v>
      </c>
      <c r="AN44" t="s">
        <v>834</v>
      </c>
      <c r="AP44">
        <v>1640</v>
      </c>
      <c r="AQ44">
        <v>715</v>
      </c>
      <c r="AR44">
        <v>145</v>
      </c>
      <c r="AS44">
        <v>780</v>
      </c>
      <c r="AT44">
        <v>0.47560000000000002</v>
      </c>
      <c r="AU44" t="s">
        <v>560</v>
      </c>
      <c r="AV44">
        <v>0</v>
      </c>
      <c r="AW44">
        <v>715</v>
      </c>
    </row>
    <row r="45" spans="1:49">
      <c r="A45">
        <v>83</v>
      </c>
      <c r="B45" t="s">
        <v>562</v>
      </c>
      <c r="C45" s="59">
        <v>45448</v>
      </c>
      <c r="D45" t="s">
        <v>1502</v>
      </c>
      <c r="E45" t="s">
        <v>561</v>
      </c>
      <c r="F45" t="s">
        <v>1486</v>
      </c>
      <c r="G45" t="s">
        <v>1490</v>
      </c>
      <c r="H45" t="s">
        <v>1491</v>
      </c>
      <c r="I45" s="59">
        <v>45450</v>
      </c>
      <c r="J45" t="s">
        <v>563</v>
      </c>
      <c r="K45" t="s">
        <v>1487</v>
      </c>
      <c r="L45" s="59"/>
      <c r="M45" t="s">
        <v>125</v>
      </c>
      <c r="N45" t="s">
        <v>353</v>
      </c>
      <c r="O45">
        <v>1</v>
      </c>
      <c r="P45" t="s">
        <v>1486</v>
      </c>
      <c r="Q45" t="s">
        <v>1492</v>
      </c>
      <c r="S45" t="s">
        <v>1493</v>
      </c>
      <c r="W45">
        <v>1800</v>
      </c>
      <c r="X45">
        <v>0</v>
      </c>
      <c r="Y45">
        <v>0</v>
      </c>
      <c r="Z45">
        <v>0</v>
      </c>
      <c r="AA45">
        <v>0</v>
      </c>
      <c r="AB45">
        <v>0</v>
      </c>
      <c r="AD45" t="s">
        <v>124</v>
      </c>
      <c r="AE45" t="s">
        <v>822</v>
      </c>
      <c r="AF45">
        <v>1700</v>
      </c>
      <c r="AG45">
        <v>1100</v>
      </c>
      <c r="AH45">
        <v>1800</v>
      </c>
      <c r="AI45">
        <v>1100</v>
      </c>
      <c r="AJ45">
        <v>152</v>
      </c>
      <c r="AK45">
        <v>3548</v>
      </c>
      <c r="AL45">
        <v>1.9711000000000001</v>
      </c>
      <c r="AN45" t="s">
        <v>834</v>
      </c>
      <c r="AP45">
        <v>1800</v>
      </c>
      <c r="AQ45">
        <v>1100</v>
      </c>
      <c r="AR45">
        <v>152</v>
      </c>
      <c r="AS45">
        <v>548</v>
      </c>
      <c r="AT45">
        <v>0.3044</v>
      </c>
      <c r="AU45" t="s">
        <v>875</v>
      </c>
      <c r="AV45">
        <v>0</v>
      </c>
      <c r="AW45">
        <v>1100</v>
      </c>
    </row>
    <row r="46" spans="1:49">
      <c r="A46">
        <v>86</v>
      </c>
      <c r="B46" t="s">
        <v>562</v>
      </c>
      <c r="C46" s="59">
        <v>45448</v>
      </c>
      <c r="D46" t="s">
        <v>1520</v>
      </c>
      <c r="E46" t="s">
        <v>568</v>
      </c>
      <c r="F46" t="s">
        <v>1521</v>
      </c>
      <c r="G46" t="s">
        <v>1522</v>
      </c>
      <c r="H46" t="s">
        <v>1523</v>
      </c>
      <c r="I46" s="59">
        <v>45450</v>
      </c>
      <c r="J46" t="s">
        <v>563</v>
      </c>
      <c r="K46" t="s">
        <v>1519</v>
      </c>
      <c r="L46" s="59"/>
      <c r="M46" t="s">
        <v>34</v>
      </c>
      <c r="N46" t="s">
        <v>353</v>
      </c>
      <c r="O46">
        <v>1</v>
      </c>
      <c r="P46" t="s">
        <v>1518</v>
      </c>
      <c r="Q46" t="s">
        <v>1523</v>
      </c>
      <c r="S46" t="s">
        <v>1524</v>
      </c>
      <c r="T46" t="s">
        <v>1525</v>
      </c>
      <c r="W46">
        <v>34020</v>
      </c>
      <c r="X46">
        <v>0</v>
      </c>
      <c r="Y46">
        <v>3000</v>
      </c>
      <c r="Z46">
        <v>3500</v>
      </c>
      <c r="AA46">
        <v>0</v>
      </c>
      <c r="AB46">
        <v>0</v>
      </c>
      <c r="AD46" t="s">
        <v>33</v>
      </c>
      <c r="AF46">
        <v>32130</v>
      </c>
      <c r="AG46">
        <v>19800</v>
      </c>
      <c r="AH46">
        <v>37020</v>
      </c>
      <c r="AI46">
        <v>23300</v>
      </c>
      <c r="AJ46">
        <v>4141</v>
      </c>
      <c r="AK46">
        <v>9579</v>
      </c>
      <c r="AL46">
        <v>0.25879999999999997</v>
      </c>
      <c r="AN46" t="s">
        <v>834</v>
      </c>
      <c r="AP46">
        <v>37020</v>
      </c>
      <c r="AQ46">
        <v>23300</v>
      </c>
      <c r="AR46">
        <v>4141</v>
      </c>
      <c r="AS46">
        <v>9579</v>
      </c>
      <c r="AT46">
        <v>0.25879999999999997</v>
      </c>
      <c r="AU46" t="s">
        <v>560</v>
      </c>
      <c r="AV46">
        <v>0</v>
      </c>
      <c r="AW46">
        <v>19800</v>
      </c>
    </row>
    <row r="47" spans="1:49">
      <c r="A47">
        <v>87</v>
      </c>
      <c r="B47" t="s">
        <v>562</v>
      </c>
      <c r="C47" s="59">
        <v>45448</v>
      </c>
      <c r="D47" t="s">
        <v>1530</v>
      </c>
      <c r="E47" t="s">
        <v>568</v>
      </c>
      <c r="F47" t="s">
        <v>1527</v>
      </c>
      <c r="G47" t="s">
        <v>1531</v>
      </c>
      <c r="H47" t="s">
        <v>1532</v>
      </c>
      <c r="I47" s="59">
        <v>45450</v>
      </c>
      <c r="J47" t="s">
        <v>563</v>
      </c>
      <c r="K47" t="s">
        <v>1529</v>
      </c>
      <c r="L47" s="59"/>
      <c r="M47" t="s">
        <v>22</v>
      </c>
      <c r="N47" t="s">
        <v>353</v>
      </c>
      <c r="O47">
        <v>2</v>
      </c>
      <c r="P47" t="s">
        <v>1527</v>
      </c>
      <c r="Q47" t="s">
        <v>1532</v>
      </c>
      <c r="S47" t="s">
        <v>1533</v>
      </c>
      <c r="T47" t="s">
        <v>571</v>
      </c>
      <c r="W47">
        <v>43480</v>
      </c>
      <c r="X47">
        <v>0</v>
      </c>
      <c r="Y47">
        <v>0</v>
      </c>
      <c r="Z47">
        <v>3500</v>
      </c>
      <c r="AA47">
        <v>0</v>
      </c>
      <c r="AB47">
        <v>0</v>
      </c>
      <c r="AD47" t="s">
        <v>21</v>
      </c>
      <c r="AF47">
        <v>20530</v>
      </c>
      <c r="AG47">
        <v>12650</v>
      </c>
      <c r="AH47">
        <v>43480</v>
      </c>
      <c r="AI47">
        <v>28800</v>
      </c>
      <c r="AJ47">
        <v>5165</v>
      </c>
      <c r="AK47">
        <v>9515</v>
      </c>
      <c r="AL47">
        <v>0.21879999999999999</v>
      </c>
      <c r="AN47" t="s">
        <v>834</v>
      </c>
      <c r="AP47">
        <v>43480</v>
      </c>
      <c r="AQ47">
        <v>28800</v>
      </c>
      <c r="AR47">
        <v>5165</v>
      </c>
      <c r="AS47">
        <v>9515</v>
      </c>
      <c r="AT47">
        <v>0.21879999999999999</v>
      </c>
      <c r="AU47" t="s">
        <v>560</v>
      </c>
      <c r="AV47">
        <v>0</v>
      </c>
      <c r="AW47">
        <v>25300</v>
      </c>
    </row>
    <row r="48" spans="1:49">
      <c r="A48">
        <v>90</v>
      </c>
      <c r="B48" t="s">
        <v>562</v>
      </c>
      <c r="C48" s="59">
        <v>45450</v>
      </c>
      <c r="D48" t="s">
        <v>1546</v>
      </c>
      <c r="E48" t="s">
        <v>568</v>
      </c>
      <c r="F48" t="s">
        <v>1542</v>
      </c>
      <c r="G48" t="s">
        <v>1547</v>
      </c>
      <c r="H48" t="s">
        <v>1548</v>
      </c>
      <c r="I48" s="59">
        <v>45453</v>
      </c>
      <c r="J48" t="s">
        <v>563</v>
      </c>
      <c r="K48" t="s">
        <v>1545</v>
      </c>
      <c r="L48" s="59"/>
      <c r="M48" t="s">
        <v>38</v>
      </c>
      <c r="N48" t="s">
        <v>353</v>
      </c>
      <c r="O48">
        <v>1</v>
      </c>
      <c r="P48" t="s">
        <v>1542</v>
      </c>
      <c r="Q48" t="s">
        <v>1548</v>
      </c>
      <c r="S48" t="s">
        <v>1549</v>
      </c>
      <c r="T48" t="s">
        <v>1550</v>
      </c>
      <c r="W48">
        <v>24570</v>
      </c>
      <c r="X48">
        <v>0</v>
      </c>
      <c r="Y48">
        <v>0</v>
      </c>
      <c r="Z48">
        <v>4400</v>
      </c>
      <c r="AA48">
        <v>0</v>
      </c>
      <c r="AB48">
        <v>0</v>
      </c>
      <c r="AD48" t="s">
        <v>37</v>
      </c>
      <c r="AF48">
        <v>23210</v>
      </c>
      <c r="AG48">
        <v>14300</v>
      </c>
      <c r="AH48">
        <v>24570</v>
      </c>
      <c r="AI48">
        <v>18700</v>
      </c>
      <c r="AJ48">
        <v>2919</v>
      </c>
      <c r="AK48">
        <v>2951</v>
      </c>
      <c r="AL48">
        <v>0.1201</v>
      </c>
      <c r="AN48" t="s">
        <v>834</v>
      </c>
      <c r="AP48">
        <v>24570</v>
      </c>
      <c r="AQ48">
        <v>18700</v>
      </c>
      <c r="AR48">
        <v>2919</v>
      </c>
      <c r="AS48">
        <v>2951</v>
      </c>
      <c r="AT48">
        <v>0.1201</v>
      </c>
      <c r="AU48" t="s">
        <v>560</v>
      </c>
      <c r="AV48">
        <v>0</v>
      </c>
      <c r="AW48">
        <v>14300</v>
      </c>
    </row>
    <row r="49" spans="1:49">
      <c r="A49">
        <v>91</v>
      </c>
      <c r="B49" t="s">
        <v>562</v>
      </c>
      <c r="C49" s="59">
        <v>45450</v>
      </c>
      <c r="D49" t="s">
        <v>1546</v>
      </c>
      <c r="E49" t="s">
        <v>568</v>
      </c>
      <c r="F49" t="s">
        <v>1542</v>
      </c>
      <c r="G49" t="s">
        <v>1547</v>
      </c>
      <c r="H49" t="s">
        <v>1548</v>
      </c>
      <c r="I49" s="59">
        <v>45453</v>
      </c>
      <c r="J49" t="s">
        <v>563</v>
      </c>
      <c r="K49" t="s">
        <v>1545</v>
      </c>
      <c r="L49" s="59"/>
      <c r="M49" t="s">
        <v>36</v>
      </c>
      <c r="N49" t="s">
        <v>353</v>
      </c>
      <c r="O49">
        <v>1</v>
      </c>
      <c r="P49" t="s">
        <v>1542</v>
      </c>
      <c r="Q49" t="s">
        <v>1548</v>
      </c>
      <c r="S49" t="s">
        <v>1549</v>
      </c>
      <c r="T49" t="s">
        <v>1550</v>
      </c>
      <c r="W49">
        <v>28350</v>
      </c>
      <c r="X49">
        <v>0</v>
      </c>
      <c r="Y49">
        <v>0</v>
      </c>
      <c r="Z49">
        <v>0</v>
      </c>
      <c r="AA49">
        <v>0</v>
      </c>
      <c r="AB49">
        <v>0</v>
      </c>
      <c r="AD49" t="s">
        <v>35</v>
      </c>
      <c r="AE49" t="s">
        <v>822</v>
      </c>
      <c r="AF49">
        <v>26780</v>
      </c>
      <c r="AG49">
        <v>16500</v>
      </c>
      <c r="AH49">
        <v>28350</v>
      </c>
      <c r="AI49">
        <v>16500</v>
      </c>
      <c r="AJ49">
        <v>3368</v>
      </c>
      <c r="AK49">
        <v>8482</v>
      </c>
      <c r="AL49">
        <v>0.29920000000000002</v>
      </c>
      <c r="AN49" t="s">
        <v>834</v>
      </c>
      <c r="AP49">
        <v>28350</v>
      </c>
      <c r="AQ49">
        <v>16500</v>
      </c>
      <c r="AR49">
        <v>3368</v>
      </c>
      <c r="AS49">
        <v>8482</v>
      </c>
      <c r="AT49">
        <v>0.29920000000000002</v>
      </c>
      <c r="AU49" t="s">
        <v>560</v>
      </c>
      <c r="AV49">
        <v>0</v>
      </c>
      <c r="AW49">
        <v>16500</v>
      </c>
    </row>
    <row r="50" spans="1:49">
      <c r="A50">
        <v>92</v>
      </c>
      <c r="B50" t="s">
        <v>562</v>
      </c>
      <c r="C50" s="59">
        <v>45450</v>
      </c>
      <c r="D50" t="s">
        <v>1556</v>
      </c>
      <c r="E50" t="s">
        <v>568</v>
      </c>
      <c r="F50" t="s">
        <v>1554</v>
      </c>
      <c r="G50" t="s">
        <v>1557</v>
      </c>
      <c r="H50" t="s">
        <v>1558</v>
      </c>
      <c r="I50" s="59">
        <v>45453</v>
      </c>
      <c r="J50" t="s">
        <v>563</v>
      </c>
      <c r="K50" t="s">
        <v>1555</v>
      </c>
      <c r="L50" s="59"/>
      <c r="M50" t="s">
        <v>34</v>
      </c>
      <c r="N50" t="s">
        <v>353</v>
      </c>
      <c r="O50">
        <v>1</v>
      </c>
      <c r="P50" t="s">
        <v>1554</v>
      </c>
      <c r="Q50" t="s">
        <v>1558</v>
      </c>
      <c r="S50" t="s">
        <v>1559</v>
      </c>
      <c r="T50" t="s">
        <v>569</v>
      </c>
      <c r="W50">
        <v>34020</v>
      </c>
      <c r="X50">
        <v>0</v>
      </c>
      <c r="Y50">
        <v>3000</v>
      </c>
      <c r="Z50">
        <v>3500</v>
      </c>
      <c r="AA50">
        <v>0</v>
      </c>
      <c r="AB50">
        <v>0</v>
      </c>
      <c r="AD50" t="s">
        <v>33</v>
      </c>
      <c r="AF50">
        <v>32130</v>
      </c>
      <c r="AG50">
        <v>19800</v>
      </c>
      <c r="AH50">
        <v>37020</v>
      </c>
      <c r="AI50">
        <v>23300</v>
      </c>
      <c r="AJ50">
        <v>4141</v>
      </c>
      <c r="AK50">
        <v>9579</v>
      </c>
      <c r="AL50">
        <v>0.25879999999999997</v>
      </c>
      <c r="AN50" t="s">
        <v>834</v>
      </c>
      <c r="AP50">
        <v>37020</v>
      </c>
      <c r="AQ50">
        <v>23300</v>
      </c>
      <c r="AR50">
        <v>4141</v>
      </c>
      <c r="AS50">
        <v>9579</v>
      </c>
      <c r="AT50">
        <v>0.25879999999999997</v>
      </c>
      <c r="AU50" t="s">
        <v>560</v>
      </c>
      <c r="AV50">
        <v>0</v>
      </c>
      <c r="AW50">
        <v>19800</v>
      </c>
    </row>
    <row r="51" spans="1:49">
      <c r="A51">
        <v>93</v>
      </c>
      <c r="B51" t="s">
        <v>562</v>
      </c>
      <c r="C51" s="59">
        <v>45450</v>
      </c>
      <c r="D51" t="s">
        <v>1563</v>
      </c>
      <c r="E51" t="s">
        <v>568</v>
      </c>
      <c r="F51" t="s">
        <v>1564</v>
      </c>
      <c r="G51" t="s">
        <v>1565</v>
      </c>
      <c r="H51" t="s">
        <v>1566</v>
      </c>
      <c r="I51" s="59">
        <v>45453</v>
      </c>
      <c r="J51" t="s">
        <v>563</v>
      </c>
      <c r="K51" t="s">
        <v>1562</v>
      </c>
      <c r="L51" s="59"/>
      <c r="M51" t="s">
        <v>18</v>
      </c>
      <c r="N51" t="s">
        <v>353</v>
      </c>
      <c r="O51">
        <v>1</v>
      </c>
      <c r="P51" t="s">
        <v>1561</v>
      </c>
      <c r="Q51" t="s">
        <v>1566</v>
      </c>
      <c r="S51" t="s">
        <v>1567</v>
      </c>
      <c r="T51" t="s">
        <v>571</v>
      </c>
      <c r="W51">
        <v>12470</v>
      </c>
      <c r="X51">
        <v>0</v>
      </c>
      <c r="Y51">
        <v>3000</v>
      </c>
      <c r="Z51">
        <v>3000</v>
      </c>
      <c r="AA51">
        <v>0</v>
      </c>
      <c r="AB51">
        <v>0</v>
      </c>
      <c r="AD51" t="s">
        <v>17</v>
      </c>
      <c r="AF51">
        <v>11780</v>
      </c>
      <c r="AG51">
        <v>7260</v>
      </c>
      <c r="AH51">
        <v>15470</v>
      </c>
      <c r="AI51">
        <v>10260</v>
      </c>
      <c r="AJ51">
        <v>1580</v>
      </c>
      <c r="AK51">
        <v>3630</v>
      </c>
      <c r="AL51">
        <v>0.2346</v>
      </c>
      <c r="AN51" t="s">
        <v>834</v>
      </c>
      <c r="AP51">
        <v>15470</v>
      </c>
      <c r="AQ51">
        <v>10260</v>
      </c>
      <c r="AR51">
        <v>1580</v>
      </c>
      <c r="AS51">
        <v>3630</v>
      </c>
      <c r="AT51">
        <v>0.2346</v>
      </c>
      <c r="AU51" t="s">
        <v>560</v>
      </c>
      <c r="AV51">
        <v>0</v>
      </c>
      <c r="AW51">
        <v>7260</v>
      </c>
    </row>
    <row r="52" spans="1:49">
      <c r="A52">
        <v>94</v>
      </c>
      <c r="B52" t="s">
        <v>562</v>
      </c>
      <c r="C52" s="59">
        <v>45451</v>
      </c>
      <c r="D52" t="s">
        <v>1571</v>
      </c>
      <c r="E52" t="s">
        <v>568</v>
      </c>
      <c r="F52" t="s">
        <v>1572</v>
      </c>
      <c r="G52" t="s">
        <v>1573</v>
      </c>
      <c r="H52" t="s">
        <v>1574</v>
      </c>
      <c r="I52" s="59">
        <v>45453</v>
      </c>
      <c r="J52" t="s">
        <v>563</v>
      </c>
      <c r="K52" t="s">
        <v>1570</v>
      </c>
      <c r="L52" s="59"/>
      <c r="M52" t="s">
        <v>129</v>
      </c>
      <c r="N52" t="s">
        <v>353</v>
      </c>
      <c r="O52">
        <v>1</v>
      </c>
      <c r="P52" t="s">
        <v>1569</v>
      </c>
      <c r="Q52" t="s">
        <v>1574</v>
      </c>
      <c r="S52" t="s">
        <v>1575</v>
      </c>
      <c r="T52" t="s">
        <v>571</v>
      </c>
      <c r="W52">
        <v>1150</v>
      </c>
      <c r="X52">
        <v>0</v>
      </c>
      <c r="Y52">
        <v>3000</v>
      </c>
      <c r="Z52">
        <v>3000</v>
      </c>
      <c r="AA52">
        <v>0</v>
      </c>
      <c r="AB52">
        <v>0</v>
      </c>
      <c r="AD52" t="s">
        <v>128</v>
      </c>
      <c r="AF52">
        <v>1070</v>
      </c>
      <c r="AG52">
        <v>660</v>
      </c>
      <c r="AH52">
        <v>4150</v>
      </c>
      <c r="AI52">
        <v>3660</v>
      </c>
      <c r="AJ52">
        <v>236</v>
      </c>
      <c r="AK52">
        <v>254</v>
      </c>
      <c r="AL52">
        <v>6.1199999999999997E-2</v>
      </c>
      <c r="AN52" t="s">
        <v>834</v>
      </c>
      <c r="AP52">
        <v>4150</v>
      </c>
      <c r="AQ52">
        <v>3660</v>
      </c>
      <c r="AR52">
        <v>236</v>
      </c>
      <c r="AS52">
        <v>254</v>
      </c>
      <c r="AT52">
        <v>6.1199999999999997E-2</v>
      </c>
      <c r="AU52" t="s">
        <v>560</v>
      </c>
      <c r="AV52">
        <v>0</v>
      </c>
      <c r="AW52">
        <v>660</v>
      </c>
    </row>
    <row r="53" spans="1:49">
      <c r="A53">
        <v>95</v>
      </c>
      <c r="B53" t="s">
        <v>562</v>
      </c>
      <c r="C53" s="59">
        <v>45451</v>
      </c>
      <c r="D53" t="s">
        <v>1580</v>
      </c>
      <c r="E53" t="s">
        <v>568</v>
      </c>
      <c r="F53" t="s">
        <v>1577</v>
      </c>
      <c r="G53" t="s">
        <v>1581</v>
      </c>
      <c r="H53" t="s">
        <v>1582</v>
      </c>
      <c r="I53" s="59">
        <v>45453</v>
      </c>
      <c r="J53" t="s">
        <v>563</v>
      </c>
      <c r="K53" t="s">
        <v>1579</v>
      </c>
      <c r="L53" s="59"/>
      <c r="M53" t="s">
        <v>20</v>
      </c>
      <c r="N53" t="s">
        <v>353</v>
      </c>
      <c r="O53">
        <v>1</v>
      </c>
      <c r="P53" t="s">
        <v>1577</v>
      </c>
      <c r="Q53" t="s">
        <v>1582</v>
      </c>
      <c r="S53" t="s">
        <v>1583</v>
      </c>
      <c r="T53" t="s">
        <v>569</v>
      </c>
      <c r="W53">
        <v>16630</v>
      </c>
      <c r="X53">
        <v>0</v>
      </c>
      <c r="Y53">
        <v>3000</v>
      </c>
      <c r="Z53">
        <v>3000</v>
      </c>
      <c r="AA53">
        <v>0</v>
      </c>
      <c r="AB53">
        <v>0</v>
      </c>
      <c r="AD53" t="s">
        <v>19</v>
      </c>
      <c r="AF53">
        <v>15710</v>
      </c>
      <c r="AG53">
        <v>9680</v>
      </c>
      <c r="AH53">
        <v>19630</v>
      </c>
      <c r="AI53">
        <v>12680</v>
      </c>
      <c r="AJ53">
        <v>2075</v>
      </c>
      <c r="AK53">
        <v>4875</v>
      </c>
      <c r="AL53">
        <v>0.24829999999999999</v>
      </c>
      <c r="AN53" t="s">
        <v>834</v>
      </c>
      <c r="AP53">
        <v>19630</v>
      </c>
      <c r="AQ53">
        <v>12680</v>
      </c>
      <c r="AR53">
        <v>2075</v>
      </c>
      <c r="AS53">
        <v>4875</v>
      </c>
      <c r="AT53">
        <v>0.24829999999999999</v>
      </c>
      <c r="AU53" t="s">
        <v>560</v>
      </c>
      <c r="AV53">
        <v>0</v>
      </c>
      <c r="AW53">
        <v>9680</v>
      </c>
    </row>
    <row r="54" spans="1:49">
      <c r="A54">
        <v>96</v>
      </c>
      <c r="B54" t="s">
        <v>562</v>
      </c>
      <c r="C54" s="59">
        <v>45451</v>
      </c>
      <c r="D54" t="s">
        <v>1588</v>
      </c>
      <c r="E54" t="s">
        <v>568</v>
      </c>
      <c r="F54" t="s">
        <v>1585</v>
      </c>
      <c r="G54" t="s">
        <v>1399</v>
      </c>
      <c r="H54" t="s">
        <v>1589</v>
      </c>
      <c r="I54" s="59">
        <v>45453</v>
      </c>
      <c r="J54" t="s">
        <v>563</v>
      </c>
      <c r="K54" t="s">
        <v>1587</v>
      </c>
      <c r="L54" s="59"/>
      <c r="M54" t="s">
        <v>104</v>
      </c>
      <c r="N54" t="s">
        <v>353</v>
      </c>
      <c r="O54">
        <v>2</v>
      </c>
      <c r="P54" t="s">
        <v>1585</v>
      </c>
      <c r="Q54" t="s">
        <v>1589</v>
      </c>
      <c r="S54" t="s">
        <v>1590</v>
      </c>
      <c r="T54" t="s">
        <v>571</v>
      </c>
      <c r="W54">
        <v>7700</v>
      </c>
      <c r="X54">
        <v>0</v>
      </c>
      <c r="Y54">
        <v>0</v>
      </c>
      <c r="Z54">
        <v>3500</v>
      </c>
      <c r="AA54">
        <v>0</v>
      </c>
      <c r="AB54">
        <v>0</v>
      </c>
      <c r="AD54" t="s">
        <v>1979</v>
      </c>
      <c r="AF54">
        <v>3570</v>
      </c>
      <c r="AG54">
        <v>2200</v>
      </c>
      <c r="AH54">
        <v>7700</v>
      </c>
      <c r="AI54">
        <v>7900</v>
      </c>
      <c r="AJ54">
        <v>915</v>
      </c>
      <c r="AK54">
        <v>-1115</v>
      </c>
      <c r="AL54">
        <v>-0.14480000000000001</v>
      </c>
      <c r="AN54" t="s">
        <v>834</v>
      </c>
      <c r="AP54">
        <v>7700</v>
      </c>
      <c r="AQ54">
        <v>7900</v>
      </c>
      <c r="AR54">
        <v>915</v>
      </c>
      <c r="AS54">
        <v>-1115</v>
      </c>
      <c r="AT54">
        <v>-0.14480000000000001</v>
      </c>
      <c r="AU54" t="s">
        <v>560</v>
      </c>
      <c r="AV54">
        <v>0</v>
      </c>
      <c r="AW54">
        <v>4400</v>
      </c>
    </row>
    <row r="55" spans="1:49">
      <c r="A55">
        <v>97</v>
      </c>
      <c r="B55" t="s">
        <v>562</v>
      </c>
      <c r="C55" s="59">
        <v>45451</v>
      </c>
      <c r="D55" t="s">
        <v>1588</v>
      </c>
      <c r="E55" t="s">
        <v>568</v>
      </c>
      <c r="F55" t="s">
        <v>1585</v>
      </c>
      <c r="G55" t="s">
        <v>1399</v>
      </c>
      <c r="H55" t="s">
        <v>1589</v>
      </c>
      <c r="I55" s="59">
        <v>45453</v>
      </c>
      <c r="J55" t="s">
        <v>563</v>
      </c>
      <c r="K55" t="s">
        <v>1587</v>
      </c>
      <c r="L55" s="59"/>
      <c r="M55" t="s">
        <v>98</v>
      </c>
      <c r="N55" t="s">
        <v>353</v>
      </c>
      <c r="O55">
        <v>2</v>
      </c>
      <c r="P55" t="s">
        <v>1585</v>
      </c>
      <c r="Q55" t="s">
        <v>1589</v>
      </c>
      <c r="S55" t="s">
        <v>1590</v>
      </c>
      <c r="T55" t="s">
        <v>571</v>
      </c>
      <c r="W55">
        <v>12240</v>
      </c>
      <c r="X55">
        <v>1360</v>
      </c>
      <c r="Y55">
        <v>0</v>
      </c>
      <c r="Z55">
        <v>0</v>
      </c>
      <c r="AA55">
        <v>0</v>
      </c>
      <c r="AB55">
        <v>0</v>
      </c>
      <c r="AD55" t="s">
        <v>1980</v>
      </c>
      <c r="AE55" t="s">
        <v>822</v>
      </c>
      <c r="AF55">
        <v>6430</v>
      </c>
      <c r="AG55">
        <v>3960</v>
      </c>
      <c r="AH55">
        <v>12240</v>
      </c>
      <c r="AI55">
        <v>7920</v>
      </c>
      <c r="AJ55">
        <v>1454</v>
      </c>
      <c r="AK55">
        <v>2866</v>
      </c>
      <c r="AL55">
        <v>0.23419999999999999</v>
      </c>
      <c r="AN55" t="s">
        <v>834</v>
      </c>
      <c r="AP55">
        <v>12240</v>
      </c>
      <c r="AQ55">
        <v>7920</v>
      </c>
      <c r="AR55">
        <v>1454</v>
      </c>
      <c r="AS55">
        <v>2866</v>
      </c>
      <c r="AT55">
        <v>0.23419999999999999</v>
      </c>
      <c r="AU55" t="s">
        <v>560</v>
      </c>
      <c r="AV55">
        <v>0</v>
      </c>
      <c r="AW55">
        <v>7920</v>
      </c>
    </row>
    <row r="56" spans="1:49">
      <c r="A56">
        <v>98</v>
      </c>
      <c r="B56" t="s">
        <v>562</v>
      </c>
      <c r="C56" s="59">
        <v>45451</v>
      </c>
      <c r="D56" t="s">
        <v>1588</v>
      </c>
      <c r="E56" t="s">
        <v>568</v>
      </c>
      <c r="F56" t="s">
        <v>1585</v>
      </c>
      <c r="G56" t="s">
        <v>1399</v>
      </c>
      <c r="H56" t="s">
        <v>1589</v>
      </c>
      <c r="I56" s="59">
        <v>45453</v>
      </c>
      <c r="J56" t="s">
        <v>563</v>
      </c>
      <c r="K56" t="s">
        <v>1587</v>
      </c>
      <c r="L56" s="59"/>
      <c r="M56" t="s">
        <v>96</v>
      </c>
      <c r="N56" t="s">
        <v>353</v>
      </c>
      <c r="O56">
        <v>1</v>
      </c>
      <c r="P56" t="s">
        <v>1585</v>
      </c>
      <c r="Q56" t="s">
        <v>1589</v>
      </c>
      <c r="S56" t="s">
        <v>1590</v>
      </c>
      <c r="T56" t="s">
        <v>571</v>
      </c>
      <c r="W56">
        <v>5320</v>
      </c>
      <c r="X56">
        <v>0</v>
      </c>
      <c r="Y56">
        <v>0</v>
      </c>
      <c r="Z56">
        <v>0</v>
      </c>
      <c r="AA56">
        <v>0</v>
      </c>
      <c r="AB56">
        <v>0</v>
      </c>
      <c r="AD56" t="s">
        <v>1981</v>
      </c>
      <c r="AE56" t="s">
        <v>822</v>
      </c>
      <c r="AF56">
        <v>4910</v>
      </c>
      <c r="AG56">
        <v>3025</v>
      </c>
      <c r="AH56">
        <v>5320</v>
      </c>
      <c r="AI56">
        <v>3025</v>
      </c>
      <c r="AJ56">
        <v>632</v>
      </c>
      <c r="AK56">
        <v>1663</v>
      </c>
      <c r="AL56">
        <v>0.31259999999999999</v>
      </c>
      <c r="AN56" t="s">
        <v>834</v>
      </c>
      <c r="AP56">
        <v>5320</v>
      </c>
      <c r="AQ56">
        <v>3025</v>
      </c>
      <c r="AR56">
        <v>632</v>
      </c>
      <c r="AS56">
        <v>1663</v>
      </c>
      <c r="AT56">
        <v>0.31259999999999999</v>
      </c>
      <c r="AU56" t="s">
        <v>560</v>
      </c>
      <c r="AV56">
        <v>0</v>
      </c>
      <c r="AW56">
        <v>3025</v>
      </c>
    </row>
    <row r="57" spans="1:49">
      <c r="A57">
        <v>99</v>
      </c>
      <c r="B57" t="s">
        <v>562</v>
      </c>
      <c r="C57" s="59">
        <v>45451</v>
      </c>
      <c r="D57" t="s">
        <v>1595</v>
      </c>
      <c r="E57" t="s">
        <v>568</v>
      </c>
      <c r="F57" t="s">
        <v>1237</v>
      </c>
      <c r="G57" t="s">
        <v>1240</v>
      </c>
      <c r="H57" t="s">
        <v>1596</v>
      </c>
      <c r="I57" s="59">
        <v>45453</v>
      </c>
      <c r="J57" t="s">
        <v>563</v>
      </c>
      <c r="K57" t="s">
        <v>1594</v>
      </c>
      <c r="L57" s="59"/>
      <c r="M57" t="s">
        <v>129</v>
      </c>
      <c r="N57" t="s">
        <v>353</v>
      </c>
      <c r="O57">
        <v>20</v>
      </c>
      <c r="P57" t="s">
        <v>1237</v>
      </c>
      <c r="Q57" t="s">
        <v>1596</v>
      </c>
      <c r="S57" t="s">
        <v>1242</v>
      </c>
      <c r="T57" t="s">
        <v>571</v>
      </c>
      <c r="W57">
        <v>23000</v>
      </c>
      <c r="X57">
        <v>0</v>
      </c>
      <c r="Y57">
        <v>3000</v>
      </c>
      <c r="Z57">
        <v>3500</v>
      </c>
      <c r="AA57">
        <v>0</v>
      </c>
      <c r="AB57">
        <v>0</v>
      </c>
      <c r="AD57" t="s">
        <v>128</v>
      </c>
      <c r="AE57" t="s">
        <v>822</v>
      </c>
      <c r="AF57">
        <v>1070</v>
      </c>
      <c r="AG57">
        <v>660</v>
      </c>
      <c r="AH57">
        <v>26000</v>
      </c>
      <c r="AI57">
        <v>16700</v>
      </c>
      <c r="AJ57">
        <v>2831</v>
      </c>
      <c r="AK57">
        <v>6469</v>
      </c>
      <c r="AL57">
        <v>0.24879999999999999</v>
      </c>
      <c r="AN57" t="s">
        <v>834</v>
      </c>
      <c r="AP57">
        <v>26000</v>
      </c>
      <c r="AQ57">
        <v>16700</v>
      </c>
      <c r="AR57">
        <v>2831</v>
      </c>
      <c r="AS57">
        <v>6469</v>
      </c>
      <c r="AT57">
        <v>0.24879999999999999</v>
      </c>
      <c r="AU57" t="s">
        <v>560</v>
      </c>
      <c r="AV57">
        <v>0</v>
      </c>
      <c r="AW57">
        <v>13200</v>
      </c>
    </row>
    <row r="58" spans="1:49">
      <c r="A58">
        <v>100</v>
      </c>
      <c r="B58" t="s">
        <v>562</v>
      </c>
      <c r="C58" s="59">
        <v>45452</v>
      </c>
      <c r="D58" t="s">
        <v>1602</v>
      </c>
      <c r="E58" t="s">
        <v>568</v>
      </c>
      <c r="F58" t="s">
        <v>1598</v>
      </c>
      <c r="G58" t="s">
        <v>1603</v>
      </c>
      <c r="H58" t="s">
        <v>1604</v>
      </c>
      <c r="I58" s="59">
        <v>45453</v>
      </c>
      <c r="J58" t="s">
        <v>563</v>
      </c>
      <c r="K58" t="s">
        <v>1601</v>
      </c>
      <c r="L58" s="59"/>
      <c r="M58" t="s">
        <v>44</v>
      </c>
      <c r="N58" t="s">
        <v>353</v>
      </c>
      <c r="O58">
        <v>1</v>
      </c>
      <c r="P58" t="s">
        <v>1598</v>
      </c>
      <c r="Q58" t="s">
        <v>1604</v>
      </c>
      <c r="S58" t="s">
        <v>1605</v>
      </c>
      <c r="T58" t="s">
        <v>571</v>
      </c>
      <c r="W58">
        <v>17010</v>
      </c>
      <c r="X58">
        <v>0</v>
      </c>
      <c r="Y58">
        <v>3000</v>
      </c>
      <c r="Z58">
        <v>3000</v>
      </c>
      <c r="AA58">
        <v>0</v>
      </c>
      <c r="AB58">
        <v>0</v>
      </c>
      <c r="AD58" t="s">
        <v>43</v>
      </c>
      <c r="AF58">
        <v>16070</v>
      </c>
      <c r="AG58">
        <v>9900</v>
      </c>
      <c r="AH58">
        <v>20010</v>
      </c>
      <c r="AI58">
        <v>12900</v>
      </c>
      <c r="AJ58">
        <v>2120</v>
      </c>
      <c r="AK58">
        <v>4990</v>
      </c>
      <c r="AL58">
        <v>0.24940000000000001</v>
      </c>
      <c r="AN58" t="s">
        <v>834</v>
      </c>
      <c r="AP58">
        <v>20010</v>
      </c>
      <c r="AQ58">
        <v>12900</v>
      </c>
      <c r="AR58">
        <v>2120</v>
      </c>
      <c r="AS58">
        <v>4990</v>
      </c>
      <c r="AT58">
        <v>0.24940000000000001</v>
      </c>
      <c r="AU58" t="s">
        <v>560</v>
      </c>
      <c r="AV58">
        <v>0</v>
      </c>
      <c r="AW58">
        <v>9900</v>
      </c>
    </row>
    <row r="59" spans="1:49">
      <c r="A59">
        <v>101</v>
      </c>
      <c r="B59" t="s">
        <v>562</v>
      </c>
      <c r="C59" s="59">
        <v>45452</v>
      </c>
      <c r="D59" t="s">
        <v>1611</v>
      </c>
      <c r="E59" t="s">
        <v>568</v>
      </c>
      <c r="F59" t="s">
        <v>1612</v>
      </c>
      <c r="G59" t="s">
        <v>1613</v>
      </c>
      <c r="H59" t="s">
        <v>1614</v>
      </c>
      <c r="I59" s="59">
        <v>45453</v>
      </c>
      <c r="J59" t="s">
        <v>563</v>
      </c>
      <c r="K59" t="s">
        <v>1610</v>
      </c>
      <c r="L59" s="59"/>
      <c r="M59" t="s">
        <v>82</v>
      </c>
      <c r="N59" t="s">
        <v>387</v>
      </c>
      <c r="O59">
        <v>2</v>
      </c>
      <c r="P59" t="s">
        <v>1607</v>
      </c>
      <c r="Q59" t="s">
        <v>1614</v>
      </c>
      <c r="S59" t="s">
        <v>1615</v>
      </c>
      <c r="T59" t="s">
        <v>571</v>
      </c>
      <c r="W59">
        <v>12560</v>
      </c>
      <c r="X59">
        <v>680</v>
      </c>
      <c r="Y59">
        <v>0</v>
      </c>
      <c r="Z59">
        <v>3500</v>
      </c>
      <c r="AA59">
        <v>0</v>
      </c>
      <c r="AB59">
        <v>0</v>
      </c>
      <c r="AD59" t="s">
        <v>81</v>
      </c>
      <c r="AF59">
        <v>5890</v>
      </c>
      <c r="AG59">
        <v>3740</v>
      </c>
      <c r="AH59">
        <v>12560</v>
      </c>
      <c r="AI59">
        <v>10980</v>
      </c>
      <c r="AJ59">
        <v>1492</v>
      </c>
      <c r="AK59">
        <v>88</v>
      </c>
      <c r="AL59">
        <v>7.0000000000000001E-3</v>
      </c>
      <c r="AN59" t="s">
        <v>834</v>
      </c>
      <c r="AP59">
        <v>12560</v>
      </c>
      <c r="AQ59">
        <v>10980</v>
      </c>
      <c r="AR59">
        <v>1492</v>
      </c>
      <c r="AS59">
        <v>88</v>
      </c>
      <c r="AT59">
        <v>7.0000000000000001E-3</v>
      </c>
      <c r="AU59" t="s">
        <v>560</v>
      </c>
      <c r="AV59">
        <v>0</v>
      </c>
      <c r="AW59">
        <v>7480</v>
      </c>
    </row>
    <row r="60" spans="1:49">
      <c r="A60">
        <v>102</v>
      </c>
      <c r="B60" t="s">
        <v>562</v>
      </c>
      <c r="C60" s="59">
        <v>45452</v>
      </c>
      <c r="D60" t="s">
        <v>1619</v>
      </c>
      <c r="E60" t="s">
        <v>568</v>
      </c>
      <c r="F60" t="s">
        <v>1617</v>
      </c>
      <c r="G60" t="s">
        <v>1620</v>
      </c>
      <c r="H60" t="s">
        <v>1621</v>
      </c>
      <c r="I60" s="59">
        <v>45453</v>
      </c>
      <c r="J60" t="s">
        <v>563</v>
      </c>
      <c r="K60" t="s">
        <v>1618</v>
      </c>
      <c r="L60" s="59"/>
      <c r="M60" t="s">
        <v>34</v>
      </c>
      <c r="N60" t="s">
        <v>353</v>
      </c>
      <c r="O60">
        <v>1</v>
      </c>
      <c r="P60" t="s">
        <v>1617</v>
      </c>
      <c r="Q60" t="s">
        <v>1621</v>
      </c>
      <c r="S60" t="s">
        <v>1622</v>
      </c>
      <c r="T60" t="s">
        <v>571</v>
      </c>
      <c r="W60">
        <v>34020</v>
      </c>
      <c r="X60">
        <v>0</v>
      </c>
      <c r="Y60">
        <v>3000</v>
      </c>
      <c r="Z60">
        <v>3500</v>
      </c>
      <c r="AA60">
        <v>0</v>
      </c>
      <c r="AB60">
        <v>0</v>
      </c>
      <c r="AD60" t="s">
        <v>33</v>
      </c>
      <c r="AF60">
        <v>32130</v>
      </c>
      <c r="AG60">
        <v>19800</v>
      </c>
      <c r="AH60">
        <v>37020</v>
      </c>
      <c r="AI60">
        <v>23300</v>
      </c>
      <c r="AJ60">
        <v>4141</v>
      </c>
      <c r="AK60">
        <v>9579</v>
      </c>
      <c r="AL60">
        <v>0.25879999999999997</v>
      </c>
      <c r="AN60" t="s">
        <v>834</v>
      </c>
      <c r="AP60">
        <v>37020</v>
      </c>
      <c r="AQ60">
        <v>23300</v>
      </c>
      <c r="AR60">
        <v>4141</v>
      </c>
      <c r="AS60">
        <v>9579</v>
      </c>
      <c r="AT60">
        <v>0.25879999999999997</v>
      </c>
      <c r="AU60" t="s">
        <v>560</v>
      </c>
      <c r="AV60">
        <v>0</v>
      </c>
      <c r="AW60">
        <v>19800</v>
      </c>
    </row>
    <row r="61" spans="1:49">
      <c r="A61">
        <v>103</v>
      </c>
      <c r="B61" t="s">
        <v>562</v>
      </c>
      <c r="C61" s="59">
        <v>45453</v>
      </c>
      <c r="D61" t="s">
        <v>1626</v>
      </c>
      <c r="E61" t="s">
        <v>568</v>
      </c>
      <c r="F61" t="s">
        <v>1624</v>
      </c>
      <c r="G61" t="s">
        <v>707</v>
      </c>
      <c r="H61" t="s">
        <v>1627</v>
      </c>
      <c r="I61" s="59">
        <v>45453</v>
      </c>
      <c r="J61" t="s">
        <v>563</v>
      </c>
      <c r="K61" t="s">
        <v>1625</v>
      </c>
      <c r="L61" s="59"/>
      <c r="M61" t="s">
        <v>133</v>
      </c>
      <c r="N61" t="s">
        <v>353</v>
      </c>
      <c r="O61">
        <v>40</v>
      </c>
      <c r="P61" t="s">
        <v>1624</v>
      </c>
      <c r="Q61" t="s">
        <v>1627</v>
      </c>
      <c r="S61" t="s">
        <v>1628</v>
      </c>
      <c r="T61" t="s">
        <v>1629</v>
      </c>
      <c r="W61">
        <v>37600</v>
      </c>
      <c r="X61">
        <v>0</v>
      </c>
      <c r="Y61">
        <v>0</v>
      </c>
      <c r="Z61">
        <v>3500</v>
      </c>
      <c r="AA61">
        <v>0</v>
      </c>
      <c r="AB61">
        <v>0</v>
      </c>
      <c r="AD61" t="s">
        <v>132</v>
      </c>
      <c r="AF61">
        <v>890</v>
      </c>
      <c r="AG61">
        <v>550</v>
      </c>
      <c r="AH61">
        <v>37600</v>
      </c>
      <c r="AI61">
        <v>25500</v>
      </c>
      <c r="AJ61">
        <v>4467</v>
      </c>
      <c r="AK61">
        <v>7633</v>
      </c>
      <c r="AL61">
        <v>0.20300000000000001</v>
      </c>
      <c r="AN61" t="s">
        <v>834</v>
      </c>
      <c r="AP61">
        <v>37600</v>
      </c>
      <c r="AQ61">
        <v>25500</v>
      </c>
      <c r="AR61">
        <v>4467</v>
      </c>
      <c r="AS61">
        <v>7633</v>
      </c>
      <c r="AT61">
        <v>0.20300000000000001</v>
      </c>
      <c r="AU61" t="s">
        <v>560</v>
      </c>
      <c r="AV61">
        <v>0</v>
      </c>
      <c r="AW61">
        <v>22000</v>
      </c>
    </row>
    <row r="62" spans="1:49">
      <c r="A62">
        <v>107</v>
      </c>
      <c r="B62" t="s">
        <v>562</v>
      </c>
      <c r="C62" s="59">
        <v>45452</v>
      </c>
      <c r="D62" t="s">
        <v>1653</v>
      </c>
      <c r="E62" t="s">
        <v>561</v>
      </c>
      <c r="F62" t="s">
        <v>1650</v>
      </c>
      <c r="G62" t="s">
        <v>1654</v>
      </c>
      <c r="H62" t="s">
        <v>1655</v>
      </c>
      <c r="I62" s="59">
        <v>45453</v>
      </c>
      <c r="J62" t="s">
        <v>563</v>
      </c>
      <c r="K62" t="s">
        <v>1651</v>
      </c>
      <c r="L62" s="59"/>
      <c r="M62" t="s">
        <v>24</v>
      </c>
      <c r="N62" t="s">
        <v>353</v>
      </c>
      <c r="O62">
        <v>2</v>
      </c>
      <c r="P62" t="s">
        <v>1650</v>
      </c>
      <c r="Q62" t="s">
        <v>1655</v>
      </c>
      <c r="S62" t="s">
        <v>1656</v>
      </c>
      <c r="W62">
        <v>27540</v>
      </c>
      <c r="X62">
        <v>3060</v>
      </c>
      <c r="Y62">
        <v>0</v>
      </c>
      <c r="Z62">
        <v>3500</v>
      </c>
      <c r="AA62">
        <v>0</v>
      </c>
      <c r="AB62">
        <v>0</v>
      </c>
      <c r="AD62" t="s">
        <v>23</v>
      </c>
      <c r="AF62">
        <v>14450</v>
      </c>
      <c r="AG62">
        <v>9350</v>
      </c>
      <c r="AH62">
        <v>27540</v>
      </c>
      <c r="AI62">
        <v>22200</v>
      </c>
      <c r="AJ62">
        <v>1176</v>
      </c>
      <c r="AK62">
        <v>4164</v>
      </c>
      <c r="AL62">
        <v>0.1512</v>
      </c>
      <c r="AN62" t="s">
        <v>834</v>
      </c>
      <c r="AP62">
        <v>27540</v>
      </c>
      <c r="AQ62">
        <v>22200</v>
      </c>
      <c r="AR62">
        <v>1176</v>
      </c>
      <c r="AS62">
        <v>4164</v>
      </c>
      <c r="AT62">
        <v>0.1512</v>
      </c>
      <c r="AU62" t="s">
        <v>560</v>
      </c>
      <c r="AV62">
        <v>0</v>
      </c>
      <c r="AW62">
        <v>18700</v>
      </c>
    </row>
    <row r="63" spans="1:49">
      <c r="A63">
        <v>108</v>
      </c>
      <c r="B63" t="s">
        <v>562</v>
      </c>
      <c r="C63" s="59">
        <v>45452</v>
      </c>
      <c r="D63" t="s">
        <v>1658</v>
      </c>
      <c r="E63" t="s">
        <v>561</v>
      </c>
      <c r="F63" t="s">
        <v>1650</v>
      </c>
      <c r="G63" t="s">
        <v>1654</v>
      </c>
      <c r="H63" t="s">
        <v>1655</v>
      </c>
      <c r="I63" s="59">
        <v>45453</v>
      </c>
      <c r="J63" t="s">
        <v>563</v>
      </c>
      <c r="K63" t="s">
        <v>1651</v>
      </c>
      <c r="L63" s="59"/>
      <c r="M63" t="s">
        <v>18</v>
      </c>
      <c r="N63" t="s">
        <v>353</v>
      </c>
      <c r="O63">
        <v>1</v>
      </c>
      <c r="P63" t="s">
        <v>1650</v>
      </c>
      <c r="Q63" t="s">
        <v>1655</v>
      </c>
      <c r="S63" t="s">
        <v>1656</v>
      </c>
      <c r="W63">
        <v>10690</v>
      </c>
      <c r="X63">
        <v>1190</v>
      </c>
      <c r="Y63">
        <v>0</v>
      </c>
      <c r="Z63">
        <v>0</v>
      </c>
      <c r="AA63">
        <v>0</v>
      </c>
      <c r="AB63">
        <v>0</v>
      </c>
      <c r="AD63" t="s">
        <v>17</v>
      </c>
      <c r="AE63" t="s">
        <v>822</v>
      </c>
      <c r="AF63">
        <v>11220</v>
      </c>
      <c r="AG63">
        <v>7260</v>
      </c>
      <c r="AH63">
        <v>10690</v>
      </c>
      <c r="AI63">
        <v>7260</v>
      </c>
      <c r="AJ63">
        <v>505</v>
      </c>
      <c r="AK63">
        <v>2925</v>
      </c>
      <c r="AL63">
        <v>0.27360000000000001</v>
      </c>
      <c r="AN63" t="s">
        <v>834</v>
      </c>
      <c r="AP63">
        <v>10690</v>
      </c>
      <c r="AQ63">
        <v>7260</v>
      </c>
      <c r="AR63">
        <v>505</v>
      </c>
      <c r="AS63">
        <v>2925</v>
      </c>
      <c r="AT63">
        <v>0.27360000000000001</v>
      </c>
      <c r="AU63" t="s">
        <v>560</v>
      </c>
      <c r="AV63">
        <v>0</v>
      </c>
      <c r="AW63">
        <v>7260</v>
      </c>
    </row>
    <row r="64" spans="1:49">
      <c r="A64">
        <v>109</v>
      </c>
      <c r="B64" t="s">
        <v>562</v>
      </c>
      <c r="C64" s="59">
        <v>45452</v>
      </c>
      <c r="D64" t="s">
        <v>1662</v>
      </c>
      <c r="E64" t="s">
        <v>561</v>
      </c>
      <c r="F64" t="s">
        <v>1659</v>
      </c>
      <c r="G64" t="s">
        <v>1663</v>
      </c>
      <c r="H64" t="s">
        <v>1664</v>
      </c>
      <c r="I64" s="59">
        <v>45453</v>
      </c>
      <c r="J64" t="s">
        <v>563</v>
      </c>
      <c r="K64" t="s">
        <v>1660</v>
      </c>
      <c r="L64" s="59"/>
      <c r="M64" t="s">
        <v>34</v>
      </c>
      <c r="N64" t="s">
        <v>353</v>
      </c>
      <c r="O64">
        <v>1</v>
      </c>
      <c r="P64" t="s">
        <v>1659</v>
      </c>
      <c r="Q64" t="s">
        <v>1664</v>
      </c>
      <c r="R64" t="s">
        <v>1664</v>
      </c>
      <c r="S64" t="s">
        <v>1665</v>
      </c>
      <c r="T64" t="s">
        <v>1261</v>
      </c>
      <c r="W64">
        <v>28620</v>
      </c>
      <c r="X64">
        <v>3180</v>
      </c>
      <c r="Y64">
        <v>3000</v>
      </c>
      <c r="Z64">
        <v>3500</v>
      </c>
      <c r="AA64">
        <v>0</v>
      </c>
      <c r="AB64">
        <v>0</v>
      </c>
      <c r="AD64" t="s">
        <v>33</v>
      </c>
      <c r="AF64">
        <v>30600</v>
      </c>
      <c r="AG64">
        <v>19800</v>
      </c>
      <c r="AH64">
        <v>31620</v>
      </c>
      <c r="AI64">
        <v>23300</v>
      </c>
      <c r="AJ64">
        <v>1278</v>
      </c>
      <c r="AK64">
        <v>7042</v>
      </c>
      <c r="AL64">
        <v>0.22270000000000001</v>
      </c>
      <c r="AN64" t="s">
        <v>834</v>
      </c>
      <c r="AP64">
        <v>31620</v>
      </c>
      <c r="AQ64">
        <v>23300</v>
      </c>
      <c r="AR64">
        <v>1278</v>
      </c>
      <c r="AS64">
        <v>7042</v>
      </c>
      <c r="AT64">
        <v>0.22270000000000001</v>
      </c>
      <c r="AU64" t="s">
        <v>560</v>
      </c>
      <c r="AV64">
        <v>0</v>
      </c>
      <c r="AW64">
        <v>19800</v>
      </c>
    </row>
    <row r="65" spans="1:49">
      <c r="A65">
        <v>110</v>
      </c>
      <c r="B65" t="s">
        <v>562</v>
      </c>
      <c r="C65" s="59">
        <v>45452</v>
      </c>
      <c r="D65" t="s">
        <v>1670</v>
      </c>
      <c r="E65" t="s">
        <v>561</v>
      </c>
      <c r="F65" t="s">
        <v>1667</v>
      </c>
      <c r="G65" t="s">
        <v>1671</v>
      </c>
      <c r="H65" t="s">
        <v>1672</v>
      </c>
      <c r="I65" s="59">
        <v>45453</v>
      </c>
      <c r="J65" t="s">
        <v>563</v>
      </c>
      <c r="K65" t="s">
        <v>1668</v>
      </c>
      <c r="L65" s="59"/>
      <c r="M65" t="s">
        <v>20</v>
      </c>
      <c r="N65" t="s">
        <v>353</v>
      </c>
      <c r="O65">
        <v>4</v>
      </c>
      <c r="P65" t="s">
        <v>1667</v>
      </c>
      <c r="Q65" t="s">
        <v>1672</v>
      </c>
      <c r="S65" t="s">
        <v>1673</v>
      </c>
      <c r="W65">
        <v>57000</v>
      </c>
      <c r="X65">
        <v>6360</v>
      </c>
      <c r="Y65">
        <v>0</v>
      </c>
      <c r="Z65">
        <v>4400</v>
      </c>
      <c r="AA65">
        <v>0</v>
      </c>
      <c r="AB65">
        <v>0</v>
      </c>
      <c r="AD65" t="s">
        <v>19</v>
      </c>
      <c r="AF65">
        <v>14960</v>
      </c>
      <c r="AG65">
        <v>9680</v>
      </c>
      <c r="AH65">
        <v>57000</v>
      </c>
      <c r="AI65">
        <v>43120</v>
      </c>
      <c r="AJ65">
        <v>2349</v>
      </c>
      <c r="AK65">
        <v>11531</v>
      </c>
      <c r="AL65">
        <v>0.20230000000000001</v>
      </c>
      <c r="AN65" t="s">
        <v>834</v>
      </c>
      <c r="AP65">
        <v>57000</v>
      </c>
      <c r="AQ65">
        <v>43120</v>
      </c>
      <c r="AR65">
        <v>2349</v>
      </c>
      <c r="AS65">
        <v>11531</v>
      </c>
      <c r="AT65">
        <v>0.20230000000000001</v>
      </c>
      <c r="AU65" t="s">
        <v>560</v>
      </c>
      <c r="AV65">
        <v>0</v>
      </c>
      <c r="AW65">
        <v>38720</v>
      </c>
    </row>
    <row r="66" spans="1:49">
      <c r="A66">
        <v>111</v>
      </c>
      <c r="B66" t="s">
        <v>562</v>
      </c>
      <c r="C66" s="59">
        <v>45451</v>
      </c>
      <c r="D66" t="s">
        <v>1678</v>
      </c>
      <c r="E66" t="s">
        <v>561</v>
      </c>
      <c r="F66" t="s">
        <v>1679</v>
      </c>
      <c r="G66" t="s">
        <v>1680</v>
      </c>
      <c r="H66" t="s">
        <v>1681</v>
      </c>
      <c r="I66" s="59">
        <v>45453</v>
      </c>
      <c r="J66" t="s">
        <v>563</v>
      </c>
      <c r="K66" t="s">
        <v>1676</v>
      </c>
      <c r="L66" s="59"/>
      <c r="M66" t="s">
        <v>34</v>
      </c>
      <c r="N66" t="s">
        <v>353</v>
      </c>
      <c r="O66">
        <v>1</v>
      </c>
      <c r="P66" t="s">
        <v>1675</v>
      </c>
      <c r="Q66" t="s">
        <v>1681</v>
      </c>
      <c r="S66" t="s">
        <v>1682</v>
      </c>
      <c r="W66">
        <v>28620</v>
      </c>
      <c r="X66">
        <v>3180</v>
      </c>
      <c r="Y66">
        <v>3000</v>
      </c>
      <c r="Z66">
        <v>3500</v>
      </c>
      <c r="AA66">
        <v>0</v>
      </c>
      <c r="AB66">
        <v>0</v>
      </c>
      <c r="AD66" t="s">
        <v>33</v>
      </c>
      <c r="AF66">
        <v>30600</v>
      </c>
      <c r="AG66">
        <v>19800</v>
      </c>
      <c r="AH66">
        <v>31620</v>
      </c>
      <c r="AI66">
        <v>23300</v>
      </c>
      <c r="AJ66">
        <v>1278</v>
      </c>
      <c r="AK66">
        <v>7042</v>
      </c>
      <c r="AL66">
        <v>0.22270000000000001</v>
      </c>
      <c r="AN66" t="s">
        <v>834</v>
      </c>
      <c r="AP66">
        <v>31620</v>
      </c>
      <c r="AQ66">
        <v>23300</v>
      </c>
      <c r="AR66">
        <v>1278</v>
      </c>
      <c r="AS66">
        <v>7042</v>
      </c>
      <c r="AT66">
        <v>0.22270000000000001</v>
      </c>
      <c r="AU66" t="s">
        <v>560</v>
      </c>
      <c r="AV66">
        <v>0</v>
      </c>
      <c r="AW66">
        <v>19800</v>
      </c>
    </row>
    <row r="67" spans="1:49">
      <c r="A67">
        <v>122</v>
      </c>
      <c r="B67" t="s">
        <v>562</v>
      </c>
      <c r="C67" s="59">
        <v>45454</v>
      </c>
      <c r="D67" t="s">
        <v>1735</v>
      </c>
      <c r="E67" t="s">
        <v>561</v>
      </c>
      <c r="F67" t="s">
        <v>1731</v>
      </c>
      <c r="G67" t="s">
        <v>1736</v>
      </c>
      <c r="H67" t="s">
        <v>1737</v>
      </c>
      <c r="I67" s="59">
        <v>45454</v>
      </c>
      <c r="J67" t="s">
        <v>563</v>
      </c>
      <c r="K67" t="s">
        <v>1733</v>
      </c>
      <c r="L67" s="59"/>
      <c r="M67" t="s">
        <v>52</v>
      </c>
      <c r="N67" t="s">
        <v>353</v>
      </c>
      <c r="O67">
        <v>100</v>
      </c>
      <c r="P67" t="s">
        <v>1731</v>
      </c>
      <c r="Q67" t="s">
        <v>1738</v>
      </c>
      <c r="S67" t="s">
        <v>1739</v>
      </c>
      <c r="W67">
        <v>131000</v>
      </c>
      <c r="X67">
        <v>35000</v>
      </c>
      <c r="Y67">
        <v>0</v>
      </c>
      <c r="Z67">
        <v>4400</v>
      </c>
      <c r="AA67">
        <v>0</v>
      </c>
      <c r="AB67">
        <v>0</v>
      </c>
      <c r="AD67" t="s">
        <v>51</v>
      </c>
      <c r="AF67">
        <v>1240</v>
      </c>
      <c r="AG67">
        <v>880</v>
      </c>
      <c r="AH67">
        <v>131000</v>
      </c>
      <c r="AI67">
        <v>92400</v>
      </c>
      <c r="AJ67">
        <v>5294</v>
      </c>
      <c r="AK67">
        <v>33306</v>
      </c>
      <c r="AL67">
        <v>0.25419999999999998</v>
      </c>
      <c r="AN67" t="s">
        <v>834</v>
      </c>
      <c r="AP67">
        <v>131000</v>
      </c>
      <c r="AQ67">
        <v>92400</v>
      </c>
      <c r="AR67">
        <v>5294</v>
      </c>
      <c r="AS67">
        <v>33306</v>
      </c>
      <c r="AT67">
        <v>0.25419999999999998</v>
      </c>
      <c r="AU67" t="s">
        <v>560</v>
      </c>
      <c r="AV67">
        <v>0</v>
      </c>
      <c r="AW67">
        <v>88000</v>
      </c>
    </row>
    <row r="68" spans="1:49">
      <c r="A68">
        <v>123</v>
      </c>
      <c r="B68" t="s">
        <v>562</v>
      </c>
      <c r="C68" s="59">
        <v>45454</v>
      </c>
      <c r="D68" t="s">
        <v>1744</v>
      </c>
      <c r="E68" t="s">
        <v>561</v>
      </c>
      <c r="F68" t="s">
        <v>1745</v>
      </c>
      <c r="G68" t="s">
        <v>1746</v>
      </c>
      <c r="H68" t="s">
        <v>1747</v>
      </c>
      <c r="I68" s="59">
        <v>45454</v>
      </c>
      <c r="J68" t="s">
        <v>563</v>
      </c>
      <c r="K68" t="s">
        <v>1742</v>
      </c>
      <c r="L68" s="59"/>
      <c r="M68" t="s">
        <v>34</v>
      </c>
      <c r="N68" t="s">
        <v>353</v>
      </c>
      <c r="O68">
        <v>1</v>
      </c>
      <c r="P68" t="s">
        <v>1741</v>
      </c>
      <c r="Q68" t="s">
        <v>1747</v>
      </c>
      <c r="S68" t="s">
        <v>1748</v>
      </c>
      <c r="W68">
        <v>28620</v>
      </c>
      <c r="X68">
        <v>3180</v>
      </c>
      <c r="Y68">
        <v>3000</v>
      </c>
      <c r="Z68">
        <v>3500</v>
      </c>
      <c r="AA68">
        <v>0</v>
      </c>
      <c r="AB68">
        <v>0</v>
      </c>
      <c r="AD68" t="s">
        <v>33</v>
      </c>
      <c r="AF68">
        <v>30600</v>
      </c>
      <c r="AG68">
        <v>19800</v>
      </c>
      <c r="AH68">
        <v>31620</v>
      </c>
      <c r="AI68">
        <v>23300</v>
      </c>
      <c r="AJ68">
        <v>1278</v>
      </c>
      <c r="AK68">
        <v>7042</v>
      </c>
      <c r="AL68">
        <v>0.22270000000000001</v>
      </c>
      <c r="AN68" t="s">
        <v>834</v>
      </c>
      <c r="AP68">
        <v>31620</v>
      </c>
      <c r="AQ68">
        <v>23300</v>
      </c>
      <c r="AR68">
        <v>1278</v>
      </c>
      <c r="AS68">
        <v>7042</v>
      </c>
      <c r="AT68">
        <v>0.22270000000000001</v>
      </c>
      <c r="AU68" t="s">
        <v>560</v>
      </c>
      <c r="AV68">
        <v>0</v>
      </c>
      <c r="AW68">
        <v>19800</v>
      </c>
    </row>
    <row r="69" spans="1:49">
      <c r="A69">
        <v>124</v>
      </c>
      <c r="B69" t="s">
        <v>562</v>
      </c>
      <c r="C69" s="59">
        <v>45454</v>
      </c>
      <c r="D69" t="s">
        <v>1753</v>
      </c>
      <c r="E69" t="s">
        <v>561</v>
      </c>
      <c r="F69" t="s">
        <v>1754</v>
      </c>
      <c r="G69" t="s">
        <v>1755</v>
      </c>
      <c r="H69" t="s">
        <v>1756</v>
      </c>
      <c r="I69" s="59">
        <v>45454</v>
      </c>
      <c r="J69" t="s">
        <v>563</v>
      </c>
      <c r="K69" t="s">
        <v>1751</v>
      </c>
      <c r="L69" s="59"/>
      <c r="M69" t="s">
        <v>26</v>
      </c>
      <c r="N69" t="s">
        <v>353</v>
      </c>
      <c r="O69">
        <v>1</v>
      </c>
      <c r="P69" t="s">
        <v>1750</v>
      </c>
      <c r="Q69" t="s">
        <v>1757</v>
      </c>
      <c r="S69" t="s">
        <v>1758</v>
      </c>
      <c r="W69">
        <v>22190</v>
      </c>
      <c r="X69">
        <v>2470</v>
      </c>
      <c r="Y69">
        <v>0</v>
      </c>
      <c r="Z69">
        <v>3500</v>
      </c>
      <c r="AA69">
        <v>0</v>
      </c>
      <c r="AB69">
        <v>0</v>
      </c>
      <c r="AD69" t="s">
        <v>25</v>
      </c>
      <c r="AF69">
        <v>23290</v>
      </c>
      <c r="AG69">
        <v>15070</v>
      </c>
      <c r="AH69">
        <v>22190</v>
      </c>
      <c r="AI69">
        <v>18570</v>
      </c>
      <c r="AJ69">
        <v>963</v>
      </c>
      <c r="AK69">
        <v>2657</v>
      </c>
      <c r="AL69">
        <v>0.1197</v>
      </c>
      <c r="AN69" t="s">
        <v>834</v>
      </c>
      <c r="AP69">
        <v>22190</v>
      </c>
      <c r="AQ69">
        <v>18570</v>
      </c>
      <c r="AR69">
        <v>963</v>
      </c>
      <c r="AS69">
        <v>2657</v>
      </c>
      <c r="AT69">
        <v>0.1197</v>
      </c>
      <c r="AU69" t="s">
        <v>560</v>
      </c>
      <c r="AV69">
        <v>0</v>
      </c>
      <c r="AW69">
        <v>15070</v>
      </c>
    </row>
    <row r="70" spans="1:49">
      <c r="A70">
        <v>125</v>
      </c>
      <c r="B70" t="s">
        <v>562</v>
      </c>
      <c r="C70" s="59">
        <v>45454</v>
      </c>
      <c r="D70" t="s">
        <v>1761</v>
      </c>
      <c r="E70" t="s">
        <v>561</v>
      </c>
      <c r="F70" t="s">
        <v>1754</v>
      </c>
      <c r="G70" t="s">
        <v>1755</v>
      </c>
      <c r="H70" t="s">
        <v>1756</v>
      </c>
      <c r="I70" s="59">
        <v>45454</v>
      </c>
      <c r="J70" t="s">
        <v>563</v>
      </c>
      <c r="K70" t="s">
        <v>1751</v>
      </c>
      <c r="L70" s="59"/>
      <c r="M70" t="s">
        <v>84</v>
      </c>
      <c r="N70" t="s">
        <v>354</v>
      </c>
      <c r="O70">
        <v>1</v>
      </c>
      <c r="P70" t="s">
        <v>1750</v>
      </c>
      <c r="Q70" t="s">
        <v>1757</v>
      </c>
      <c r="S70" t="s">
        <v>1758</v>
      </c>
      <c r="W70">
        <v>5880</v>
      </c>
      <c r="X70">
        <v>0</v>
      </c>
      <c r="Y70">
        <v>0</v>
      </c>
      <c r="Z70">
        <v>0</v>
      </c>
      <c r="AA70">
        <v>0</v>
      </c>
      <c r="AB70">
        <v>0</v>
      </c>
      <c r="AD70" t="s">
        <v>83</v>
      </c>
      <c r="AE70" t="s">
        <v>822</v>
      </c>
      <c r="AF70">
        <v>5120</v>
      </c>
      <c r="AG70">
        <v>3410</v>
      </c>
      <c r="AH70">
        <v>5880</v>
      </c>
      <c r="AI70">
        <v>3410</v>
      </c>
      <c r="AJ70">
        <v>314</v>
      </c>
      <c r="AK70">
        <v>2156</v>
      </c>
      <c r="AL70">
        <v>0.36670000000000003</v>
      </c>
      <c r="AN70" t="s">
        <v>834</v>
      </c>
      <c r="AP70">
        <v>5880</v>
      </c>
      <c r="AQ70">
        <v>3410</v>
      </c>
      <c r="AR70">
        <v>314</v>
      </c>
      <c r="AS70">
        <v>2156</v>
      </c>
      <c r="AT70">
        <v>0.36670000000000003</v>
      </c>
      <c r="AU70" t="s">
        <v>560</v>
      </c>
      <c r="AV70">
        <v>0</v>
      </c>
      <c r="AW70">
        <v>3410</v>
      </c>
    </row>
    <row r="71" spans="1:49">
      <c r="A71">
        <v>126</v>
      </c>
      <c r="B71" t="s">
        <v>562</v>
      </c>
      <c r="C71" s="59">
        <v>45454</v>
      </c>
      <c r="D71" t="s">
        <v>1763</v>
      </c>
      <c r="E71" t="s">
        <v>561</v>
      </c>
      <c r="F71" t="s">
        <v>1754</v>
      </c>
      <c r="G71" t="s">
        <v>1755</v>
      </c>
      <c r="H71" t="s">
        <v>1756</v>
      </c>
      <c r="I71" s="59">
        <v>45454</v>
      </c>
      <c r="J71" t="s">
        <v>563</v>
      </c>
      <c r="K71" t="s">
        <v>1751</v>
      </c>
      <c r="L71" s="59"/>
      <c r="M71" t="s">
        <v>22</v>
      </c>
      <c r="N71" t="s">
        <v>353</v>
      </c>
      <c r="O71">
        <v>1</v>
      </c>
      <c r="P71" t="s">
        <v>1750</v>
      </c>
      <c r="Q71" t="s">
        <v>1757</v>
      </c>
      <c r="S71" t="s">
        <v>1758</v>
      </c>
      <c r="W71">
        <v>18630</v>
      </c>
      <c r="X71">
        <v>2070</v>
      </c>
      <c r="Y71">
        <v>0</v>
      </c>
      <c r="Z71">
        <v>0</v>
      </c>
      <c r="AA71">
        <v>0</v>
      </c>
      <c r="AB71">
        <v>0</v>
      </c>
      <c r="AD71" t="s">
        <v>21</v>
      </c>
      <c r="AE71" t="s">
        <v>822</v>
      </c>
      <c r="AF71">
        <v>19550</v>
      </c>
      <c r="AG71">
        <v>12650</v>
      </c>
      <c r="AH71">
        <v>18630</v>
      </c>
      <c r="AI71">
        <v>12650</v>
      </c>
      <c r="AJ71">
        <v>821</v>
      </c>
      <c r="AK71">
        <v>5159</v>
      </c>
      <c r="AL71">
        <v>0.27689999999999998</v>
      </c>
      <c r="AN71" t="s">
        <v>834</v>
      </c>
      <c r="AP71">
        <v>18630</v>
      </c>
      <c r="AQ71">
        <v>12650</v>
      </c>
      <c r="AR71">
        <v>821</v>
      </c>
      <c r="AS71">
        <v>5159</v>
      </c>
      <c r="AT71">
        <v>0.27689999999999998</v>
      </c>
      <c r="AU71" t="s">
        <v>560</v>
      </c>
      <c r="AV71">
        <v>0</v>
      </c>
      <c r="AW71">
        <v>12650</v>
      </c>
    </row>
    <row r="72" spans="1:49">
      <c r="A72">
        <v>127</v>
      </c>
      <c r="B72" t="s">
        <v>562</v>
      </c>
      <c r="C72" s="59">
        <v>45453</v>
      </c>
      <c r="D72" t="s">
        <v>1767</v>
      </c>
      <c r="E72" t="s">
        <v>561</v>
      </c>
      <c r="F72" t="s">
        <v>1768</v>
      </c>
      <c r="G72" t="s">
        <v>1769</v>
      </c>
      <c r="H72" t="s">
        <v>1770</v>
      </c>
      <c r="I72" s="59">
        <v>45454</v>
      </c>
      <c r="J72" t="s">
        <v>563</v>
      </c>
      <c r="K72" t="s">
        <v>1765</v>
      </c>
      <c r="L72" s="59"/>
      <c r="M72" t="s">
        <v>38</v>
      </c>
      <c r="N72" t="s">
        <v>353</v>
      </c>
      <c r="O72">
        <v>2</v>
      </c>
      <c r="P72" t="s">
        <v>1764</v>
      </c>
      <c r="Q72" t="s">
        <v>1770</v>
      </c>
      <c r="S72" t="s">
        <v>1771</v>
      </c>
      <c r="T72" t="s">
        <v>1772</v>
      </c>
      <c r="W72">
        <v>42120</v>
      </c>
      <c r="X72">
        <v>4680</v>
      </c>
      <c r="Y72">
        <v>0</v>
      </c>
      <c r="Z72">
        <v>4400</v>
      </c>
      <c r="AA72">
        <v>3000</v>
      </c>
      <c r="AB72">
        <v>0</v>
      </c>
      <c r="AD72" t="s">
        <v>37</v>
      </c>
      <c r="AF72">
        <v>22100</v>
      </c>
      <c r="AG72">
        <v>14300</v>
      </c>
      <c r="AH72">
        <v>42120</v>
      </c>
      <c r="AI72">
        <v>33000</v>
      </c>
      <c r="AJ72">
        <v>1756</v>
      </c>
      <c r="AK72">
        <v>7364</v>
      </c>
      <c r="AL72">
        <v>0.17480000000000001</v>
      </c>
      <c r="AN72" t="s">
        <v>834</v>
      </c>
      <c r="AP72">
        <v>45120</v>
      </c>
      <c r="AQ72">
        <v>36000</v>
      </c>
      <c r="AR72">
        <v>1756</v>
      </c>
      <c r="AS72">
        <v>7364</v>
      </c>
      <c r="AT72">
        <v>0.16320000000000001</v>
      </c>
      <c r="AU72" t="s">
        <v>875</v>
      </c>
      <c r="AV72">
        <v>0</v>
      </c>
      <c r="AW72">
        <v>28600</v>
      </c>
    </row>
    <row r="73" spans="1:49">
      <c r="A73">
        <v>128</v>
      </c>
      <c r="B73" t="s">
        <v>562</v>
      </c>
      <c r="C73" s="59">
        <v>45453</v>
      </c>
      <c r="D73" t="s">
        <v>1774</v>
      </c>
      <c r="E73" t="s">
        <v>561</v>
      </c>
      <c r="F73" t="s">
        <v>1768</v>
      </c>
      <c r="G73" t="s">
        <v>1769</v>
      </c>
      <c r="H73" t="s">
        <v>1770</v>
      </c>
      <c r="I73" s="59">
        <v>45454</v>
      </c>
      <c r="J73" t="s">
        <v>563</v>
      </c>
      <c r="K73" t="s">
        <v>1765</v>
      </c>
      <c r="L73" s="59"/>
      <c r="M73" t="s">
        <v>36</v>
      </c>
      <c r="N73" t="s">
        <v>353</v>
      </c>
      <c r="O73">
        <v>1</v>
      </c>
      <c r="P73" t="s">
        <v>1764</v>
      </c>
      <c r="Q73" t="s">
        <v>1770</v>
      </c>
      <c r="S73" t="s">
        <v>1771</v>
      </c>
      <c r="T73" t="s">
        <v>1772</v>
      </c>
      <c r="W73">
        <v>24300</v>
      </c>
      <c r="X73">
        <v>2700</v>
      </c>
      <c r="Y73">
        <v>0</v>
      </c>
      <c r="Z73">
        <v>0</v>
      </c>
      <c r="AA73">
        <v>3000</v>
      </c>
      <c r="AB73">
        <v>0</v>
      </c>
      <c r="AD73" t="s">
        <v>35</v>
      </c>
      <c r="AE73" t="s">
        <v>822</v>
      </c>
      <c r="AF73">
        <v>25500</v>
      </c>
      <c r="AG73">
        <v>16500</v>
      </c>
      <c r="AH73">
        <v>24300</v>
      </c>
      <c r="AI73">
        <v>16500</v>
      </c>
      <c r="AJ73">
        <v>1047</v>
      </c>
      <c r="AK73">
        <v>6753</v>
      </c>
      <c r="AL73">
        <v>0.27789999999999998</v>
      </c>
      <c r="AN73" t="s">
        <v>834</v>
      </c>
      <c r="AP73">
        <v>27300</v>
      </c>
      <c r="AQ73">
        <v>19500</v>
      </c>
      <c r="AR73">
        <v>1047</v>
      </c>
      <c r="AS73">
        <v>6753</v>
      </c>
      <c r="AT73">
        <v>0.24740000000000001</v>
      </c>
      <c r="AU73" t="s">
        <v>875</v>
      </c>
      <c r="AV73">
        <v>0</v>
      </c>
      <c r="AW73">
        <v>16500</v>
      </c>
    </row>
    <row r="74" spans="1:49">
      <c r="A74">
        <v>129</v>
      </c>
      <c r="B74" t="s">
        <v>562</v>
      </c>
      <c r="C74" s="59">
        <v>45449</v>
      </c>
      <c r="D74" t="s">
        <v>1779</v>
      </c>
      <c r="E74" t="s">
        <v>561</v>
      </c>
      <c r="F74" t="s">
        <v>1775</v>
      </c>
      <c r="G74" t="s">
        <v>1780</v>
      </c>
      <c r="H74" t="s">
        <v>1781</v>
      </c>
      <c r="I74" s="59">
        <v>45454</v>
      </c>
      <c r="J74" t="s">
        <v>563</v>
      </c>
      <c r="K74" t="s">
        <v>1777</v>
      </c>
      <c r="L74" s="59"/>
      <c r="M74" t="s">
        <v>243</v>
      </c>
      <c r="N74" t="s">
        <v>380</v>
      </c>
      <c r="O74">
        <v>30</v>
      </c>
      <c r="P74" t="s">
        <v>1775</v>
      </c>
      <c r="Q74" t="s">
        <v>1781</v>
      </c>
      <c r="S74" t="s">
        <v>1782</v>
      </c>
      <c r="W74">
        <v>51000</v>
      </c>
      <c r="X74">
        <v>0</v>
      </c>
      <c r="Y74">
        <v>0</v>
      </c>
      <c r="Z74">
        <v>4400</v>
      </c>
      <c r="AA74">
        <v>0</v>
      </c>
      <c r="AB74">
        <v>0</v>
      </c>
      <c r="AD74" t="s">
        <v>390</v>
      </c>
      <c r="AF74">
        <v>1640</v>
      </c>
      <c r="AG74">
        <v>1045</v>
      </c>
      <c r="AH74">
        <v>51000</v>
      </c>
      <c r="AI74">
        <v>35750</v>
      </c>
      <c r="AJ74">
        <v>2110</v>
      </c>
      <c r="AK74">
        <v>13140</v>
      </c>
      <c r="AL74">
        <v>0.2576</v>
      </c>
      <c r="AN74" t="s">
        <v>834</v>
      </c>
      <c r="AP74">
        <v>51000</v>
      </c>
      <c r="AQ74">
        <v>35750</v>
      </c>
      <c r="AR74">
        <v>2110</v>
      </c>
      <c r="AS74">
        <v>13140</v>
      </c>
      <c r="AT74">
        <v>0.2576</v>
      </c>
      <c r="AU74" t="s">
        <v>560</v>
      </c>
      <c r="AV74">
        <v>0</v>
      </c>
      <c r="AW74">
        <v>31350</v>
      </c>
    </row>
    <row r="75" spans="1:49">
      <c r="A75">
        <v>130</v>
      </c>
      <c r="B75" t="s">
        <v>562</v>
      </c>
      <c r="C75" s="59">
        <v>45449</v>
      </c>
      <c r="D75" t="s">
        <v>1785</v>
      </c>
      <c r="E75" t="s">
        <v>561</v>
      </c>
      <c r="F75" t="s">
        <v>1775</v>
      </c>
      <c r="G75" t="s">
        <v>1780</v>
      </c>
      <c r="H75" t="s">
        <v>1781</v>
      </c>
      <c r="I75" s="59">
        <v>45454</v>
      </c>
      <c r="J75" t="s">
        <v>563</v>
      </c>
      <c r="K75" t="s">
        <v>1777</v>
      </c>
      <c r="L75" s="59"/>
      <c r="M75" t="s">
        <v>206</v>
      </c>
      <c r="N75" t="s">
        <v>380</v>
      </c>
      <c r="O75">
        <v>2</v>
      </c>
      <c r="P75" t="s">
        <v>1775</v>
      </c>
      <c r="Q75" t="s">
        <v>1781</v>
      </c>
      <c r="S75" t="s">
        <v>1782</v>
      </c>
      <c r="W75">
        <v>7740</v>
      </c>
      <c r="X75">
        <v>0</v>
      </c>
      <c r="Y75">
        <v>0</v>
      </c>
      <c r="Z75">
        <v>0</v>
      </c>
      <c r="AA75">
        <v>0</v>
      </c>
      <c r="AB75">
        <v>0</v>
      </c>
      <c r="AD75" t="s">
        <v>1978</v>
      </c>
      <c r="AE75" t="s">
        <v>822</v>
      </c>
      <c r="AF75">
        <v>3700</v>
      </c>
      <c r="AG75">
        <v>2365</v>
      </c>
      <c r="AH75">
        <v>7740</v>
      </c>
      <c r="AI75">
        <v>4730</v>
      </c>
      <c r="AJ75">
        <v>388</v>
      </c>
      <c r="AK75">
        <v>2622</v>
      </c>
      <c r="AL75">
        <v>0.33879999999999999</v>
      </c>
      <c r="AN75" t="s">
        <v>834</v>
      </c>
      <c r="AP75">
        <v>7740</v>
      </c>
      <c r="AQ75">
        <v>4730</v>
      </c>
      <c r="AR75">
        <v>388</v>
      </c>
      <c r="AS75">
        <v>2622</v>
      </c>
      <c r="AT75">
        <v>0.33879999999999999</v>
      </c>
      <c r="AU75" t="s">
        <v>560</v>
      </c>
      <c r="AV75">
        <v>0</v>
      </c>
      <c r="AW75">
        <v>4730</v>
      </c>
    </row>
    <row r="76" spans="1:49">
      <c r="A76">
        <v>131</v>
      </c>
      <c r="B76" t="s">
        <v>562</v>
      </c>
      <c r="C76" s="59">
        <v>45453</v>
      </c>
      <c r="D76" t="s">
        <v>1788</v>
      </c>
      <c r="E76" t="s">
        <v>568</v>
      </c>
      <c r="F76" t="s">
        <v>1786</v>
      </c>
      <c r="G76" t="s">
        <v>1789</v>
      </c>
      <c r="H76" t="s">
        <v>1790</v>
      </c>
      <c r="I76" s="59">
        <v>45454</v>
      </c>
      <c r="J76" t="s">
        <v>563</v>
      </c>
      <c r="K76" t="s">
        <v>1787</v>
      </c>
      <c r="L76" s="59"/>
      <c r="M76" t="s">
        <v>133</v>
      </c>
      <c r="N76" t="s">
        <v>353</v>
      </c>
      <c r="O76">
        <v>35</v>
      </c>
      <c r="P76" t="s">
        <v>1786</v>
      </c>
      <c r="Q76" t="s">
        <v>1790</v>
      </c>
      <c r="S76" t="s">
        <v>1791</v>
      </c>
      <c r="T76" t="s">
        <v>571</v>
      </c>
      <c r="W76">
        <v>32900</v>
      </c>
      <c r="X76">
        <v>0</v>
      </c>
      <c r="Y76">
        <v>3000</v>
      </c>
      <c r="Z76">
        <v>3500</v>
      </c>
      <c r="AA76">
        <v>0</v>
      </c>
      <c r="AB76">
        <v>0</v>
      </c>
      <c r="AD76" t="s">
        <v>132</v>
      </c>
      <c r="AF76">
        <v>890</v>
      </c>
      <c r="AG76">
        <v>550</v>
      </c>
      <c r="AH76">
        <v>35900</v>
      </c>
      <c r="AI76">
        <v>22750</v>
      </c>
      <c r="AJ76">
        <v>4008</v>
      </c>
      <c r="AK76">
        <v>9142</v>
      </c>
      <c r="AL76">
        <v>0.25469999999999998</v>
      </c>
      <c r="AN76" t="s">
        <v>834</v>
      </c>
      <c r="AP76">
        <v>35900</v>
      </c>
      <c r="AQ76">
        <v>22750</v>
      </c>
      <c r="AR76">
        <v>4008</v>
      </c>
      <c r="AS76">
        <v>9142</v>
      </c>
      <c r="AT76">
        <v>0.25469999999999998</v>
      </c>
      <c r="AU76" t="s">
        <v>560</v>
      </c>
      <c r="AV76">
        <v>0</v>
      </c>
      <c r="AW76">
        <v>19250</v>
      </c>
    </row>
    <row r="77" spans="1:49">
      <c r="A77">
        <v>132</v>
      </c>
      <c r="B77" t="s">
        <v>562</v>
      </c>
      <c r="C77" s="59">
        <v>45453</v>
      </c>
      <c r="D77" t="s">
        <v>1795</v>
      </c>
      <c r="E77" t="s">
        <v>568</v>
      </c>
      <c r="F77" t="s">
        <v>1793</v>
      </c>
      <c r="G77" t="s">
        <v>1796</v>
      </c>
      <c r="H77" t="s">
        <v>1797</v>
      </c>
      <c r="I77" s="59">
        <v>45454</v>
      </c>
      <c r="J77" t="s">
        <v>563</v>
      </c>
      <c r="K77" t="s">
        <v>1794</v>
      </c>
      <c r="L77" s="59"/>
      <c r="M77" t="s">
        <v>18</v>
      </c>
      <c r="N77" t="s">
        <v>353</v>
      </c>
      <c r="O77">
        <v>3</v>
      </c>
      <c r="P77" t="s">
        <v>1793</v>
      </c>
      <c r="Q77" t="s">
        <v>1797</v>
      </c>
      <c r="S77" t="s">
        <v>1798</v>
      </c>
      <c r="T77" t="s">
        <v>571</v>
      </c>
      <c r="W77">
        <v>37410</v>
      </c>
      <c r="X77">
        <v>0</v>
      </c>
      <c r="Y77">
        <v>0</v>
      </c>
      <c r="Z77">
        <v>3500</v>
      </c>
      <c r="AA77">
        <v>0</v>
      </c>
      <c r="AB77">
        <v>0</v>
      </c>
      <c r="AD77" t="s">
        <v>17</v>
      </c>
      <c r="AF77">
        <v>11780</v>
      </c>
      <c r="AG77">
        <v>7260</v>
      </c>
      <c r="AH77">
        <v>37410</v>
      </c>
      <c r="AI77">
        <v>25280</v>
      </c>
      <c r="AJ77">
        <v>4444</v>
      </c>
      <c r="AK77">
        <v>7686</v>
      </c>
      <c r="AL77">
        <v>0.20549999999999999</v>
      </c>
      <c r="AN77" t="s">
        <v>834</v>
      </c>
      <c r="AP77">
        <v>37410</v>
      </c>
      <c r="AQ77">
        <v>25280</v>
      </c>
      <c r="AR77">
        <v>4444</v>
      </c>
      <c r="AS77">
        <v>7686</v>
      </c>
      <c r="AT77">
        <v>0.20549999999999999</v>
      </c>
      <c r="AU77" t="s">
        <v>560</v>
      </c>
      <c r="AV77">
        <v>0</v>
      </c>
      <c r="AW77">
        <v>21780</v>
      </c>
    </row>
    <row r="78" spans="1:49">
      <c r="A78">
        <v>133</v>
      </c>
      <c r="B78" t="s">
        <v>562</v>
      </c>
      <c r="C78" s="59">
        <v>45453</v>
      </c>
      <c r="D78" t="s">
        <v>1802</v>
      </c>
      <c r="E78" t="s">
        <v>568</v>
      </c>
      <c r="F78" t="s">
        <v>1800</v>
      </c>
      <c r="G78" t="s">
        <v>1803</v>
      </c>
      <c r="H78" t="s">
        <v>1804</v>
      </c>
      <c r="I78" s="59">
        <v>45454</v>
      </c>
      <c r="J78" t="s">
        <v>563</v>
      </c>
      <c r="K78" t="s">
        <v>1801</v>
      </c>
      <c r="L78" s="59"/>
      <c r="M78" t="s">
        <v>98</v>
      </c>
      <c r="N78" t="s">
        <v>353</v>
      </c>
      <c r="O78">
        <v>5</v>
      </c>
      <c r="P78" t="s">
        <v>1800</v>
      </c>
      <c r="Q78" t="s">
        <v>1804</v>
      </c>
      <c r="S78" t="s">
        <v>1805</v>
      </c>
      <c r="T78" t="s">
        <v>571</v>
      </c>
      <c r="W78">
        <v>30600</v>
      </c>
      <c r="X78">
        <v>3400</v>
      </c>
      <c r="Y78">
        <v>0</v>
      </c>
      <c r="Z78">
        <v>3500</v>
      </c>
      <c r="AA78">
        <v>0</v>
      </c>
      <c r="AB78">
        <v>0</v>
      </c>
      <c r="AD78" t="s">
        <v>1980</v>
      </c>
      <c r="AF78">
        <v>6430</v>
      </c>
      <c r="AG78">
        <v>3960</v>
      </c>
      <c r="AH78">
        <v>30600</v>
      </c>
      <c r="AI78">
        <v>23300</v>
      </c>
      <c r="AJ78">
        <v>3635</v>
      </c>
      <c r="AK78">
        <v>3665</v>
      </c>
      <c r="AL78">
        <v>0.1198</v>
      </c>
      <c r="AN78" t="s">
        <v>834</v>
      </c>
      <c r="AP78">
        <v>30600</v>
      </c>
      <c r="AQ78">
        <v>23300</v>
      </c>
      <c r="AR78">
        <v>3635</v>
      </c>
      <c r="AS78">
        <v>3665</v>
      </c>
      <c r="AT78">
        <v>0.1198</v>
      </c>
      <c r="AU78" t="s">
        <v>560</v>
      </c>
      <c r="AV78">
        <v>0</v>
      </c>
      <c r="AW78">
        <v>19800</v>
      </c>
    </row>
    <row r="79" spans="1:49">
      <c r="A79">
        <v>134</v>
      </c>
      <c r="B79" t="s">
        <v>562</v>
      </c>
      <c r="C79" s="59">
        <v>45453</v>
      </c>
      <c r="D79" t="s">
        <v>1809</v>
      </c>
      <c r="E79" t="s">
        <v>568</v>
      </c>
      <c r="F79" t="s">
        <v>1807</v>
      </c>
      <c r="G79" t="s">
        <v>1810</v>
      </c>
      <c r="H79" t="s">
        <v>1811</v>
      </c>
      <c r="I79" s="59">
        <v>45454</v>
      </c>
      <c r="J79" t="s">
        <v>563</v>
      </c>
      <c r="K79" t="s">
        <v>1808</v>
      </c>
      <c r="L79" s="59"/>
      <c r="M79" t="s">
        <v>129</v>
      </c>
      <c r="N79" t="s">
        <v>353</v>
      </c>
      <c r="O79">
        <v>1</v>
      </c>
      <c r="P79" t="s">
        <v>1807</v>
      </c>
      <c r="Q79" t="s">
        <v>1811</v>
      </c>
      <c r="S79" t="s">
        <v>1812</v>
      </c>
      <c r="T79" t="s">
        <v>571</v>
      </c>
      <c r="W79">
        <v>1150</v>
      </c>
      <c r="X79">
        <v>0</v>
      </c>
      <c r="Y79">
        <v>3000</v>
      </c>
      <c r="Z79">
        <v>3000</v>
      </c>
      <c r="AA79">
        <v>0</v>
      </c>
      <c r="AB79">
        <v>0</v>
      </c>
      <c r="AD79" t="s">
        <v>128</v>
      </c>
      <c r="AF79">
        <v>1070</v>
      </c>
      <c r="AG79">
        <v>660</v>
      </c>
      <c r="AH79">
        <v>4150</v>
      </c>
      <c r="AI79">
        <v>3660</v>
      </c>
      <c r="AJ79">
        <v>236</v>
      </c>
      <c r="AK79">
        <v>254</v>
      </c>
      <c r="AL79">
        <v>6.1199999999999997E-2</v>
      </c>
      <c r="AN79" t="s">
        <v>834</v>
      </c>
      <c r="AP79">
        <v>4150</v>
      </c>
      <c r="AQ79">
        <v>3660</v>
      </c>
      <c r="AR79">
        <v>236</v>
      </c>
      <c r="AS79">
        <v>254</v>
      </c>
      <c r="AT79">
        <v>6.1199999999999997E-2</v>
      </c>
      <c r="AU79" t="s">
        <v>560</v>
      </c>
      <c r="AV79">
        <v>0</v>
      </c>
      <c r="AW79">
        <v>660</v>
      </c>
    </row>
    <row r="80" spans="1:49">
      <c r="A80">
        <v>139</v>
      </c>
      <c r="B80" t="s">
        <v>562</v>
      </c>
      <c r="C80" s="59">
        <v>45455</v>
      </c>
      <c r="D80" t="s">
        <v>1848</v>
      </c>
      <c r="E80" t="s">
        <v>568</v>
      </c>
      <c r="F80" t="s">
        <v>1846</v>
      </c>
      <c r="G80" t="s">
        <v>1849</v>
      </c>
      <c r="H80" t="s">
        <v>1850</v>
      </c>
      <c r="I80" s="59">
        <v>45455</v>
      </c>
      <c r="J80" t="s">
        <v>563</v>
      </c>
      <c r="K80" t="s">
        <v>1847</v>
      </c>
      <c r="L80" s="59"/>
      <c r="M80" t="s">
        <v>38</v>
      </c>
      <c r="N80" t="s">
        <v>353</v>
      </c>
      <c r="O80">
        <v>1</v>
      </c>
      <c r="P80" t="s">
        <v>1846</v>
      </c>
      <c r="Q80" t="s">
        <v>1850</v>
      </c>
      <c r="S80" t="s">
        <v>1851</v>
      </c>
      <c r="T80" t="s">
        <v>569</v>
      </c>
      <c r="W80">
        <v>24570</v>
      </c>
      <c r="X80">
        <v>0</v>
      </c>
      <c r="Y80">
        <v>3000</v>
      </c>
      <c r="Z80">
        <v>3000</v>
      </c>
      <c r="AA80">
        <v>0</v>
      </c>
      <c r="AB80">
        <v>0</v>
      </c>
      <c r="AD80" t="s">
        <v>37</v>
      </c>
      <c r="AF80">
        <v>23210</v>
      </c>
      <c r="AG80">
        <v>14300</v>
      </c>
      <c r="AH80">
        <v>27570</v>
      </c>
      <c r="AI80">
        <v>17300</v>
      </c>
      <c r="AJ80">
        <v>3018</v>
      </c>
      <c r="AK80">
        <v>7252</v>
      </c>
      <c r="AL80">
        <v>0.26300000000000001</v>
      </c>
      <c r="AN80" t="s">
        <v>834</v>
      </c>
      <c r="AP80">
        <v>27570</v>
      </c>
      <c r="AQ80">
        <v>17300</v>
      </c>
      <c r="AR80">
        <v>3018</v>
      </c>
      <c r="AS80">
        <v>7252</v>
      </c>
      <c r="AT80">
        <v>0.26300000000000001</v>
      </c>
      <c r="AU80" t="s">
        <v>560</v>
      </c>
      <c r="AV80">
        <v>0</v>
      </c>
      <c r="AW80">
        <v>14300</v>
      </c>
    </row>
    <row r="81" spans="1:49">
      <c r="A81">
        <v>141</v>
      </c>
      <c r="B81" t="s">
        <v>562</v>
      </c>
      <c r="C81" s="59">
        <v>45454</v>
      </c>
      <c r="D81" t="s">
        <v>1863</v>
      </c>
      <c r="E81" t="s">
        <v>561</v>
      </c>
      <c r="F81" t="s">
        <v>1860</v>
      </c>
      <c r="G81" t="s">
        <v>1864</v>
      </c>
      <c r="H81" t="s">
        <v>1865</v>
      </c>
      <c r="I81" s="59">
        <v>45455</v>
      </c>
      <c r="J81" t="s">
        <v>563</v>
      </c>
      <c r="K81" t="s">
        <v>1861</v>
      </c>
      <c r="L81" s="59"/>
      <c r="M81" t="s">
        <v>18</v>
      </c>
      <c r="N81" t="s">
        <v>353</v>
      </c>
      <c r="O81">
        <v>1</v>
      </c>
      <c r="P81" t="s">
        <v>1860</v>
      </c>
      <c r="Q81" t="s">
        <v>1865</v>
      </c>
      <c r="S81" t="s">
        <v>1866</v>
      </c>
      <c r="T81" t="s">
        <v>1354</v>
      </c>
      <c r="W81">
        <v>10690</v>
      </c>
      <c r="X81">
        <v>1190</v>
      </c>
      <c r="Y81">
        <v>3000</v>
      </c>
      <c r="Z81">
        <v>3000</v>
      </c>
      <c r="AA81">
        <v>0</v>
      </c>
      <c r="AB81">
        <v>0</v>
      </c>
      <c r="AD81" t="s">
        <v>17</v>
      </c>
      <c r="AF81">
        <v>11220</v>
      </c>
      <c r="AG81">
        <v>7260</v>
      </c>
      <c r="AH81">
        <v>13690</v>
      </c>
      <c r="AI81">
        <v>10260</v>
      </c>
      <c r="AJ81">
        <v>564</v>
      </c>
      <c r="AK81">
        <v>2866</v>
      </c>
      <c r="AL81">
        <v>0.20930000000000001</v>
      </c>
      <c r="AN81" t="s">
        <v>834</v>
      </c>
      <c r="AP81">
        <v>13690</v>
      </c>
      <c r="AQ81">
        <v>10260</v>
      </c>
      <c r="AR81">
        <v>564</v>
      </c>
      <c r="AS81">
        <v>2866</v>
      </c>
      <c r="AT81">
        <v>0.20930000000000001</v>
      </c>
      <c r="AU81" t="s">
        <v>560</v>
      </c>
      <c r="AV81">
        <v>0</v>
      </c>
      <c r="AW81">
        <v>7260</v>
      </c>
    </row>
    <row r="82" spans="1:49">
      <c r="A82">
        <v>142</v>
      </c>
      <c r="B82" t="s">
        <v>562</v>
      </c>
      <c r="C82" s="59">
        <v>45454</v>
      </c>
      <c r="D82" t="s">
        <v>1872</v>
      </c>
      <c r="E82" t="s">
        <v>561</v>
      </c>
      <c r="F82" t="s">
        <v>1868</v>
      </c>
      <c r="G82" t="s">
        <v>1873</v>
      </c>
      <c r="H82" t="s">
        <v>1874</v>
      </c>
      <c r="I82" s="59">
        <v>45455</v>
      </c>
      <c r="J82" t="s">
        <v>563</v>
      </c>
      <c r="K82" t="s">
        <v>1870</v>
      </c>
      <c r="L82" s="59"/>
      <c r="M82" t="s">
        <v>247</v>
      </c>
      <c r="N82" t="s">
        <v>354</v>
      </c>
      <c r="O82">
        <v>50</v>
      </c>
      <c r="P82" t="s">
        <v>1868</v>
      </c>
      <c r="Q82" t="s">
        <v>1874</v>
      </c>
      <c r="R82" t="s">
        <v>1875</v>
      </c>
      <c r="S82" t="s">
        <v>1876</v>
      </c>
      <c r="T82" t="s">
        <v>1261</v>
      </c>
      <c r="W82">
        <v>65500</v>
      </c>
      <c r="X82">
        <v>0</v>
      </c>
      <c r="Y82">
        <v>0</v>
      </c>
      <c r="Z82">
        <v>0</v>
      </c>
      <c r="AA82">
        <v>0</v>
      </c>
      <c r="AB82">
        <v>0</v>
      </c>
      <c r="AD82" t="s">
        <v>1983</v>
      </c>
      <c r="AF82">
        <v>1250</v>
      </c>
      <c r="AG82">
        <v>798</v>
      </c>
      <c r="AH82">
        <v>65500</v>
      </c>
      <c r="AI82">
        <v>39900</v>
      </c>
      <c r="AJ82">
        <v>2687</v>
      </c>
      <c r="AK82">
        <v>22913</v>
      </c>
      <c r="AL82">
        <v>0.3498</v>
      </c>
      <c r="AN82" t="s">
        <v>834</v>
      </c>
      <c r="AP82">
        <v>65500</v>
      </c>
      <c r="AQ82">
        <v>39900</v>
      </c>
      <c r="AR82">
        <v>2687</v>
      </c>
      <c r="AS82">
        <v>22913</v>
      </c>
      <c r="AT82">
        <v>0.3498</v>
      </c>
      <c r="AU82" t="s">
        <v>560</v>
      </c>
      <c r="AV82">
        <v>0</v>
      </c>
      <c r="AW82">
        <v>39900</v>
      </c>
    </row>
    <row r="83" spans="1:49">
      <c r="A83">
        <v>149</v>
      </c>
      <c r="B83" t="s">
        <v>562</v>
      </c>
      <c r="C83" s="59">
        <v>45455</v>
      </c>
      <c r="D83" t="s">
        <v>713</v>
      </c>
      <c r="E83" t="s">
        <v>568</v>
      </c>
      <c r="F83" t="s">
        <v>711</v>
      </c>
      <c r="G83" t="s">
        <v>714</v>
      </c>
      <c r="H83" t="s">
        <v>715</v>
      </c>
      <c r="I83" s="59">
        <v>45456</v>
      </c>
      <c r="J83" t="s">
        <v>563</v>
      </c>
      <c r="K83" t="s">
        <v>712</v>
      </c>
      <c r="L83" s="59"/>
      <c r="M83" t="s">
        <v>133</v>
      </c>
      <c r="N83" t="s">
        <v>353</v>
      </c>
      <c r="O83">
        <v>1</v>
      </c>
      <c r="P83" t="s">
        <v>711</v>
      </c>
      <c r="Q83" t="s">
        <v>715</v>
      </c>
      <c r="S83" t="s">
        <v>716</v>
      </c>
      <c r="T83" t="s">
        <v>571</v>
      </c>
      <c r="W83">
        <v>940</v>
      </c>
      <c r="X83">
        <v>0</v>
      </c>
      <c r="Y83">
        <v>3000</v>
      </c>
      <c r="Z83">
        <v>3000</v>
      </c>
      <c r="AA83">
        <v>0</v>
      </c>
      <c r="AB83">
        <v>0</v>
      </c>
      <c r="AD83" t="s">
        <v>132</v>
      </c>
      <c r="AF83">
        <v>890</v>
      </c>
      <c r="AG83">
        <v>550</v>
      </c>
      <c r="AH83">
        <v>3940</v>
      </c>
      <c r="AI83">
        <v>3550</v>
      </c>
      <c r="AJ83">
        <v>211</v>
      </c>
      <c r="AK83">
        <v>179</v>
      </c>
      <c r="AL83">
        <v>4.5400000000000003E-2</v>
      </c>
      <c r="AN83" t="s">
        <v>834</v>
      </c>
      <c r="AP83">
        <v>3940</v>
      </c>
      <c r="AQ83">
        <v>3550</v>
      </c>
      <c r="AR83">
        <v>211</v>
      </c>
      <c r="AS83">
        <v>179</v>
      </c>
      <c r="AT83">
        <v>4.5400000000000003E-2</v>
      </c>
      <c r="AU83" t="s">
        <v>560</v>
      </c>
      <c r="AV83">
        <v>0</v>
      </c>
      <c r="AW83">
        <v>550</v>
      </c>
    </row>
    <row r="84" spans="1:49">
      <c r="A84">
        <v>150</v>
      </c>
      <c r="B84" t="s">
        <v>562</v>
      </c>
      <c r="C84" s="59">
        <v>45455</v>
      </c>
      <c r="D84" t="s">
        <v>721</v>
      </c>
      <c r="E84" t="s">
        <v>568</v>
      </c>
      <c r="F84" t="s">
        <v>718</v>
      </c>
      <c r="G84" t="s">
        <v>722</v>
      </c>
      <c r="H84" t="s">
        <v>723</v>
      </c>
      <c r="I84" s="59">
        <v>45456</v>
      </c>
      <c r="J84" t="s">
        <v>563</v>
      </c>
      <c r="K84" t="s">
        <v>720</v>
      </c>
      <c r="L84" s="59"/>
      <c r="M84" t="s">
        <v>129</v>
      </c>
      <c r="N84" t="s">
        <v>353</v>
      </c>
      <c r="O84">
        <v>20</v>
      </c>
      <c r="P84" t="s">
        <v>718</v>
      </c>
      <c r="Q84" t="s">
        <v>723</v>
      </c>
      <c r="S84" t="s">
        <v>724</v>
      </c>
      <c r="T84" t="s">
        <v>569</v>
      </c>
      <c r="W84">
        <v>23000</v>
      </c>
      <c r="X84">
        <v>0</v>
      </c>
      <c r="Y84">
        <v>3000</v>
      </c>
      <c r="Z84">
        <v>3500</v>
      </c>
      <c r="AA84">
        <v>0</v>
      </c>
      <c r="AB84">
        <v>0</v>
      </c>
      <c r="AD84" t="s">
        <v>128</v>
      </c>
      <c r="AF84">
        <v>1070</v>
      </c>
      <c r="AG84">
        <v>660</v>
      </c>
      <c r="AH84">
        <v>26000</v>
      </c>
      <c r="AI84">
        <v>16700</v>
      </c>
      <c r="AJ84">
        <v>2831</v>
      </c>
      <c r="AK84">
        <v>6469</v>
      </c>
      <c r="AL84">
        <v>0.24879999999999999</v>
      </c>
      <c r="AN84" t="s">
        <v>834</v>
      </c>
      <c r="AP84">
        <v>26000</v>
      </c>
      <c r="AQ84">
        <v>16700</v>
      </c>
      <c r="AR84">
        <v>2831</v>
      </c>
      <c r="AS84">
        <v>6469</v>
      </c>
      <c r="AT84">
        <v>0.24879999999999999</v>
      </c>
      <c r="AU84" t="s">
        <v>560</v>
      </c>
      <c r="AV84">
        <v>0</v>
      </c>
      <c r="AW84">
        <v>13200</v>
      </c>
    </row>
    <row r="85" spans="1:49">
      <c r="A85">
        <v>151</v>
      </c>
      <c r="B85" t="s">
        <v>562</v>
      </c>
      <c r="C85" s="59">
        <v>45455</v>
      </c>
      <c r="D85" t="s">
        <v>730</v>
      </c>
      <c r="E85" t="s">
        <v>568</v>
      </c>
      <c r="F85" t="s">
        <v>731</v>
      </c>
      <c r="G85" t="s">
        <v>732</v>
      </c>
      <c r="H85" t="s">
        <v>733</v>
      </c>
      <c r="I85" s="59">
        <v>45456</v>
      </c>
      <c r="J85" t="s">
        <v>563</v>
      </c>
      <c r="K85" t="s">
        <v>729</v>
      </c>
      <c r="L85" s="59"/>
      <c r="M85" t="s">
        <v>50</v>
      </c>
      <c r="N85" t="s">
        <v>353</v>
      </c>
      <c r="O85">
        <v>5</v>
      </c>
      <c r="P85" t="s">
        <v>726</v>
      </c>
      <c r="Q85" t="s">
        <v>733</v>
      </c>
      <c r="S85" t="s">
        <v>734</v>
      </c>
      <c r="T85" t="s">
        <v>569</v>
      </c>
      <c r="W85">
        <v>13400</v>
      </c>
      <c r="X85">
        <v>0</v>
      </c>
      <c r="Y85">
        <v>0</v>
      </c>
      <c r="Z85">
        <v>3000</v>
      </c>
      <c r="AA85">
        <v>0</v>
      </c>
      <c r="AB85">
        <v>0</v>
      </c>
      <c r="AD85" t="s">
        <v>49</v>
      </c>
      <c r="AF85">
        <v>1950</v>
      </c>
      <c r="AG85">
        <v>1320</v>
      </c>
      <c r="AH85">
        <v>13400</v>
      </c>
      <c r="AI85">
        <v>9600</v>
      </c>
      <c r="AJ85">
        <v>1592</v>
      </c>
      <c r="AK85">
        <v>2208</v>
      </c>
      <c r="AL85">
        <v>0.1648</v>
      </c>
      <c r="AN85" t="s">
        <v>834</v>
      </c>
      <c r="AP85">
        <v>13400</v>
      </c>
      <c r="AQ85">
        <v>9600</v>
      </c>
      <c r="AR85">
        <v>1592</v>
      </c>
      <c r="AS85">
        <v>2208</v>
      </c>
      <c r="AT85">
        <v>0.1648</v>
      </c>
      <c r="AU85" t="s">
        <v>560</v>
      </c>
      <c r="AV85">
        <v>0</v>
      </c>
      <c r="AW85">
        <v>6600</v>
      </c>
    </row>
    <row r="86" spans="1:49">
      <c r="A86">
        <v>152</v>
      </c>
      <c r="B86" t="s">
        <v>562</v>
      </c>
      <c r="C86" s="59">
        <v>45455</v>
      </c>
      <c r="D86" t="s">
        <v>740</v>
      </c>
      <c r="E86" t="s">
        <v>568</v>
      </c>
      <c r="F86" t="s">
        <v>736</v>
      </c>
      <c r="G86" t="s">
        <v>741</v>
      </c>
      <c r="H86" t="s">
        <v>742</v>
      </c>
      <c r="I86" s="59">
        <v>45456</v>
      </c>
      <c r="J86" t="s">
        <v>563</v>
      </c>
      <c r="K86" t="s">
        <v>739</v>
      </c>
      <c r="L86" s="59"/>
      <c r="M86" t="s">
        <v>34</v>
      </c>
      <c r="N86" t="s">
        <v>353</v>
      </c>
      <c r="O86">
        <v>1</v>
      </c>
      <c r="P86" t="s">
        <v>736</v>
      </c>
      <c r="Q86" t="s">
        <v>742</v>
      </c>
      <c r="S86" t="s">
        <v>743</v>
      </c>
      <c r="T86" t="s">
        <v>569</v>
      </c>
      <c r="W86">
        <v>34020</v>
      </c>
      <c r="X86">
        <v>0</v>
      </c>
      <c r="Y86">
        <v>3000</v>
      </c>
      <c r="Z86">
        <v>3500</v>
      </c>
      <c r="AA86">
        <v>0</v>
      </c>
      <c r="AB86">
        <v>0</v>
      </c>
      <c r="AD86" t="s">
        <v>33</v>
      </c>
      <c r="AF86">
        <v>32130</v>
      </c>
      <c r="AG86">
        <v>19800</v>
      </c>
      <c r="AH86">
        <v>37020</v>
      </c>
      <c r="AI86">
        <v>23300</v>
      </c>
      <c r="AJ86">
        <v>4141</v>
      </c>
      <c r="AK86">
        <v>9579</v>
      </c>
      <c r="AL86">
        <v>0.25879999999999997</v>
      </c>
      <c r="AN86" t="s">
        <v>834</v>
      </c>
      <c r="AP86">
        <v>37020</v>
      </c>
      <c r="AQ86">
        <v>23300</v>
      </c>
      <c r="AR86">
        <v>4141</v>
      </c>
      <c r="AS86">
        <v>9579</v>
      </c>
      <c r="AT86">
        <v>0.25879999999999997</v>
      </c>
      <c r="AU86" t="s">
        <v>560</v>
      </c>
      <c r="AV86">
        <v>0</v>
      </c>
      <c r="AW86">
        <v>19800</v>
      </c>
    </row>
    <row r="87" spans="1:49">
      <c r="A87">
        <v>153</v>
      </c>
      <c r="B87" t="s">
        <v>562</v>
      </c>
      <c r="C87" s="59">
        <v>45455</v>
      </c>
      <c r="D87" t="s">
        <v>749</v>
      </c>
      <c r="E87" t="s">
        <v>568</v>
      </c>
      <c r="F87" t="s">
        <v>745</v>
      </c>
      <c r="G87" t="s">
        <v>750</v>
      </c>
      <c r="H87" t="s">
        <v>751</v>
      </c>
      <c r="I87" s="59">
        <v>45456</v>
      </c>
      <c r="J87" t="s">
        <v>563</v>
      </c>
      <c r="K87" t="s">
        <v>748</v>
      </c>
      <c r="L87" s="59"/>
      <c r="M87" t="s">
        <v>94</v>
      </c>
      <c r="N87" t="s">
        <v>353</v>
      </c>
      <c r="O87">
        <v>2</v>
      </c>
      <c r="P87" t="s">
        <v>745</v>
      </c>
      <c r="Q87" t="s">
        <v>751</v>
      </c>
      <c r="S87" t="s">
        <v>752</v>
      </c>
      <c r="T87" t="s">
        <v>569</v>
      </c>
      <c r="W87">
        <v>14440</v>
      </c>
      <c r="X87">
        <v>0</v>
      </c>
      <c r="Y87">
        <v>3000</v>
      </c>
      <c r="Z87">
        <v>3000</v>
      </c>
      <c r="AA87">
        <v>0</v>
      </c>
      <c r="AB87">
        <v>0</v>
      </c>
      <c r="AD87" t="s">
        <v>838</v>
      </c>
      <c r="AF87">
        <v>6700</v>
      </c>
      <c r="AG87">
        <v>4125</v>
      </c>
      <c r="AH87">
        <v>17440</v>
      </c>
      <c r="AI87">
        <v>11250</v>
      </c>
      <c r="AJ87">
        <v>1814</v>
      </c>
      <c r="AK87">
        <v>4376</v>
      </c>
      <c r="AL87">
        <v>0.25090000000000001</v>
      </c>
      <c r="AN87" t="s">
        <v>834</v>
      </c>
      <c r="AP87">
        <v>17440</v>
      </c>
      <c r="AQ87">
        <v>11250</v>
      </c>
      <c r="AR87">
        <v>1814</v>
      </c>
      <c r="AS87">
        <v>4376</v>
      </c>
      <c r="AT87">
        <v>0.25090000000000001</v>
      </c>
      <c r="AU87" t="s">
        <v>560</v>
      </c>
      <c r="AV87">
        <v>0</v>
      </c>
      <c r="AW87">
        <v>8250</v>
      </c>
    </row>
    <row r="88" spans="1:49">
      <c r="A88">
        <v>154</v>
      </c>
      <c r="B88" t="s">
        <v>562</v>
      </c>
      <c r="C88" s="59">
        <v>45455</v>
      </c>
      <c r="D88" t="s">
        <v>756</v>
      </c>
      <c r="E88" t="s">
        <v>568</v>
      </c>
      <c r="F88" t="s">
        <v>754</v>
      </c>
      <c r="G88" t="s">
        <v>757</v>
      </c>
      <c r="H88" t="s">
        <v>758</v>
      </c>
      <c r="I88" s="59">
        <v>45456</v>
      </c>
      <c r="J88" t="s">
        <v>563</v>
      </c>
      <c r="K88" t="s">
        <v>755</v>
      </c>
      <c r="L88" s="59"/>
      <c r="M88" t="s">
        <v>34</v>
      </c>
      <c r="N88" t="s">
        <v>353</v>
      </c>
      <c r="O88">
        <v>1</v>
      </c>
      <c r="P88" t="s">
        <v>754</v>
      </c>
      <c r="Q88" t="s">
        <v>758</v>
      </c>
      <c r="S88" t="s">
        <v>759</v>
      </c>
      <c r="T88" t="s">
        <v>571</v>
      </c>
      <c r="W88">
        <v>34020</v>
      </c>
      <c r="X88">
        <v>0</v>
      </c>
      <c r="Y88">
        <v>3000</v>
      </c>
      <c r="Z88">
        <v>3500</v>
      </c>
      <c r="AA88">
        <v>0</v>
      </c>
      <c r="AB88">
        <v>0</v>
      </c>
      <c r="AD88" t="s">
        <v>33</v>
      </c>
      <c r="AF88">
        <v>32130</v>
      </c>
      <c r="AG88">
        <v>19800</v>
      </c>
      <c r="AH88">
        <v>37020</v>
      </c>
      <c r="AI88">
        <v>23300</v>
      </c>
      <c r="AJ88">
        <v>4141</v>
      </c>
      <c r="AK88">
        <v>9579</v>
      </c>
      <c r="AL88">
        <v>0.25879999999999997</v>
      </c>
      <c r="AN88" t="s">
        <v>834</v>
      </c>
      <c r="AP88">
        <v>37020</v>
      </c>
      <c r="AQ88">
        <v>23300</v>
      </c>
      <c r="AR88">
        <v>4141</v>
      </c>
      <c r="AS88">
        <v>9579</v>
      </c>
      <c r="AT88">
        <v>0.25879999999999997</v>
      </c>
      <c r="AU88" t="s">
        <v>560</v>
      </c>
      <c r="AV88">
        <v>0</v>
      </c>
      <c r="AW88">
        <v>19800</v>
      </c>
    </row>
    <row r="89" spans="1:49">
      <c r="A89">
        <v>155</v>
      </c>
      <c r="B89" t="s">
        <v>562</v>
      </c>
      <c r="C89" s="59">
        <v>45455</v>
      </c>
      <c r="D89" t="s">
        <v>763</v>
      </c>
      <c r="E89" t="s">
        <v>568</v>
      </c>
      <c r="F89" t="s">
        <v>761</v>
      </c>
      <c r="G89" t="s">
        <v>764</v>
      </c>
      <c r="H89" t="s">
        <v>765</v>
      </c>
      <c r="I89" s="59">
        <v>45456</v>
      </c>
      <c r="J89" t="s">
        <v>563</v>
      </c>
      <c r="K89" t="s">
        <v>762</v>
      </c>
      <c r="L89" s="59"/>
      <c r="M89" t="s">
        <v>133</v>
      </c>
      <c r="N89" t="s">
        <v>353</v>
      </c>
      <c r="O89">
        <v>1</v>
      </c>
      <c r="P89" t="s">
        <v>761</v>
      </c>
      <c r="Q89" t="s">
        <v>765</v>
      </c>
      <c r="S89" t="s">
        <v>766</v>
      </c>
      <c r="T89" t="s">
        <v>571</v>
      </c>
      <c r="W89">
        <v>940</v>
      </c>
      <c r="X89">
        <v>0</v>
      </c>
      <c r="Y89">
        <v>3000</v>
      </c>
      <c r="Z89">
        <v>3000</v>
      </c>
      <c r="AA89">
        <v>0</v>
      </c>
      <c r="AB89">
        <v>0</v>
      </c>
      <c r="AD89" t="s">
        <v>132</v>
      </c>
      <c r="AF89">
        <v>890</v>
      </c>
      <c r="AG89">
        <v>550</v>
      </c>
      <c r="AH89">
        <v>3940</v>
      </c>
      <c r="AI89">
        <v>3550</v>
      </c>
      <c r="AJ89">
        <v>211</v>
      </c>
      <c r="AK89">
        <v>179</v>
      </c>
      <c r="AL89">
        <v>4.5400000000000003E-2</v>
      </c>
      <c r="AN89" t="s">
        <v>834</v>
      </c>
      <c r="AP89">
        <v>3940</v>
      </c>
      <c r="AQ89">
        <v>3550</v>
      </c>
      <c r="AR89">
        <v>211</v>
      </c>
      <c r="AS89">
        <v>179</v>
      </c>
      <c r="AT89">
        <v>4.5400000000000003E-2</v>
      </c>
      <c r="AU89" t="s">
        <v>560</v>
      </c>
      <c r="AV89">
        <v>0</v>
      </c>
      <c r="AW89">
        <v>550</v>
      </c>
    </row>
    <row r="90" spans="1:49">
      <c r="A90">
        <v>156</v>
      </c>
      <c r="B90" t="s">
        <v>562</v>
      </c>
      <c r="C90" s="59">
        <v>45455</v>
      </c>
      <c r="D90" t="s">
        <v>763</v>
      </c>
      <c r="E90" t="s">
        <v>568</v>
      </c>
      <c r="F90" t="s">
        <v>761</v>
      </c>
      <c r="G90" t="s">
        <v>764</v>
      </c>
      <c r="H90" t="s">
        <v>765</v>
      </c>
      <c r="I90" s="59">
        <v>45456</v>
      </c>
      <c r="J90" t="s">
        <v>563</v>
      </c>
      <c r="K90" t="s">
        <v>762</v>
      </c>
      <c r="L90" s="59"/>
      <c r="M90" t="s">
        <v>125</v>
      </c>
      <c r="N90" t="s">
        <v>353</v>
      </c>
      <c r="O90">
        <v>1</v>
      </c>
      <c r="P90" t="s">
        <v>761</v>
      </c>
      <c r="Q90" t="s">
        <v>765</v>
      </c>
      <c r="S90" t="s">
        <v>766</v>
      </c>
      <c r="T90" t="s">
        <v>571</v>
      </c>
      <c r="W90">
        <v>1690</v>
      </c>
      <c r="X90">
        <v>190</v>
      </c>
      <c r="Y90">
        <v>0</v>
      </c>
      <c r="Z90">
        <v>0</v>
      </c>
      <c r="AA90">
        <v>0</v>
      </c>
      <c r="AB90">
        <v>0</v>
      </c>
      <c r="AD90" t="s">
        <v>124</v>
      </c>
      <c r="AE90" t="s">
        <v>822</v>
      </c>
      <c r="AF90">
        <v>1790</v>
      </c>
      <c r="AG90">
        <v>1100</v>
      </c>
      <c r="AH90">
        <v>1690</v>
      </c>
      <c r="AI90">
        <v>1100</v>
      </c>
      <c r="AJ90">
        <v>201</v>
      </c>
      <c r="AK90">
        <v>389</v>
      </c>
      <c r="AL90">
        <v>0.23019999999999999</v>
      </c>
      <c r="AN90" t="s">
        <v>834</v>
      </c>
      <c r="AP90">
        <v>1690</v>
      </c>
      <c r="AQ90">
        <v>1100</v>
      </c>
      <c r="AR90">
        <v>201</v>
      </c>
      <c r="AS90">
        <v>389</v>
      </c>
      <c r="AT90">
        <v>0.23019999999999999</v>
      </c>
      <c r="AU90" t="s">
        <v>560</v>
      </c>
      <c r="AV90">
        <v>0</v>
      </c>
      <c r="AW90">
        <v>1100</v>
      </c>
    </row>
    <row r="91" spans="1:49">
      <c r="A91">
        <v>157</v>
      </c>
      <c r="B91" t="s">
        <v>562</v>
      </c>
      <c r="C91" s="59">
        <v>45455</v>
      </c>
      <c r="D91" t="s">
        <v>763</v>
      </c>
      <c r="E91" t="s">
        <v>568</v>
      </c>
      <c r="F91" t="s">
        <v>761</v>
      </c>
      <c r="G91" t="s">
        <v>764</v>
      </c>
      <c r="H91" t="s">
        <v>765</v>
      </c>
      <c r="I91" s="59">
        <v>45456</v>
      </c>
      <c r="J91" t="s">
        <v>563</v>
      </c>
      <c r="K91" t="s">
        <v>762</v>
      </c>
      <c r="L91" s="59"/>
      <c r="M91" t="s">
        <v>118</v>
      </c>
      <c r="N91" t="s">
        <v>353</v>
      </c>
      <c r="O91">
        <v>1</v>
      </c>
      <c r="P91" t="s">
        <v>761</v>
      </c>
      <c r="Q91" t="s">
        <v>765</v>
      </c>
      <c r="S91" t="s">
        <v>766</v>
      </c>
      <c r="T91" t="s">
        <v>571</v>
      </c>
      <c r="W91">
        <v>2440</v>
      </c>
      <c r="X91">
        <v>440</v>
      </c>
      <c r="Y91">
        <v>0</v>
      </c>
      <c r="Z91">
        <v>0</v>
      </c>
      <c r="AA91">
        <v>0</v>
      </c>
      <c r="AB91">
        <v>0</v>
      </c>
      <c r="AD91" t="s">
        <v>117</v>
      </c>
      <c r="AE91" t="s">
        <v>822</v>
      </c>
      <c r="AF91">
        <v>2680</v>
      </c>
      <c r="AG91">
        <v>1650</v>
      </c>
      <c r="AH91">
        <v>2440</v>
      </c>
      <c r="AI91">
        <v>1650</v>
      </c>
      <c r="AJ91">
        <v>290</v>
      </c>
      <c r="AK91">
        <v>500</v>
      </c>
      <c r="AL91">
        <v>0.2049</v>
      </c>
      <c r="AN91" t="s">
        <v>834</v>
      </c>
      <c r="AP91">
        <v>2440</v>
      </c>
      <c r="AQ91">
        <v>1650</v>
      </c>
      <c r="AR91">
        <v>290</v>
      </c>
      <c r="AS91">
        <v>500</v>
      </c>
      <c r="AT91">
        <v>0.2049</v>
      </c>
      <c r="AU91" t="s">
        <v>560</v>
      </c>
      <c r="AV91">
        <v>0</v>
      </c>
      <c r="AW91">
        <v>1650</v>
      </c>
    </row>
    <row r="92" spans="1:49">
      <c r="A92">
        <v>158</v>
      </c>
      <c r="B92" t="s">
        <v>562</v>
      </c>
      <c r="C92" s="59">
        <v>45455</v>
      </c>
      <c r="D92" t="s">
        <v>763</v>
      </c>
      <c r="E92" t="s">
        <v>568</v>
      </c>
      <c r="F92" t="s">
        <v>761</v>
      </c>
      <c r="G92" t="s">
        <v>764</v>
      </c>
      <c r="H92" t="s">
        <v>765</v>
      </c>
      <c r="I92" s="59">
        <v>45456</v>
      </c>
      <c r="J92" t="s">
        <v>563</v>
      </c>
      <c r="K92" t="s">
        <v>762</v>
      </c>
      <c r="L92" s="59"/>
      <c r="M92" t="s">
        <v>129</v>
      </c>
      <c r="N92" t="s">
        <v>353</v>
      </c>
      <c r="O92">
        <v>1</v>
      </c>
      <c r="P92" t="s">
        <v>761</v>
      </c>
      <c r="Q92" t="s">
        <v>765</v>
      </c>
      <c r="S92" t="s">
        <v>766</v>
      </c>
      <c r="T92" t="s">
        <v>571</v>
      </c>
      <c r="W92">
        <v>1150</v>
      </c>
      <c r="X92">
        <v>0</v>
      </c>
      <c r="Y92">
        <v>0</v>
      </c>
      <c r="Z92">
        <v>0</v>
      </c>
      <c r="AA92">
        <v>0</v>
      </c>
      <c r="AB92">
        <v>0</v>
      </c>
      <c r="AD92" t="s">
        <v>128</v>
      </c>
      <c r="AE92" t="s">
        <v>822</v>
      </c>
      <c r="AF92">
        <v>1070</v>
      </c>
      <c r="AG92">
        <v>660</v>
      </c>
      <c r="AH92">
        <v>1150</v>
      </c>
      <c r="AI92">
        <v>660</v>
      </c>
      <c r="AJ92">
        <v>137</v>
      </c>
      <c r="AK92">
        <v>353</v>
      </c>
      <c r="AL92">
        <v>0.307</v>
      </c>
      <c r="AN92" t="s">
        <v>834</v>
      </c>
      <c r="AP92">
        <v>1150</v>
      </c>
      <c r="AQ92">
        <v>660</v>
      </c>
      <c r="AR92">
        <v>137</v>
      </c>
      <c r="AS92">
        <v>353</v>
      </c>
      <c r="AT92">
        <v>0.307</v>
      </c>
      <c r="AU92" t="s">
        <v>560</v>
      </c>
      <c r="AV92">
        <v>0</v>
      </c>
      <c r="AW92">
        <v>660</v>
      </c>
    </row>
    <row r="93" spans="1:49">
      <c r="A93">
        <v>159</v>
      </c>
      <c r="B93" t="s">
        <v>562</v>
      </c>
      <c r="C93" s="59">
        <v>45455</v>
      </c>
      <c r="D93" t="s">
        <v>763</v>
      </c>
      <c r="E93" t="s">
        <v>568</v>
      </c>
      <c r="F93" t="s">
        <v>761</v>
      </c>
      <c r="G93" t="s">
        <v>764</v>
      </c>
      <c r="H93" t="s">
        <v>765</v>
      </c>
      <c r="I93" s="59">
        <v>45456</v>
      </c>
      <c r="J93" t="s">
        <v>563</v>
      </c>
      <c r="K93" t="s">
        <v>762</v>
      </c>
      <c r="L93" s="59"/>
      <c r="M93" t="s">
        <v>121</v>
      </c>
      <c r="N93" t="s">
        <v>353</v>
      </c>
      <c r="O93">
        <v>1</v>
      </c>
      <c r="P93" t="s">
        <v>761</v>
      </c>
      <c r="Q93" t="s">
        <v>765</v>
      </c>
      <c r="S93" t="s">
        <v>766</v>
      </c>
      <c r="T93" t="s">
        <v>571</v>
      </c>
      <c r="W93">
        <v>2570</v>
      </c>
      <c r="X93">
        <v>140</v>
      </c>
      <c r="Y93">
        <v>0</v>
      </c>
      <c r="Z93">
        <v>0</v>
      </c>
      <c r="AA93">
        <v>0</v>
      </c>
      <c r="AB93">
        <v>0</v>
      </c>
      <c r="AD93" t="s">
        <v>120</v>
      </c>
      <c r="AE93" t="s">
        <v>822</v>
      </c>
      <c r="AF93">
        <v>2320</v>
      </c>
      <c r="AG93">
        <v>1430</v>
      </c>
      <c r="AH93">
        <v>2570</v>
      </c>
      <c r="AI93">
        <v>1430</v>
      </c>
      <c r="AJ93">
        <v>305</v>
      </c>
      <c r="AK93">
        <v>835</v>
      </c>
      <c r="AL93">
        <v>0.32490000000000002</v>
      </c>
      <c r="AN93" t="s">
        <v>834</v>
      </c>
      <c r="AP93">
        <v>2570</v>
      </c>
      <c r="AQ93">
        <v>1430</v>
      </c>
      <c r="AR93">
        <v>305</v>
      </c>
      <c r="AS93">
        <v>835</v>
      </c>
      <c r="AT93">
        <v>0.32490000000000002</v>
      </c>
      <c r="AU93" t="s">
        <v>560</v>
      </c>
      <c r="AV93">
        <v>0</v>
      </c>
      <c r="AW93">
        <v>1430</v>
      </c>
    </row>
    <row r="94" spans="1:49">
      <c r="A94">
        <v>160</v>
      </c>
      <c r="B94" t="s">
        <v>562</v>
      </c>
      <c r="C94" s="59">
        <v>45455</v>
      </c>
      <c r="D94" t="s">
        <v>773</v>
      </c>
      <c r="E94" t="s">
        <v>568</v>
      </c>
      <c r="F94" t="s">
        <v>771</v>
      </c>
      <c r="G94" t="s">
        <v>774</v>
      </c>
      <c r="H94" t="s">
        <v>775</v>
      </c>
      <c r="I94" s="59">
        <v>45456</v>
      </c>
      <c r="J94" t="s">
        <v>563</v>
      </c>
      <c r="K94" t="s">
        <v>772</v>
      </c>
      <c r="L94" s="59"/>
      <c r="M94" t="s">
        <v>133</v>
      </c>
      <c r="N94" t="s">
        <v>353</v>
      </c>
      <c r="O94">
        <v>10</v>
      </c>
      <c r="P94" t="s">
        <v>771</v>
      </c>
      <c r="Q94" t="s">
        <v>775</v>
      </c>
      <c r="S94" t="s">
        <v>776</v>
      </c>
      <c r="T94" t="s">
        <v>569</v>
      </c>
      <c r="W94">
        <v>9400</v>
      </c>
      <c r="X94">
        <v>0</v>
      </c>
      <c r="Y94">
        <v>3000</v>
      </c>
      <c r="Z94">
        <v>3000</v>
      </c>
      <c r="AA94">
        <v>0</v>
      </c>
      <c r="AB94">
        <v>0</v>
      </c>
      <c r="AD94" t="s">
        <v>132</v>
      </c>
      <c r="AF94">
        <v>890</v>
      </c>
      <c r="AG94">
        <v>550</v>
      </c>
      <c r="AH94">
        <v>12400</v>
      </c>
      <c r="AI94">
        <v>8500</v>
      </c>
      <c r="AJ94">
        <v>1216</v>
      </c>
      <c r="AK94">
        <v>2684</v>
      </c>
      <c r="AL94">
        <v>0.2165</v>
      </c>
      <c r="AN94" t="s">
        <v>834</v>
      </c>
      <c r="AP94">
        <v>12400</v>
      </c>
      <c r="AQ94">
        <v>8500</v>
      </c>
      <c r="AR94">
        <v>1216</v>
      </c>
      <c r="AS94">
        <v>2684</v>
      </c>
      <c r="AT94">
        <v>0.2165</v>
      </c>
      <c r="AU94" t="s">
        <v>560</v>
      </c>
      <c r="AV94">
        <v>0</v>
      </c>
      <c r="AW94">
        <v>5500</v>
      </c>
    </row>
    <row r="95" spans="1:49">
      <c r="A95">
        <v>161</v>
      </c>
      <c r="B95" t="s">
        <v>562</v>
      </c>
      <c r="C95" s="59">
        <v>45455</v>
      </c>
      <c r="D95" t="s">
        <v>782</v>
      </c>
      <c r="E95" t="s">
        <v>561</v>
      </c>
      <c r="F95" t="s">
        <v>778</v>
      </c>
      <c r="G95" t="s">
        <v>783</v>
      </c>
      <c r="H95" t="s">
        <v>784</v>
      </c>
      <c r="I95" s="59">
        <v>45456</v>
      </c>
      <c r="J95" t="s">
        <v>563</v>
      </c>
      <c r="K95" t="s">
        <v>780</v>
      </c>
      <c r="L95" s="59"/>
      <c r="M95" t="s">
        <v>118</v>
      </c>
      <c r="N95" t="s">
        <v>353</v>
      </c>
      <c r="O95">
        <v>3</v>
      </c>
      <c r="P95" t="s">
        <v>778</v>
      </c>
      <c r="Q95" t="s">
        <v>784</v>
      </c>
      <c r="R95" t="s">
        <v>785</v>
      </c>
      <c r="S95" t="s">
        <v>786</v>
      </c>
      <c r="W95">
        <v>8340</v>
      </c>
      <c r="X95">
        <v>0</v>
      </c>
      <c r="Y95">
        <v>3000</v>
      </c>
      <c r="Z95">
        <v>3000</v>
      </c>
      <c r="AA95">
        <v>0</v>
      </c>
      <c r="AB95">
        <v>0</v>
      </c>
      <c r="AD95" t="s">
        <v>117</v>
      </c>
      <c r="AF95">
        <v>2550</v>
      </c>
      <c r="AG95">
        <v>1650</v>
      </c>
      <c r="AH95">
        <v>11340</v>
      </c>
      <c r="AI95">
        <v>7950</v>
      </c>
      <c r="AJ95">
        <v>471</v>
      </c>
      <c r="AK95">
        <v>2919</v>
      </c>
      <c r="AL95">
        <v>0.25740000000000002</v>
      </c>
      <c r="AN95" t="s">
        <v>834</v>
      </c>
      <c r="AP95">
        <v>11340</v>
      </c>
      <c r="AQ95">
        <v>7950</v>
      </c>
      <c r="AR95">
        <v>471</v>
      </c>
      <c r="AS95">
        <v>2919</v>
      </c>
      <c r="AT95">
        <v>0.25740000000000002</v>
      </c>
      <c r="AU95" t="s">
        <v>560</v>
      </c>
      <c r="AV95">
        <v>0</v>
      </c>
      <c r="AW95">
        <v>4950</v>
      </c>
    </row>
    <row r="96" spans="1:49">
      <c r="A96">
        <v>162</v>
      </c>
      <c r="B96" t="s">
        <v>562</v>
      </c>
      <c r="C96" s="59">
        <v>45455</v>
      </c>
      <c r="D96" t="s">
        <v>793</v>
      </c>
      <c r="E96" t="s">
        <v>561</v>
      </c>
      <c r="F96" t="s">
        <v>794</v>
      </c>
      <c r="G96" t="s">
        <v>795</v>
      </c>
      <c r="H96" t="s">
        <v>796</v>
      </c>
      <c r="I96" s="59">
        <v>45456</v>
      </c>
      <c r="J96" t="s">
        <v>563</v>
      </c>
      <c r="K96" t="s">
        <v>791</v>
      </c>
      <c r="L96" s="59"/>
      <c r="M96" t="s">
        <v>24</v>
      </c>
      <c r="N96" t="s">
        <v>353</v>
      </c>
      <c r="O96">
        <v>3</v>
      </c>
      <c r="P96" t="s">
        <v>789</v>
      </c>
      <c r="Q96" t="s">
        <v>797</v>
      </c>
      <c r="S96" t="s">
        <v>798</v>
      </c>
      <c r="W96">
        <v>41310</v>
      </c>
      <c r="X96">
        <v>4590</v>
      </c>
      <c r="Y96">
        <v>0</v>
      </c>
      <c r="Z96">
        <v>3500</v>
      </c>
      <c r="AA96">
        <v>0</v>
      </c>
      <c r="AB96">
        <v>0</v>
      </c>
      <c r="AD96" t="s">
        <v>23</v>
      </c>
      <c r="AF96">
        <v>14450</v>
      </c>
      <c r="AG96">
        <v>9350</v>
      </c>
      <c r="AH96">
        <v>41310</v>
      </c>
      <c r="AI96">
        <v>31550</v>
      </c>
      <c r="AJ96">
        <v>1724</v>
      </c>
      <c r="AK96">
        <v>8036</v>
      </c>
      <c r="AL96">
        <v>0.19450000000000001</v>
      </c>
      <c r="AN96" t="s">
        <v>834</v>
      </c>
      <c r="AP96">
        <v>41310</v>
      </c>
      <c r="AQ96">
        <v>31550</v>
      </c>
      <c r="AR96">
        <v>1724</v>
      </c>
      <c r="AS96">
        <v>8036</v>
      </c>
      <c r="AT96">
        <v>0.19450000000000001</v>
      </c>
      <c r="AU96" t="s">
        <v>560</v>
      </c>
      <c r="AV96">
        <v>0</v>
      </c>
      <c r="AW96">
        <v>28050</v>
      </c>
    </row>
    <row r="97" spans="1:49">
      <c r="A97">
        <v>163</v>
      </c>
      <c r="B97" t="s">
        <v>562</v>
      </c>
      <c r="C97" s="59">
        <v>45455</v>
      </c>
      <c r="D97" t="s">
        <v>804</v>
      </c>
      <c r="E97" t="s">
        <v>561</v>
      </c>
      <c r="F97" t="s">
        <v>800</v>
      </c>
      <c r="G97" t="s">
        <v>805</v>
      </c>
      <c r="H97" t="s">
        <v>806</v>
      </c>
      <c r="I97" s="59">
        <v>45456</v>
      </c>
      <c r="J97" t="s">
        <v>563</v>
      </c>
      <c r="K97" t="s">
        <v>802</v>
      </c>
      <c r="L97" s="59"/>
      <c r="M97" t="s">
        <v>42</v>
      </c>
      <c r="N97" t="s">
        <v>353</v>
      </c>
      <c r="O97">
        <v>1</v>
      </c>
      <c r="P97" t="s">
        <v>800</v>
      </c>
      <c r="Q97" t="s">
        <v>806</v>
      </c>
      <c r="S97" t="s">
        <v>807</v>
      </c>
      <c r="W97">
        <v>16200</v>
      </c>
      <c r="X97">
        <v>1800</v>
      </c>
      <c r="Y97">
        <v>3000</v>
      </c>
      <c r="Z97">
        <v>3000</v>
      </c>
      <c r="AA97">
        <v>0</v>
      </c>
      <c r="AB97">
        <v>0</v>
      </c>
      <c r="AD97" t="s">
        <v>41</v>
      </c>
      <c r="AF97">
        <v>17000</v>
      </c>
      <c r="AG97">
        <v>11000</v>
      </c>
      <c r="AH97">
        <v>19200</v>
      </c>
      <c r="AI97">
        <v>14000</v>
      </c>
      <c r="AJ97">
        <v>784</v>
      </c>
      <c r="AK97">
        <v>4416</v>
      </c>
      <c r="AL97">
        <v>0.23</v>
      </c>
      <c r="AN97" t="s">
        <v>834</v>
      </c>
      <c r="AP97">
        <v>19200</v>
      </c>
      <c r="AQ97">
        <v>14000</v>
      </c>
      <c r="AR97">
        <v>784</v>
      </c>
      <c r="AS97">
        <v>4416</v>
      </c>
      <c r="AT97">
        <v>0.23</v>
      </c>
      <c r="AU97" t="s">
        <v>560</v>
      </c>
      <c r="AV97">
        <v>0</v>
      </c>
      <c r="AW97">
        <v>11000</v>
      </c>
    </row>
    <row r="98" spans="1:49">
      <c r="A98">
        <v>168</v>
      </c>
      <c r="B98" t="s">
        <v>562</v>
      </c>
      <c r="C98" s="59">
        <v>45456</v>
      </c>
      <c r="D98" t="s">
        <v>1909</v>
      </c>
      <c r="E98" t="s">
        <v>568</v>
      </c>
      <c r="F98" t="s">
        <v>1907</v>
      </c>
      <c r="G98" t="s">
        <v>1910</v>
      </c>
      <c r="H98" t="s">
        <v>1911</v>
      </c>
      <c r="I98" s="59">
        <v>45457</v>
      </c>
      <c r="J98" t="s">
        <v>563</v>
      </c>
      <c r="K98" t="s">
        <v>1908</v>
      </c>
      <c r="L98" s="59"/>
      <c r="M98" t="s">
        <v>34</v>
      </c>
      <c r="N98" t="s">
        <v>353</v>
      </c>
      <c r="O98">
        <v>1</v>
      </c>
      <c r="P98" t="s">
        <v>1907</v>
      </c>
      <c r="Q98" t="s">
        <v>1911</v>
      </c>
      <c r="S98" t="s">
        <v>1912</v>
      </c>
      <c r="T98" t="s">
        <v>571</v>
      </c>
      <c r="W98">
        <v>34020</v>
      </c>
      <c r="X98">
        <v>0</v>
      </c>
      <c r="Y98">
        <v>3000</v>
      </c>
      <c r="Z98">
        <v>3500</v>
      </c>
      <c r="AA98">
        <v>0</v>
      </c>
      <c r="AB98">
        <v>0</v>
      </c>
      <c r="AD98" t="s">
        <v>33</v>
      </c>
      <c r="AF98">
        <v>32130</v>
      </c>
      <c r="AG98">
        <v>19800</v>
      </c>
      <c r="AH98">
        <v>37020</v>
      </c>
      <c r="AI98">
        <v>23300</v>
      </c>
      <c r="AJ98">
        <v>4141</v>
      </c>
      <c r="AK98">
        <v>9579</v>
      </c>
      <c r="AL98">
        <v>0.25879999999999997</v>
      </c>
      <c r="AN98" t="s">
        <v>834</v>
      </c>
      <c r="AP98">
        <v>37020</v>
      </c>
      <c r="AQ98">
        <v>23300</v>
      </c>
      <c r="AR98">
        <v>4141</v>
      </c>
      <c r="AS98">
        <v>9579</v>
      </c>
      <c r="AT98">
        <v>0.25879999999999997</v>
      </c>
      <c r="AU98" t="s">
        <v>560</v>
      </c>
      <c r="AV98">
        <v>0</v>
      </c>
      <c r="AW98">
        <v>19800</v>
      </c>
    </row>
    <row r="99" spans="1:49">
      <c r="A99">
        <v>169</v>
      </c>
      <c r="B99" t="s">
        <v>562</v>
      </c>
      <c r="C99" s="59">
        <v>45456</v>
      </c>
      <c r="D99" t="s">
        <v>1917</v>
      </c>
      <c r="E99" t="s">
        <v>568</v>
      </c>
      <c r="F99" t="s">
        <v>1914</v>
      </c>
      <c r="G99" t="s">
        <v>1918</v>
      </c>
      <c r="H99" t="s">
        <v>1919</v>
      </c>
      <c r="I99" s="59">
        <v>45457</v>
      </c>
      <c r="J99" t="s">
        <v>563</v>
      </c>
      <c r="K99" t="s">
        <v>1916</v>
      </c>
      <c r="L99" s="59"/>
      <c r="M99" t="s">
        <v>52</v>
      </c>
      <c r="N99" t="s">
        <v>353</v>
      </c>
      <c r="O99">
        <v>8</v>
      </c>
      <c r="P99" t="s">
        <v>1914</v>
      </c>
      <c r="Q99" t="s">
        <v>1919</v>
      </c>
      <c r="S99" t="s">
        <v>1920</v>
      </c>
      <c r="T99" t="s">
        <v>571</v>
      </c>
      <c r="W99">
        <v>13440</v>
      </c>
      <c r="X99">
        <v>0</v>
      </c>
      <c r="Y99">
        <v>0</v>
      </c>
      <c r="Z99">
        <v>3500</v>
      </c>
      <c r="AA99">
        <v>0</v>
      </c>
      <c r="AB99">
        <v>0</v>
      </c>
      <c r="AD99" t="s">
        <v>51</v>
      </c>
      <c r="AF99">
        <v>1300</v>
      </c>
      <c r="AG99">
        <v>880</v>
      </c>
      <c r="AH99">
        <v>13440</v>
      </c>
      <c r="AI99">
        <v>10540</v>
      </c>
      <c r="AJ99">
        <v>1597</v>
      </c>
      <c r="AK99">
        <v>1303</v>
      </c>
      <c r="AL99">
        <v>9.69E-2</v>
      </c>
      <c r="AN99" t="s">
        <v>834</v>
      </c>
      <c r="AP99">
        <v>13440</v>
      </c>
      <c r="AQ99">
        <v>10540</v>
      </c>
      <c r="AR99">
        <v>1597</v>
      </c>
      <c r="AS99">
        <v>1303</v>
      </c>
      <c r="AT99">
        <v>9.69E-2</v>
      </c>
      <c r="AU99" t="s">
        <v>560</v>
      </c>
      <c r="AV99">
        <v>0</v>
      </c>
      <c r="AW99">
        <v>7040</v>
      </c>
    </row>
    <row r="100" spans="1:49">
      <c r="A100">
        <v>170</v>
      </c>
      <c r="B100" t="s">
        <v>562</v>
      </c>
      <c r="C100" s="59">
        <v>45456</v>
      </c>
      <c r="D100" t="s">
        <v>1917</v>
      </c>
      <c r="E100" t="s">
        <v>568</v>
      </c>
      <c r="F100" t="s">
        <v>1914</v>
      </c>
      <c r="G100" t="s">
        <v>1918</v>
      </c>
      <c r="H100" t="s">
        <v>1919</v>
      </c>
      <c r="I100" s="59">
        <v>45457</v>
      </c>
      <c r="J100" t="s">
        <v>563</v>
      </c>
      <c r="K100" t="s">
        <v>1916</v>
      </c>
      <c r="L100" s="59"/>
      <c r="M100" t="s">
        <v>286</v>
      </c>
      <c r="N100" t="s">
        <v>353</v>
      </c>
      <c r="O100">
        <v>6</v>
      </c>
      <c r="P100" t="s">
        <v>1914</v>
      </c>
      <c r="Q100" t="s">
        <v>1919</v>
      </c>
      <c r="S100" t="s">
        <v>1920</v>
      </c>
      <c r="T100" t="s">
        <v>571</v>
      </c>
      <c r="W100">
        <v>11280</v>
      </c>
      <c r="X100">
        <v>1260</v>
      </c>
      <c r="Y100">
        <v>0</v>
      </c>
      <c r="Z100">
        <v>0</v>
      </c>
      <c r="AA100">
        <v>0</v>
      </c>
      <c r="AB100">
        <v>0</v>
      </c>
      <c r="AD100" t="s">
        <v>1984</v>
      </c>
      <c r="AE100" t="s">
        <v>822</v>
      </c>
      <c r="AF100">
        <v>2000</v>
      </c>
      <c r="AG100">
        <v>1210</v>
      </c>
      <c r="AH100">
        <v>11280</v>
      </c>
      <c r="AI100">
        <v>7260</v>
      </c>
      <c r="AJ100">
        <v>1340</v>
      </c>
      <c r="AK100">
        <v>2680</v>
      </c>
      <c r="AL100">
        <v>0.23760000000000001</v>
      </c>
      <c r="AN100" t="s">
        <v>834</v>
      </c>
      <c r="AP100">
        <v>11280</v>
      </c>
      <c r="AQ100">
        <v>7260</v>
      </c>
      <c r="AR100">
        <v>1340</v>
      </c>
      <c r="AS100">
        <v>2680</v>
      </c>
      <c r="AT100">
        <v>0.23760000000000001</v>
      </c>
      <c r="AU100" t="s">
        <v>560</v>
      </c>
      <c r="AV100">
        <v>0</v>
      </c>
      <c r="AW100">
        <v>7260</v>
      </c>
    </row>
    <row r="101" spans="1:49">
      <c r="A101">
        <v>171</v>
      </c>
      <c r="B101" t="s">
        <v>562</v>
      </c>
      <c r="C101" s="59">
        <v>45456</v>
      </c>
      <c r="D101" t="s">
        <v>1917</v>
      </c>
      <c r="E101" t="s">
        <v>568</v>
      </c>
      <c r="F101" t="s">
        <v>1914</v>
      </c>
      <c r="G101" t="s">
        <v>1918</v>
      </c>
      <c r="H101" t="s">
        <v>1919</v>
      </c>
      <c r="I101" s="59">
        <v>45457</v>
      </c>
      <c r="J101" t="s">
        <v>563</v>
      </c>
      <c r="K101" t="s">
        <v>1916</v>
      </c>
      <c r="L101" s="59"/>
      <c r="M101" t="s">
        <v>129</v>
      </c>
      <c r="N101" t="s">
        <v>353</v>
      </c>
      <c r="O101">
        <v>9</v>
      </c>
      <c r="P101" t="s">
        <v>1914</v>
      </c>
      <c r="Q101" t="s">
        <v>1919</v>
      </c>
      <c r="S101" t="s">
        <v>1920</v>
      </c>
      <c r="T101" t="s">
        <v>571</v>
      </c>
      <c r="W101">
        <v>10350</v>
      </c>
      <c r="X101">
        <v>0</v>
      </c>
      <c r="Y101">
        <v>0</v>
      </c>
      <c r="Z101">
        <v>0</v>
      </c>
      <c r="AA101">
        <v>0</v>
      </c>
      <c r="AB101">
        <v>0</v>
      </c>
      <c r="AD101" t="s">
        <v>128</v>
      </c>
      <c r="AE101" t="s">
        <v>822</v>
      </c>
      <c r="AF101">
        <v>1070</v>
      </c>
      <c r="AG101">
        <v>660</v>
      </c>
      <c r="AH101">
        <v>10350</v>
      </c>
      <c r="AI101">
        <v>5940</v>
      </c>
      <c r="AJ101">
        <v>1230</v>
      </c>
      <c r="AK101">
        <v>3180</v>
      </c>
      <c r="AL101">
        <v>0.30719999999999997</v>
      </c>
      <c r="AN101" t="s">
        <v>834</v>
      </c>
      <c r="AP101">
        <v>10350</v>
      </c>
      <c r="AQ101">
        <v>5940</v>
      </c>
      <c r="AR101">
        <v>1230</v>
      </c>
      <c r="AS101">
        <v>3180</v>
      </c>
      <c r="AT101">
        <v>0.30719999999999997</v>
      </c>
      <c r="AU101" t="s">
        <v>560</v>
      </c>
      <c r="AV101">
        <v>0</v>
      </c>
      <c r="AW101">
        <v>5940</v>
      </c>
    </row>
    <row r="102" spans="1:49">
      <c r="A102">
        <v>172</v>
      </c>
      <c r="B102" t="s">
        <v>562</v>
      </c>
      <c r="C102" s="59">
        <v>45456</v>
      </c>
      <c r="D102" t="s">
        <v>1925</v>
      </c>
      <c r="E102" t="s">
        <v>568</v>
      </c>
      <c r="F102" t="s">
        <v>1926</v>
      </c>
      <c r="G102" t="s">
        <v>1927</v>
      </c>
      <c r="H102" t="s">
        <v>1928</v>
      </c>
      <c r="I102" s="59">
        <v>45457</v>
      </c>
      <c r="J102" t="s">
        <v>563</v>
      </c>
      <c r="K102" t="s">
        <v>1924</v>
      </c>
      <c r="L102" s="59"/>
      <c r="M102" t="s">
        <v>125</v>
      </c>
      <c r="N102" t="s">
        <v>353</v>
      </c>
      <c r="O102">
        <v>10</v>
      </c>
      <c r="P102" t="s">
        <v>1923</v>
      </c>
      <c r="Q102" t="s">
        <v>1928</v>
      </c>
      <c r="S102" t="s">
        <v>1929</v>
      </c>
      <c r="T102" t="s">
        <v>571</v>
      </c>
      <c r="W102">
        <v>16900</v>
      </c>
      <c r="X102">
        <v>1900</v>
      </c>
      <c r="Y102">
        <v>0</v>
      </c>
      <c r="Z102">
        <v>3000</v>
      </c>
      <c r="AA102">
        <v>0</v>
      </c>
      <c r="AB102">
        <v>0</v>
      </c>
      <c r="AD102" t="s">
        <v>124</v>
      </c>
      <c r="AF102">
        <v>1790</v>
      </c>
      <c r="AG102">
        <v>1100</v>
      </c>
      <c r="AH102">
        <v>16900</v>
      </c>
      <c r="AI102">
        <v>14000</v>
      </c>
      <c r="AJ102">
        <v>2008</v>
      </c>
      <c r="AK102">
        <v>892</v>
      </c>
      <c r="AL102">
        <v>5.28E-2</v>
      </c>
      <c r="AN102" t="s">
        <v>834</v>
      </c>
      <c r="AP102">
        <v>16900</v>
      </c>
      <c r="AQ102">
        <v>14000</v>
      </c>
      <c r="AR102">
        <v>2008</v>
      </c>
      <c r="AS102">
        <v>892</v>
      </c>
      <c r="AT102">
        <v>5.28E-2</v>
      </c>
      <c r="AU102" t="s">
        <v>560</v>
      </c>
      <c r="AV102">
        <v>0</v>
      </c>
      <c r="AW102">
        <v>11000</v>
      </c>
    </row>
    <row r="103" spans="1:49">
      <c r="A103">
        <v>173</v>
      </c>
      <c r="B103" t="s">
        <v>562</v>
      </c>
      <c r="C103" s="59">
        <v>45457</v>
      </c>
      <c r="D103" t="s">
        <v>1933</v>
      </c>
      <c r="E103" t="s">
        <v>568</v>
      </c>
      <c r="F103" t="s">
        <v>1931</v>
      </c>
      <c r="G103" t="s">
        <v>1934</v>
      </c>
      <c r="H103" t="s">
        <v>1935</v>
      </c>
      <c r="I103" s="59">
        <v>45457</v>
      </c>
      <c r="J103" t="s">
        <v>563</v>
      </c>
      <c r="K103" t="s">
        <v>1932</v>
      </c>
      <c r="L103" s="59"/>
      <c r="M103" t="s">
        <v>98</v>
      </c>
      <c r="N103" t="s">
        <v>353</v>
      </c>
      <c r="O103">
        <v>3</v>
      </c>
      <c r="P103" t="s">
        <v>1931</v>
      </c>
      <c r="Q103" t="s">
        <v>1935</v>
      </c>
      <c r="S103" t="s">
        <v>1936</v>
      </c>
      <c r="T103" t="s">
        <v>571</v>
      </c>
      <c r="W103">
        <v>20400</v>
      </c>
      <c r="X103">
        <v>0</v>
      </c>
      <c r="Y103">
        <v>0</v>
      </c>
      <c r="Z103">
        <v>3500</v>
      </c>
      <c r="AA103">
        <v>0</v>
      </c>
      <c r="AB103">
        <v>0</v>
      </c>
      <c r="AD103" t="s">
        <v>1980</v>
      </c>
      <c r="AF103">
        <v>6430</v>
      </c>
      <c r="AG103">
        <v>3960</v>
      </c>
      <c r="AH103">
        <v>20400</v>
      </c>
      <c r="AI103">
        <v>15380</v>
      </c>
      <c r="AJ103">
        <v>2424</v>
      </c>
      <c r="AK103">
        <v>2596</v>
      </c>
      <c r="AL103">
        <v>0.1273</v>
      </c>
      <c r="AN103" t="s">
        <v>834</v>
      </c>
      <c r="AP103">
        <v>20400</v>
      </c>
      <c r="AQ103">
        <v>15380</v>
      </c>
      <c r="AR103">
        <v>2424</v>
      </c>
      <c r="AS103">
        <v>2596</v>
      </c>
      <c r="AT103">
        <v>0.1273</v>
      </c>
      <c r="AU103" t="s">
        <v>560</v>
      </c>
      <c r="AV103">
        <v>0</v>
      </c>
      <c r="AW103">
        <v>11880</v>
      </c>
    </row>
    <row r="104" spans="1:49">
      <c r="A104">
        <v>174</v>
      </c>
      <c r="B104" t="s">
        <v>562</v>
      </c>
      <c r="C104" s="59">
        <v>45457</v>
      </c>
      <c r="D104" t="s">
        <v>1942</v>
      </c>
      <c r="E104" t="s">
        <v>561</v>
      </c>
      <c r="F104" t="s">
        <v>1938</v>
      </c>
      <c r="G104" t="s">
        <v>1943</v>
      </c>
      <c r="H104" t="s">
        <v>1944</v>
      </c>
      <c r="I104" s="59">
        <v>45457</v>
      </c>
      <c r="J104" t="s">
        <v>563</v>
      </c>
      <c r="K104" t="s">
        <v>1940</v>
      </c>
      <c r="L104" s="59"/>
      <c r="M104" t="s">
        <v>129</v>
      </c>
      <c r="N104" t="s">
        <v>353</v>
      </c>
      <c r="O104">
        <v>10</v>
      </c>
      <c r="P104" t="s">
        <v>1938</v>
      </c>
      <c r="Q104" t="s">
        <v>1944</v>
      </c>
      <c r="S104" t="s">
        <v>1945</v>
      </c>
      <c r="T104" t="s">
        <v>1354</v>
      </c>
      <c r="W104">
        <v>10800</v>
      </c>
      <c r="X104">
        <v>0</v>
      </c>
      <c r="Y104">
        <v>3000</v>
      </c>
      <c r="Z104">
        <v>3000</v>
      </c>
      <c r="AA104">
        <v>0</v>
      </c>
      <c r="AB104">
        <v>0</v>
      </c>
      <c r="AD104" t="s">
        <v>128</v>
      </c>
      <c r="AF104">
        <v>1020</v>
      </c>
      <c r="AG104">
        <v>660</v>
      </c>
      <c r="AH104">
        <v>13800</v>
      </c>
      <c r="AI104">
        <v>9600</v>
      </c>
      <c r="AJ104">
        <v>569</v>
      </c>
      <c r="AK104">
        <v>3631</v>
      </c>
      <c r="AL104">
        <v>0.2631</v>
      </c>
      <c r="AN104" t="s">
        <v>834</v>
      </c>
      <c r="AP104">
        <v>13800</v>
      </c>
      <c r="AQ104">
        <v>9600</v>
      </c>
      <c r="AR104">
        <v>569</v>
      </c>
      <c r="AS104">
        <v>3631</v>
      </c>
      <c r="AT104">
        <v>0.2631</v>
      </c>
      <c r="AU104" t="s">
        <v>560</v>
      </c>
      <c r="AV104">
        <v>0</v>
      </c>
      <c r="AW104">
        <v>6600</v>
      </c>
    </row>
    <row r="105" spans="1:49">
      <c r="A105">
        <v>175</v>
      </c>
      <c r="B105" t="s">
        <v>562</v>
      </c>
      <c r="C105" s="59">
        <v>45457</v>
      </c>
      <c r="D105" t="s">
        <v>1951</v>
      </c>
      <c r="E105" t="s">
        <v>561</v>
      </c>
      <c r="F105" t="s">
        <v>1948</v>
      </c>
      <c r="G105" t="s">
        <v>1952</v>
      </c>
      <c r="H105" t="s">
        <v>1953</v>
      </c>
      <c r="I105" s="59">
        <v>45457</v>
      </c>
      <c r="J105" t="s">
        <v>563</v>
      </c>
      <c r="K105" t="s">
        <v>1949</v>
      </c>
      <c r="L105" s="59"/>
      <c r="M105" t="s">
        <v>34</v>
      </c>
      <c r="N105" t="s">
        <v>353</v>
      </c>
      <c r="O105">
        <v>1</v>
      </c>
      <c r="P105" t="s">
        <v>1948</v>
      </c>
      <c r="Q105" t="s">
        <v>1953</v>
      </c>
      <c r="S105" t="s">
        <v>1954</v>
      </c>
      <c r="W105">
        <v>28620</v>
      </c>
      <c r="X105">
        <v>3180</v>
      </c>
      <c r="Y105">
        <v>0</v>
      </c>
      <c r="Z105">
        <v>3500</v>
      </c>
      <c r="AA105">
        <v>0</v>
      </c>
      <c r="AB105">
        <v>0</v>
      </c>
      <c r="AD105" t="s">
        <v>33</v>
      </c>
      <c r="AF105">
        <v>30600</v>
      </c>
      <c r="AG105">
        <v>19800</v>
      </c>
      <c r="AH105">
        <v>28620</v>
      </c>
      <c r="AI105">
        <v>23300</v>
      </c>
      <c r="AJ105">
        <v>1219</v>
      </c>
      <c r="AK105">
        <v>4101</v>
      </c>
      <c r="AL105">
        <v>0.14330000000000001</v>
      </c>
      <c r="AN105" t="s">
        <v>834</v>
      </c>
      <c r="AP105">
        <v>28620</v>
      </c>
      <c r="AQ105">
        <v>23300</v>
      </c>
      <c r="AR105">
        <v>1219</v>
      </c>
      <c r="AS105">
        <v>4101</v>
      </c>
      <c r="AT105">
        <v>0.14330000000000001</v>
      </c>
      <c r="AU105" t="s">
        <v>560</v>
      </c>
      <c r="AV105">
        <v>0</v>
      </c>
      <c r="AW105">
        <v>19800</v>
      </c>
    </row>
    <row r="106" spans="1:49">
      <c r="A106">
        <v>176</v>
      </c>
      <c r="B106" t="s">
        <v>562</v>
      </c>
      <c r="C106" s="59">
        <v>45457</v>
      </c>
      <c r="D106" t="s">
        <v>1956</v>
      </c>
      <c r="E106" t="s">
        <v>561</v>
      </c>
      <c r="F106" t="s">
        <v>1948</v>
      </c>
      <c r="G106" t="s">
        <v>1952</v>
      </c>
      <c r="H106" t="s">
        <v>1953</v>
      </c>
      <c r="I106" s="59">
        <v>45457</v>
      </c>
      <c r="J106" t="s">
        <v>563</v>
      </c>
      <c r="K106" t="s">
        <v>1949</v>
      </c>
      <c r="L106" s="59"/>
      <c r="M106" t="s">
        <v>24</v>
      </c>
      <c r="N106" t="s">
        <v>353</v>
      </c>
      <c r="O106">
        <v>1</v>
      </c>
      <c r="P106" t="s">
        <v>1948</v>
      </c>
      <c r="Q106" t="s">
        <v>1953</v>
      </c>
      <c r="S106" t="s">
        <v>1954</v>
      </c>
      <c r="W106">
        <v>13770</v>
      </c>
      <c r="X106">
        <v>1530</v>
      </c>
      <c r="Y106">
        <v>0</v>
      </c>
      <c r="Z106">
        <v>0</v>
      </c>
      <c r="AA106">
        <v>0</v>
      </c>
      <c r="AB106">
        <v>0</v>
      </c>
      <c r="AD106" t="s">
        <v>23</v>
      </c>
      <c r="AE106" t="s">
        <v>822</v>
      </c>
      <c r="AF106">
        <v>14450</v>
      </c>
      <c r="AG106">
        <v>9350</v>
      </c>
      <c r="AH106">
        <v>13770</v>
      </c>
      <c r="AI106">
        <v>9350</v>
      </c>
      <c r="AJ106">
        <v>628</v>
      </c>
      <c r="AK106">
        <v>3792</v>
      </c>
      <c r="AL106">
        <v>0.27539999999999998</v>
      </c>
      <c r="AN106" t="s">
        <v>834</v>
      </c>
      <c r="AP106">
        <v>13770</v>
      </c>
      <c r="AQ106">
        <v>9350</v>
      </c>
      <c r="AR106">
        <v>628</v>
      </c>
      <c r="AS106">
        <v>3792</v>
      </c>
      <c r="AT106">
        <v>0.27539999999999998</v>
      </c>
      <c r="AU106" t="s">
        <v>560</v>
      </c>
      <c r="AV106">
        <v>0</v>
      </c>
      <c r="AW106">
        <v>9350</v>
      </c>
    </row>
    <row r="107" spans="1:49">
      <c r="A107">
        <v>177</v>
      </c>
      <c r="B107" t="s">
        <v>562</v>
      </c>
      <c r="C107" s="59">
        <v>45456</v>
      </c>
      <c r="D107" t="s">
        <v>1960</v>
      </c>
      <c r="E107" t="s">
        <v>561</v>
      </c>
      <c r="F107" t="s">
        <v>1957</v>
      </c>
      <c r="G107" t="s">
        <v>1961</v>
      </c>
      <c r="H107" t="s">
        <v>1962</v>
      </c>
      <c r="I107" s="59">
        <v>45457</v>
      </c>
      <c r="J107" t="s">
        <v>563</v>
      </c>
      <c r="K107" t="s">
        <v>1958</v>
      </c>
      <c r="L107" s="59"/>
      <c r="M107" t="s">
        <v>44</v>
      </c>
      <c r="N107" t="s">
        <v>353</v>
      </c>
      <c r="O107">
        <v>2</v>
      </c>
      <c r="P107" t="s">
        <v>1957</v>
      </c>
      <c r="Q107" t="s">
        <v>1962</v>
      </c>
      <c r="S107" t="s">
        <v>1963</v>
      </c>
      <c r="W107">
        <v>29160</v>
      </c>
      <c r="X107">
        <v>3240</v>
      </c>
      <c r="Y107">
        <v>0</v>
      </c>
      <c r="Z107">
        <v>4400</v>
      </c>
      <c r="AA107">
        <v>0</v>
      </c>
      <c r="AB107">
        <v>0</v>
      </c>
      <c r="AD107" t="s">
        <v>43</v>
      </c>
      <c r="AF107">
        <v>15300</v>
      </c>
      <c r="AG107">
        <v>9900</v>
      </c>
      <c r="AH107">
        <v>29160</v>
      </c>
      <c r="AI107">
        <v>24200</v>
      </c>
      <c r="AJ107">
        <v>1241</v>
      </c>
      <c r="AK107">
        <v>3719</v>
      </c>
      <c r="AL107">
        <v>0.1275</v>
      </c>
      <c r="AN107" t="s">
        <v>834</v>
      </c>
      <c r="AP107">
        <v>29160</v>
      </c>
      <c r="AQ107">
        <v>24200</v>
      </c>
      <c r="AR107">
        <v>1241</v>
      </c>
      <c r="AS107">
        <v>3719</v>
      </c>
      <c r="AT107">
        <v>0.1275</v>
      </c>
      <c r="AU107" t="s">
        <v>560</v>
      </c>
      <c r="AV107">
        <v>0</v>
      </c>
      <c r="AW107">
        <v>19800</v>
      </c>
    </row>
    <row r="108" spans="1:49">
      <c r="A108">
        <v>178</v>
      </c>
      <c r="B108" t="s">
        <v>562</v>
      </c>
      <c r="C108" s="59">
        <v>45456</v>
      </c>
      <c r="D108" t="s">
        <v>1965</v>
      </c>
      <c r="E108" t="s">
        <v>561</v>
      </c>
      <c r="F108" t="s">
        <v>1957</v>
      </c>
      <c r="G108" t="s">
        <v>1961</v>
      </c>
      <c r="H108" t="s">
        <v>1962</v>
      </c>
      <c r="I108" s="59">
        <v>45457</v>
      </c>
      <c r="J108" t="s">
        <v>563</v>
      </c>
      <c r="K108" t="s">
        <v>1958</v>
      </c>
      <c r="L108" s="59"/>
      <c r="M108" t="s">
        <v>34</v>
      </c>
      <c r="N108" t="s">
        <v>353</v>
      </c>
      <c r="O108">
        <v>1</v>
      </c>
      <c r="P108" t="s">
        <v>1957</v>
      </c>
      <c r="Q108" t="s">
        <v>1962</v>
      </c>
      <c r="S108" t="s">
        <v>1963</v>
      </c>
      <c r="W108">
        <v>28620</v>
      </c>
      <c r="X108">
        <v>3180</v>
      </c>
      <c r="Y108">
        <v>0</v>
      </c>
      <c r="Z108">
        <v>0</v>
      </c>
      <c r="AA108">
        <v>0</v>
      </c>
      <c r="AB108">
        <v>0</v>
      </c>
      <c r="AD108" t="s">
        <v>33</v>
      </c>
      <c r="AE108" t="s">
        <v>822</v>
      </c>
      <c r="AF108">
        <v>30600</v>
      </c>
      <c r="AG108">
        <v>19800</v>
      </c>
      <c r="AH108">
        <v>28620</v>
      </c>
      <c r="AI108">
        <v>19800</v>
      </c>
      <c r="AJ108">
        <v>1219</v>
      </c>
      <c r="AK108">
        <v>7601</v>
      </c>
      <c r="AL108">
        <v>0.2656</v>
      </c>
      <c r="AN108" t="s">
        <v>834</v>
      </c>
      <c r="AP108">
        <v>28620</v>
      </c>
      <c r="AQ108">
        <v>19800</v>
      </c>
      <c r="AR108">
        <v>1219</v>
      </c>
      <c r="AS108">
        <v>7601</v>
      </c>
      <c r="AT108">
        <v>0.2656</v>
      </c>
      <c r="AU108" t="s">
        <v>560</v>
      </c>
      <c r="AV108">
        <v>0</v>
      </c>
      <c r="AW108">
        <v>19800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AC8BA-8075-4256-88F2-7523C5C70664}">
  <sheetPr codeName="outDB"/>
  <dimension ref="A1:AX180"/>
  <sheetViews>
    <sheetView topLeftCell="Z1" workbookViewId="0">
      <selection activeCell="AF1" sqref="AF1:AJ1"/>
    </sheetView>
  </sheetViews>
  <sheetFormatPr defaultRowHeight="20.100000000000001" customHeight="1"/>
  <cols>
    <col min="1" max="1" width="3.75" style="55" bestFit="1" customWidth="1"/>
    <col min="2" max="2" width="11.25" style="55" bestFit="1" customWidth="1"/>
    <col min="3" max="3" width="16.125" style="64" customWidth="1"/>
    <col min="4" max="4" width="10.5" style="55" customWidth="1"/>
    <col min="5" max="5" width="9.25" style="55" bestFit="1" customWidth="1"/>
    <col min="6" max="6" width="10.375" style="55" customWidth="1"/>
    <col min="7" max="7" width="13.25" style="55" bestFit="1" customWidth="1"/>
    <col min="8" max="9" width="11.125" style="63" bestFit="1" customWidth="1"/>
    <col min="10" max="10" width="9" style="55"/>
    <col min="11" max="11" width="12.25" style="64" bestFit="1" customWidth="1"/>
    <col min="12" max="12" width="11.25" style="63" hidden="1" customWidth="1"/>
    <col min="13" max="13" width="9.25" style="55" bestFit="1" customWidth="1"/>
    <col min="14" max="15" width="14.5" style="55" bestFit="1" customWidth="1"/>
    <col min="16" max="17" width="12.125" style="55" customWidth="1"/>
    <col min="18" max="18" width="7.375" style="55" bestFit="1" customWidth="1"/>
    <col min="19" max="19" width="9.25" style="55" bestFit="1" customWidth="1"/>
    <col min="20" max="20" width="5.5" style="60" bestFit="1" customWidth="1"/>
    <col min="21" max="27" width="10.625" style="60" customWidth="1"/>
    <col min="28" max="28" width="6.875" style="60" customWidth="1"/>
    <col min="29" max="29" width="8.25" style="60" customWidth="1"/>
    <col min="30" max="31" width="8.125" style="60" customWidth="1"/>
    <col min="32" max="33" width="8.625" style="60" bestFit="1" customWidth="1"/>
    <col min="34" max="34" width="7.125" style="61" bestFit="1" customWidth="1"/>
    <col min="35" max="35" width="8.75" style="55" customWidth="1"/>
    <col min="36" max="36" width="12.125" style="55" customWidth="1"/>
    <col min="37" max="37" width="9.875" style="55" customWidth="1"/>
    <col min="38" max="38" width="12.625" style="55" customWidth="1"/>
    <col min="39" max="39" width="9.875" style="55" customWidth="1"/>
    <col min="40" max="40" width="11.75" style="55" customWidth="1"/>
    <col min="41" max="41" width="8" style="55" customWidth="1"/>
    <col min="42" max="42" width="12.625" style="62" customWidth="1"/>
    <col min="43" max="43" width="12.625" style="60" customWidth="1"/>
    <col min="44" max="45" width="8.625" style="60" customWidth="1"/>
    <col min="46" max="46" width="8.625" style="61" customWidth="1"/>
    <col min="47" max="47" width="6.25" style="55" customWidth="1"/>
    <col min="48" max="48" width="6.75" style="60" bestFit="1" customWidth="1"/>
    <col min="49" max="16384" width="9" style="55"/>
  </cols>
  <sheetData>
    <row r="1" spans="1:50" s="65" customFormat="1" ht="30" customHeight="1">
      <c r="A1" s="82" t="s">
        <v>634</v>
      </c>
      <c r="B1" s="82" t="s">
        <v>169</v>
      </c>
      <c r="C1" s="90" t="s">
        <v>633</v>
      </c>
      <c r="D1" s="82" t="s">
        <v>538</v>
      </c>
      <c r="E1" s="89" t="s">
        <v>313</v>
      </c>
      <c r="F1" s="89" t="s">
        <v>632</v>
      </c>
      <c r="G1" s="89" t="s">
        <v>631</v>
      </c>
      <c r="H1" s="88" t="s">
        <v>630</v>
      </c>
      <c r="I1" s="87" t="s">
        <v>629</v>
      </c>
      <c r="J1" s="86" t="s">
        <v>546</v>
      </c>
      <c r="K1" s="85" t="s">
        <v>628</v>
      </c>
      <c r="L1" s="84" t="s">
        <v>627</v>
      </c>
      <c r="M1" s="83" t="s">
        <v>123</v>
      </c>
      <c r="N1" s="82" t="s">
        <v>626</v>
      </c>
      <c r="O1" s="82" t="s">
        <v>625</v>
      </c>
      <c r="P1" s="82" t="s">
        <v>549</v>
      </c>
      <c r="Q1" s="82" t="s">
        <v>550</v>
      </c>
      <c r="R1" s="82" t="s">
        <v>113</v>
      </c>
      <c r="S1" s="81" t="s">
        <v>624</v>
      </c>
      <c r="T1" s="80" t="s">
        <v>536</v>
      </c>
      <c r="U1" s="79" t="s">
        <v>623</v>
      </c>
      <c r="V1" s="79" t="s">
        <v>622</v>
      </c>
      <c r="W1" s="79" t="s">
        <v>621</v>
      </c>
      <c r="X1" s="79" t="s">
        <v>620</v>
      </c>
      <c r="Y1" s="79" t="s">
        <v>619</v>
      </c>
      <c r="Z1" s="79" t="s">
        <v>618</v>
      </c>
      <c r="AA1" s="79" t="s">
        <v>617</v>
      </c>
      <c r="AB1" s="78" t="s">
        <v>616</v>
      </c>
      <c r="AC1" s="78" t="s">
        <v>615</v>
      </c>
      <c r="AD1" s="77" t="s">
        <v>614</v>
      </c>
      <c r="AE1" s="77" t="s">
        <v>613</v>
      </c>
      <c r="AF1" s="76" t="s">
        <v>612</v>
      </c>
      <c r="AG1" s="75" t="s">
        <v>611</v>
      </c>
      <c r="AH1" s="74" t="s">
        <v>610</v>
      </c>
      <c r="AI1" s="70" t="s">
        <v>609</v>
      </c>
      <c r="AJ1" s="73" t="s">
        <v>608</v>
      </c>
      <c r="AK1" s="72" t="s">
        <v>607</v>
      </c>
      <c r="AL1" s="71" t="s">
        <v>606</v>
      </c>
      <c r="AM1" s="71" t="s">
        <v>605</v>
      </c>
      <c r="AN1" s="70" t="s">
        <v>604</v>
      </c>
      <c r="AO1" s="70" t="s">
        <v>603</v>
      </c>
      <c r="AP1" s="69" t="s">
        <v>602</v>
      </c>
      <c r="AQ1" s="67" t="s">
        <v>601</v>
      </c>
      <c r="AR1" s="67" t="s">
        <v>600</v>
      </c>
      <c r="AS1" s="68" t="s">
        <v>599</v>
      </c>
      <c r="AT1" s="67" t="s">
        <v>598</v>
      </c>
      <c r="AU1" s="68" t="s">
        <v>597</v>
      </c>
      <c r="AV1" s="67" t="s">
        <v>596</v>
      </c>
      <c r="AW1" s="66"/>
      <c r="AX1" s="66">
        <v>180</v>
      </c>
    </row>
    <row r="2" spans="1:50" ht="20.100000000000001" customHeight="1">
      <c r="A2" s="55">
        <v>1</v>
      </c>
      <c r="B2" s="55" t="s">
        <v>324</v>
      </c>
      <c r="C2" s="64" t="s">
        <v>595</v>
      </c>
      <c r="D2" s="55" t="s">
        <v>861</v>
      </c>
      <c r="E2" s="55" t="s">
        <v>592</v>
      </c>
      <c r="F2" s="55" t="s">
        <v>594</v>
      </c>
      <c r="H2" s="63">
        <v>45293</v>
      </c>
      <c r="I2" s="63">
        <v>45293</v>
      </c>
      <c r="J2" s="55" t="s">
        <v>575</v>
      </c>
      <c r="K2" s="64" t="s">
        <v>593</v>
      </c>
      <c r="L2" s="63">
        <v>44929</v>
      </c>
      <c r="M2" s="55" t="s">
        <v>592</v>
      </c>
      <c r="N2" s="55" t="s">
        <v>591</v>
      </c>
      <c r="P2" s="56" t="s">
        <v>590</v>
      </c>
      <c r="R2" s="55" t="s">
        <v>589</v>
      </c>
      <c r="S2" s="55" t="s">
        <v>573</v>
      </c>
      <c r="T2" s="60">
        <v>2</v>
      </c>
      <c r="U2" s="60">
        <v>64800</v>
      </c>
      <c r="V2" s="60">
        <v>0</v>
      </c>
      <c r="W2" s="60">
        <v>0</v>
      </c>
      <c r="X2" s="60">
        <v>0</v>
      </c>
      <c r="Y2" s="60">
        <v>4300</v>
      </c>
      <c r="Z2" s="60">
        <v>1650</v>
      </c>
      <c r="AA2" s="60">
        <v>0</v>
      </c>
      <c r="AB2" s="60">
        <v>32400</v>
      </c>
      <c r="AC2" s="60">
        <v>19800</v>
      </c>
      <c r="AD2" s="60">
        <v>64800</v>
      </c>
      <c r="AE2" s="60">
        <v>45550</v>
      </c>
      <c r="AF2" s="60">
        <v>2579</v>
      </c>
      <c r="AG2" s="60">
        <v>16671</v>
      </c>
      <c r="AH2" s="61">
        <v>0.25729999999999997</v>
      </c>
      <c r="AL2" s="55" t="s">
        <v>588</v>
      </c>
      <c r="AN2" s="55" t="s">
        <v>572</v>
      </c>
      <c r="AP2" s="62">
        <f>IFERROR(IF(출고표[[#This Row],[클레임]]="반품",출고표[[#This Row],[배송비]],출고표[[#This Row],[결제액]]+출고표[[#This Row],[배송비]]+출고표[[#This Row],[제주/도서추가배송비]]),0)</f>
        <v>64800</v>
      </c>
      <c r="AQ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45550</v>
      </c>
      <c r="AR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2659</v>
      </c>
      <c r="AS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16591</v>
      </c>
      <c r="AT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0.25600000000000001</v>
      </c>
      <c r="AU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2" s="60">
        <f>IFERROR(IF(D2="스마트스토어",COUNTIFS(출고표[구입일자],"&lt;&gt;"&amp;H2,출고표[구매자명],E2,출고표[구매자연락처],F2),COUNTIFS(출고표[구입일자],"&lt;&gt;"&amp;H2,출고표[구매자명],E2,출고표[구매자연락처],G2)),0)</f>
        <v>0</v>
      </c>
      <c r="AW2" s="60"/>
      <c r="AX2" s="60"/>
    </row>
    <row r="3" spans="1:50" ht="20.100000000000001" customHeight="1">
      <c r="A3" s="55">
        <v>2</v>
      </c>
      <c r="B3" s="55" t="s">
        <v>317</v>
      </c>
      <c r="C3" s="64" t="s">
        <v>586</v>
      </c>
      <c r="D3" s="55" t="s">
        <v>576</v>
      </c>
      <c r="E3" s="55" t="s">
        <v>585</v>
      </c>
      <c r="G3" s="55" t="s">
        <v>582</v>
      </c>
      <c r="H3" s="63">
        <v>45292</v>
      </c>
      <c r="I3" s="63">
        <v>45294</v>
      </c>
      <c r="J3" s="55" t="s">
        <v>575</v>
      </c>
      <c r="K3" s="64" t="s">
        <v>584</v>
      </c>
      <c r="L3" s="63">
        <v>44930</v>
      </c>
      <c r="M3" s="55" t="s">
        <v>583</v>
      </c>
      <c r="N3" s="55" t="s">
        <v>582</v>
      </c>
      <c r="O3" s="55" t="s">
        <v>581</v>
      </c>
      <c r="P3" s="55" t="s">
        <v>580</v>
      </c>
      <c r="Q3" s="55" t="s">
        <v>574</v>
      </c>
      <c r="R3" s="55" t="s">
        <v>579</v>
      </c>
      <c r="S3" s="55" t="s">
        <v>578</v>
      </c>
      <c r="T3" s="60">
        <v>1</v>
      </c>
      <c r="U3" s="60">
        <v>2500</v>
      </c>
      <c r="V3" s="60">
        <v>0</v>
      </c>
      <c r="W3" s="60">
        <v>3000</v>
      </c>
      <c r="X3" s="60">
        <v>0</v>
      </c>
      <c r="Y3" s="60">
        <v>2900</v>
      </c>
      <c r="Z3" s="60">
        <v>0</v>
      </c>
      <c r="AA3" s="60">
        <v>0</v>
      </c>
      <c r="AB3" s="60">
        <v>2300</v>
      </c>
      <c r="AC3" s="60">
        <v>1397</v>
      </c>
      <c r="AD3" s="60">
        <v>5500</v>
      </c>
      <c r="AE3" s="60">
        <v>0</v>
      </c>
      <c r="AF3" s="60">
        <v>396</v>
      </c>
      <c r="AG3" s="60">
        <v>0</v>
      </c>
      <c r="AL3" s="55" t="s">
        <v>577</v>
      </c>
      <c r="AN3" s="55" t="s">
        <v>572</v>
      </c>
      <c r="AP3" s="62">
        <f>IFERROR(IF(출고표[[#This Row],[클레임]]="반품",출고표[[#This Row],[배송비]],출고표[[#This Row],[결제액]]+출고표[[#This Row],[배송비]]+출고표[[#This Row],[제주/도서추가배송비]]),0)</f>
        <v>5500</v>
      </c>
      <c r="AQ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396</v>
      </c>
      <c r="AS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" s="60">
        <f>IFERROR(IF(D3="스마트스토어",COUNTIFS(출고표[구입일자],"&lt;&gt;"&amp;H3,출고표[구매자명],E3,출고표[구매자연락처],F3),COUNTIFS(출고표[구입일자],"&lt;&gt;"&amp;H3,출고표[구매자명],E3,출고표[구매자연락처],G3)),0)</f>
        <v>0</v>
      </c>
      <c r="AW3" s="60"/>
      <c r="AX3" s="60"/>
    </row>
    <row r="4" spans="1:50" ht="20.100000000000001" customHeight="1">
      <c r="A4" s="55">
        <v>3</v>
      </c>
      <c r="B4" s="55" t="s">
        <v>673</v>
      </c>
      <c r="C4" s="64" t="s">
        <v>2075</v>
      </c>
      <c r="D4" s="55" t="s">
        <v>532</v>
      </c>
      <c r="H4" s="63">
        <v>45443</v>
      </c>
      <c r="I4" s="63">
        <v>45443</v>
      </c>
      <c r="J4" s="55" t="s">
        <v>563</v>
      </c>
      <c r="K4" s="64" t="s">
        <v>920</v>
      </c>
      <c r="M4" s="55" t="s">
        <v>918</v>
      </c>
      <c r="N4" s="55" t="s">
        <v>924</v>
      </c>
      <c r="P4" s="55" t="s">
        <v>925</v>
      </c>
      <c r="R4" s="55" t="s">
        <v>531</v>
      </c>
      <c r="S4" s="55" t="s">
        <v>353</v>
      </c>
      <c r="T4" s="60">
        <v>1</v>
      </c>
      <c r="U4" s="60">
        <v>0</v>
      </c>
      <c r="V4" s="60">
        <v>0</v>
      </c>
      <c r="W4" s="60">
        <v>0</v>
      </c>
      <c r="X4" s="60">
        <v>0</v>
      </c>
      <c r="Y4" s="60">
        <v>4400</v>
      </c>
      <c r="Z4" s="60">
        <v>0</v>
      </c>
      <c r="AB4" s="60" t="s">
        <v>529</v>
      </c>
      <c r="AC4" s="60" t="s">
        <v>349</v>
      </c>
      <c r="AD4" s="60">
        <v>0</v>
      </c>
      <c r="AE4" s="60">
        <v>0</v>
      </c>
      <c r="AF4" s="60">
        <v>0</v>
      </c>
      <c r="AG4" s="60">
        <v>0</v>
      </c>
      <c r="AL4" s="55" t="s">
        <v>532</v>
      </c>
      <c r="AN4" s="55" t="s">
        <v>834</v>
      </c>
      <c r="AP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" s="60">
        <f>IFERROR(IF(D4="스마트스토어",COUNTIFS(출고표[구입일자],"&lt;&gt;"&amp;H4,출고표[구매자명],E4,출고표[구매자연락처],F4),COUNTIFS(출고표[구입일자],"&lt;&gt;"&amp;H4,출고표[구매자명],E4,출고표[구매자연락처],G4)),0)</f>
        <v>0</v>
      </c>
    </row>
    <row r="5" spans="1:50" ht="20.100000000000001" customHeight="1">
      <c r="A5" s="55">
        <v>4</v>
      </c>
      <c r="B5" s="55" t="s">
        <v>562</v>
      </c>
      <c r="C5" s="64" t="s">
        <v>2076</v>
      </c>
      <c r="D5" s="55" t="s">
        <v>561</v>
      </c>
      <c r="E5" s="55" t="s">
        <v>926</v>
      </c>
      <c r="F5" s="55" t="s">
        <v>930</v>
      </c>
      <c r="G5" s="55" t="s">
        <v>931</v>
      </c>
      <c r="H5" s="63">
        <v>45443</v>
      </c>
      <c r="I5" s="63">
        <v>45443</v>
      </c>
      <c r="J5" s="55" t="s">
        <v>563</v>
      </c>
      <c r="K5" s="64" t="s">
        <v>928</v>
      </c>
      <c r="M5" s="55" t="s">
        <v>926</v>
      </c>
      <c r="N5" s="55" t="s">
        <v>931</v>
      </c>
      <c r="P5" s="55" t="s">
        <v>932</v>
      </c>
      <c r="R5" s="55" t="s">
        <v>36</v>
      </c>
      <c r="S5" s="55" t="s">
        <v>353</v>
      </c>
      <c r="T5" s="60">
        <v>5</v>
      </c>
      <c r="U5" s="60">
        <v>135000</v>
      </c>
      <c r="V5" s="60">
        <v>0</v>
      </c>
      <c r="W5" s="60">
        <v>0</v>
      </c>
      <c r="X5" s="60">
        <v>0</v>
      </c>
      <c r="Y5" s="60">
        <v>4400</v>
      </c>
      <c r="Z5" s="60">
        <v>0</v>
      </c>
      <c r="AB5" s="60">
        <v>25500</v>
      </c>
      <c r="AC5" s="60">
        <v>16500</v>
      </c>
      <c r="AD5" s="60">
        <v>135000</v>
      </c>
      <c r="AE5" s="60">
        <v>86900</v>
      </c>
      <c r="AF5" s="60">
        <v>5453</v>
      </c>
      <c r="AG5" s="60">
        <v>42647</v>
      </c>
      <c r="AH5" s="61">
        <v>0.31590000000000001</v>
      </c>
      <c r="AL5" s="55" t="s">
        <v>35</v>
      </c>
      <c r="AN5" s="55" t="s">
        <v>834</v>
      </c>
      <c r="AP5" s="62">
        <f>IFERROR(IF(출고표[[#This Row],[클레임]]="반품",출고표[[#This Row],[배송비]],출고표[[#This Row],[결제액]]+출고표[[#This Row],[배송비]]+출고표[[#This Row],[제주/도서추가배송비]]),0)</f>
        <v>135000</v>
      </c>
      <c r="AQ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86900</v>
      </c>
      <c r="AR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5453</v>
      </c>
      <c r="AS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42647</v>
      </c>
      <c r="AT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0.31590000000000001</v>
      </c>
      <c r="AU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" s="60">
        <f>IFERROR(IF(D5="스마트스토어",COUNTIFS(출고표[구입일자],"&lt;&gt;"&amp;H5,출고표[구매자명],E5,출고표[구매자연락처],F5),COUNTIFS(출고표[구입일자],"&lt;&gt;"&amp;H5,출고표[구매자명],E5,출고표[구매자연락처],G5)),0)</f>
        <v>1</v>
      </c>
    </row>
    <row r="6" spans="1:50" ht="20.100000000000001" customHeight="1">
      <c r="A6" s="55">
        <v>5</v>
      </c>
      <c r="B6" s="55" t="s">
        <v>562</v>
      </c>
      <c r="C6" s="64" t="s">
        <v>937</v>
      </c>
      <c r="D6" s="55" t="s">
        <v>561</v>
      </c>
      <c r="E6" s="55" t="s">
        <v>933</v>
      </c>
      <c r="F6" s="55" t="s">
        <v>938</v>
      </c>
      <c r="G6" s="55" t="s">
        <v>939</v>
      </c>
      <c r="H6" s="63">
        <v>45443</v>
      </c>
      <c r="I6" s="63">
        <v>45443</v>
      </c>
      <c r="J6" s="55" t="s">
        <v>563</v>
      </c>
      <c r="K6" s="64" t="s">
        <v>935</v>
      </c>
      <c r="M6" s="55" t="s">
        <v>933</v>
      </c>
      <c r="N6" s="55" t="s">
        <v>939</v>
      </c>
      <c r="P6" s="55" t="s">
        <v>940</v>
      </c>
      <c r="R6" s="55" t="s">
        <v>34</v>
      </c>
      <c r="S6" s="55" t="s">
        <v>353</v>
      </c>
      <c r="T6" s="60">
        <v>1</v>
      </c>
      <c r="U6" s="60">
        <v>28620</v>
      </c>
      <c r="V6" s="60">
        <v>3180</v>
      </c>
      <c r="W6" s="60">
        <v>3000</v>
      </c>
      <c r="X6" s="60">
        <v>0</v>
      </c>
      <c r="Y6" s="60">
        <v>3500</v>
      </c>
      <c r="Z6" s="60">
        <v>0</v>
      </c>
      <c r="AB6" s="60">
        <v>30600</v>
      </c>
      <c r="AC6" s="60">
        <v>19800</v>
      </c>
      <c r="AD6" s="60">
        <v>31620</v>
      </c>
      <c r="AE6" s="60">
        <v>23300</v>
      </c>
      <c r="AF6" s="60">
        <v>1278</v>
      </c>
      <c r="AG6" s="60">
        <v>7042</v>
      </c>
      <c r="AH6" s="61">
        <v>0.22270000000000001</v>
      </c>
      <c r="AL6" s="55" t="s">
        <v>33</v>
      </c>
      <c r="AN6" s="55" t="s">
        <v>834</v>
      </c>
      <c r="AP6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" s="60">
        <f>IFERROR(IF(D6="스마트스토어",COUNTIFS(출고표[구입일자],"&lt;&gt;"&amp;H6,출고표[구매자명],E6,출고표[구매자연락처],F6),COUNTIFS(출고표[구입일자],"&lt;&gt;"&amp;H6,출고표[구매자명],E6,출고표[구매자연락처],G6)),0)</f>
        <v>0</v>
      </c>
    </row>
    <row r="7" spans="1:50" ht="20.100000000000001" customHeight="1">
      <c r="A7" s="55">
        <v>6</v>
      </c>
      <c r="B7" s="55" t="s">
        <v>562</v>
      </c>
      <c r="C7" s="64" t="s">
        <v>947</v>
      </c>
      <c r="D7" s="55" t="s">
        <v>561</v>
      </c>
      <c r="E7" s="55" t="s">
        <v>942</v>
      </c>
      <c r="F7" s="55" t="s">
        <v>948</v>
      </c>
      <c r="G7" s="55" t="s">
        <v>949</v>
      </c>
      <c r="H7" s="63">
        <v>45443</v>
      </c>
      <c r="I7" s="63">
        <v>45443</v>
      </c>
      <c r="J7" s="55" t="s">
        <v>563</v>
      </c>
      <c r="K7" s="64" t="s">
        <v>945</v>
      </c>
      <c r="M7" s="55" t="s">
        <v>942</v>
      </c>
      <c r="N7" s="55" t="s">
        <v>949</v>
      </c>
      <c r="P7" s="55" t="s">
        <v>950</v>
      </c>
      <c r="R7" s="55" t="s">
        <v>266</v>
      </c>
      <c r="S7" s="55" t="s">
        <v>380</v>
      </c>
      <c r="T7" s="60">
        <v>40</v>
      </c>
      <c r="U7" s="60">
        <v>50400</v>
      </c>
      <c r="V7" s="60">
        <v>0</v>
      </c>
      <c r="W7" s="60">
        <v>0</v>
      </c>
      <c r="X7" s="60">
        <v>0</v>
      </c>
      <c r="Y7" s="60">
        <v>4400</v>
      </c>
      <c r="Z7" s="60">
        <v>0</v>
      </c>
      <c r="AB7" s="60">
        <v>1210</v>
      </c>
      <c r="AC7" s="60">
        <v>770</v>
      </c>
      <c r="AD7" s="60">
        <v>50400</v>
      </c>
      <c r="AE7" s="60">
        <v>35200</v>
      </c>
      <c r="AF7" s="60">
        <v>2086</v>
      </c>
      <c r="AG7" s="60">
        <v>13114</v>
      </c>
      <c r="AH7" s="61">
        <v>0.26019999999999999</v>
      </c>
      <c r="AL7" s="55" t="s">
        <v>1973</v>
      </c>
      <c r="AN7" s="55" t="s">
        <v>834</v>
      </c>
      <c r="AP7" s="62">
        <f>IFERROR(IF(출고표[[#This Row],[클레임]]="반품",출고표[[#This Row],[배송비]],출고표[[#This Row],[결제액]]+출고표[[#This Row],[배송비]]+출고표[[#This Row],[제주/도서추가배송비]]),0)</f>
        <v>50400</v>
      </c>
      <c r="AQ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35200</v>
      </c>
      <c r="AR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2086</v>
      </c>
      <c r="AS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13114</v>
      </c>
      <c r="AT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0.26019999999999999</v>
      </c>
      <c r="AU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" s="60">
        <f>IFERROR(IF(D7="스마트스토어",COUNTIFS(출고표[구입일자],"&lt;&gt;"&amp;H7,출고표[구매자명],E7,출고표[구매자연락처],F7),COUNTIFS(출고표[구입일자],"&lt;&gt;"&amp;H7,출고표[구매자명],E7,출고표[구매자연락처],G7)),0)</f>
        <v>0</v>
      </c>
    </row>
    <row r="8" spans="1:50" ht="20.100000000000001" customHeight="1">
      <c r="A8" s="55">
        <v>7</v>
      </c>
      <c r="B8" s="55" t="s">
        <v>562</v>
      </c>
      <c r="C8" s="64" t="s">
        <v>957</v>
      </c>
      <c r="D8" s="55" t="s">
        <v>561</v>
      </c>
      <c r="E8" s="55" t="s">
        <v>953</v>
      </c>
      <c r="F8" s="55" t="s">
        <v>958</v>
      </c>
      <c r="G8" s="55" t="s">
        <v>959</v>
      </c>
      <c r="H8" s="63">
        <v>45443</v>
      </c>
      <c r="I8" s="63">
        <v>45443</v>
      </c>
      <c r="J8" s="55" t="s">
        <v>563</v>
      </c>
      <c r="K8" s="64" t="s">
        <v>955</v>
      </c>
      <c r="M8" s="55" t="s">
        <v>953</v>
      </c>
      <c r="N8" s="55" t="s">
        <v>959</v>
      </c>
      <c r="P8" s="55" t="s">
        <v>960</v>
      </c>
      <c r="R8" s="55" t="s">
        <v>18</v>
      </c>
      <c r="S8" s="55" t="s">
        <v>353</v>
      </c>
      <c r="T8" s="60">
        <v>1</v>
      </c>
      <c r="U8" s="60">
        <v>10690</v>
      </c>
      <c r="V8" s="60">
        <v>1190</v>
      </c>
      <c r="W8" s="60">
        <v>3000</v>
      </c>
      <c r="X8" s="60">
        <v>0</v>
      </c>
      <c r="Y8" s="60">
        <v>3000</v>
      </c>
      <c r="Z8" s="60">
        <v>0</v>
      </c>
      <c r="AB8" s="60">
        <v>11220</v>
      </c>
      <c r="AC8" s="60">
        <v>7260</v>
      </c>
      <c r="AD8" s="60">
        <v>13690</v>
      </c>
      <c r="AE8" s="60">
        <v>10260</v>
      </c>
      <c r="AF8" s="60">
        <v>564</v>
      </c>
      <c r="AG8" s="60">
        <v>2866</v>
      </c>
      <c r="AH8" s="61">
        <v>0.20930000000000001</v>
      </c>
      <c r="AL8" s="55" t="s">
        <v>17</v>
      </c>
      <c r="AN8" s="55" t="s">
        <v>834</v>
      </c>
      <c r="AP8" s="62">
        <f>IFERROR(IF(출고표[[#This Row],[클레임]]="반품",출고표[[#This Row],[배송비]],출고표[[#This Row],[결제액]]+출고표[[#This Row],[배송비]]+출고표[[#This Row],[제주/도서추가배송비]]),0)</f>
        <v>13690</v>
      </c>
      <c r="AQ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0.20930000000000001</v>
      </c>
      <c r="AU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" s="60">
        <f>IFERROR(IF(D8="스마트스토어",COUNTIFS(출고표[구입일자],"&lt;&gt;"&amp;H8,출고표[구매자명],E8,출고표[구매자연락처],F8),COUNTIFS(출고표[구입일자],"&lt;&gt;"&amp;H8,출고표[구매자명],E8,출고표[구매자연락처],G8)),0)</f>
        <v>0</v>
      </c>
    </row>
    <row r="9" spans="1:50" ht="20.100000000000001" customHeight="1">
      <c r="A9" s="55">
        <v>8</v>
      </c>
      <c r="B9" s="55" t="s">
        <v>562</v>
      </c>
      <c r="C9" s="64" t="s">
        <v>966</v>
      </c>
      <c r="D9" s="55" t="s">
        <v>561</v>
      </c>
      <c r="E9" s="55" t="s">
        <v>962</v>
      </c>
      <c r="F9" s="55" t="s">
        <v>967</v>
      </c>
      <c r="G9" s="55" t="s">
        <v>968</v>
      </c>
      <c r="H9" s="63">
        <v>45442</v>
      </c>
      <c r="I9" s="63">
        <v>45443</v>
      </c>
      <c r="J9" s="55" t="s">
        <v>563</v>
      </c>
      <c r="K9" s="64" t="s">
        <v>964</v>
      </c>
      <c r="M9" s="55" t="s">
        <v>962</v>
      </c>
      <c r="N9" s="55" t="s">
        <v>968</v>
      </c>
      <c r="P9" s="55" t="s">
        <v>969</v>
      </c>
      <c r="Q9" s="55" t="s">
        <v>970</v>
      </c>
      <c r="R9" s="55" t="s">
        <v>22</v>
      </c>
      <c r="S9" s="55" t="s">
        <v>353</v>
      </c>
      <c r="T9" s="60">
        <v>1</v>
      </c>
      <c r="U9" s="60">
        <v>18630</v>
      </c>
      <c r="V9" s="60">
        <v>2070</v>
      </c>
      <c r="W9" s="60">
        <v>0</v>
      </c>
      <c r="X9" s="60">
        <v>0</v>
      </c>
      <c r="Y9" s="60">
        <v>3500</v>
      </c>
      <c r="Z9" s="60">
        <v>0</v>
      </c>
      <c r="AB9" s="60">
        <v>19550</v>
      </c>
      <c r="AC9" s="60">
        <v>12650</v>
      </c>
      <c r="AD9" s="60">
        <v>18630</v>
      </c>
      <c r="AE9" s="60">
        <v>16150</v>
      </c>
      <c r="AF9" s="60">
        <v>821</v>
      </c>
      <c r="AG9" s="60">
        <v>1659</v>
      </c>
      <c r="AH9" s="61">
        <v>8.8999999999999996E-2</v>
      </c>
      <c r="AL9" s="55" t="s">
        <v>21</v>
      </c>
      <c r="AN9" s="55" t="s">
        <v>834</v>
      </c>
      <c r="AP9" s="62">
        <f>IFERROR(IF(출고표[[#This Row],[클레임]]="반품",출고표[[#This Row],[배송비]],출고표[[#This Row],[결제액]]+출고표[[#This Row],[배송비]]+출고표[[#This Row],[제주/도서추가배송비]]),0)</f>
        <v>18630</v>
      </c>
      <c r="AQ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16150</v>
      </c>
      <c r="AR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1659</v>
      </c>
      <c r="AT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8.8999999999999996E-2</v>
      </c>
      <c r="AU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" s="60">
        <f>IFERROR(IF(D9="스마트스토어",COUNTIFS(출고표[구입일자],"&lt;&gt;"&amp;H9,출고표[구매자명],E9,출고표[구매자연락처],F9),COUNTIFS(출고표[구입일자],"&lt;&gt;"&amp;H9,출고표[구매자명],E9,출고표[구매자연락처],G9)),0)</f>
        <v>0</v>
      </c>
    </row>
    <row r="10" spans="1:50" ht="20.100000000000001" customHeight="1">
      <c r="A10" s="55">
        <v>9</v>
      </c>
      <c r="B10" s="55" t="s">
        <v>562</v>
      </c>
      <c r="C10" s="64" t="s">
        <v>972</v>
      </c>
      <c r="D10" s="55" t="s">
        <v>561</v>
      </c>
      <c r="E10" s="55" t="s">
        <v>962</v>
      </c>
      <c r="F10" s="55" t="s">
        <v>967</v>
      </c>
      <c r="G10" s="55" t="s">
        <v>968</v>
      </c>
      <c r="H10" s="63">
        <v>45442</v>
      </c>
      <c r="I10" s="63">
        <v>45443</v>
      </c>
      <c r="J10" s="55" t="s">
        <v>563</v>
      </c>
      <c r="K10" s="64" t="s">
        <v>964</v>
      </c>
      <c r="M10" s="55" t="s">
        <v>962</v>
      </c>
      <c r="N10" s="55" t="s">
        <v>968</v>
      </c>
      <c r="P10" s="55" t="s">
        <v>969</v>
      </c>
      <c r="Q10" s="55" t="s">
        <v>970</v>
      </c>
      <c r="R10" s="55" t="s">
        <v>24</v>
      </c>
      <c r="S10" s="55" t="s">
        <v>353</v>
      </c>
      <c r="T10" s="60">
        <v>1</v>
      </c>
      <c r="U10" s="60">
        <v>13770</v>
      </c>
      <c r="V10" s="60">
        <v>1530</v>
      </c>
      <c r="W10" s="60">
        <v>0</v>
      </c>
      <c r="X10" s="60">
        <v>0</v>
      </c>
      <c r="Y10" s="60">
        <v>0</v>
      </c>
      <c r="Z10" s="60">
        <v>0</v>
      </c>
      <c r="AB10" s="60">
        <v>14450</v>
      </c>
      <c r="AC10" s="60">
        <v>9350</v>
      </c>
      <c r="AD10" s="60">
        <v>13770</v>
      </c>
      <c r="AE10" s="60">
        <v>9350</v>
      </c>
      <c r="AF10" s="60">
        <v>628</v>
      </c>
      <c r="AG10" s="60">
        <v>3792</v>
      </c>
      <c r="AH10" s="61">
        <v>0.27539999999999998</v>
      </c>
      <c r="AL10" s="55" t="s">
        <v>23</v>
      </c>
      <c r="AM10" s="55" t="s">
        <v>822</v>
      </c>
      <c r="AN10" s="55" t="s">
        <v>834</v>
      </c>
      <c r="AP10" s="62">
        <f>IFERROR(IF(출고표[[#This Row],[클레임]]="반품",출고표[[#This Row],[배송비]],출고표[[#This Row],[결제액]]+출고표[[#This Row],[배송비]]+출고표[[#This Row],[제주/도서추가배송비]]),0)</f>
        <v>13770</v>
      </c>
      <c r="AQ1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9350</v>
      </c>
      <c r="AR1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3792</v>
      </c>
      <c r="AT1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0.27539999999999998</v>
      </c>
      <c r="AU1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" s="60">
        <f>IFERROR(IF(D10="스마트스토어",COUNTIFS(출고표[구입일자],"&lt;&gt;"&amp;H10,출고표[구매자명],E10,출고표[구매자연락처],F10),COUNTIFS(출고표[구입일자],"&lt;&gt;"&amp;H10,출고표[구매자명],E10,출고표[구매자연락처],G10)),0)</f>
        <v>0</v>
      </c>
    </row>
    <row r="11" spans="1:50" ht="20.100000000000001" customHeight="1">
      <c r="A11" s="55">
        <v>10</v>
      </c>
      <c r="B11" s="55" t="s">
        <v>562</v>
      </c>
      <c r="C11" s="64" t="s">
        <v>976</v>
      </c>
      <c r="D11" s="55" t="s">
        <v>561</v>
      </c>
      <c r="E11" s="55" t="s">
        <v>926</v>
      </c>
      <c r="F11" s="55" t="s">
        <v>930</v>
      </c>
      <c r="G11" s="55" t="s">
        <v>931</v>
      </c>
      <c r="H11" s="63">
        <v>45442</v>
      </c>
      <c r="I11" s="63">
        <v>45443</v>
      </c>
      <c r="J11" s="55" t="s">
        <v>563</v>
      </c>
      <c r="K11" s="64" t="s">
        <v>974</v>
      </c>
      <c r="M11" s="55" t="s">
        <v>926</v>
      </c>
      <c r="N11" s="55" t="s">
        <v>931</v>
      </c>
      <c r="P11" s="55" t="s">
        <v>932</v>
      </c>
      <c r="R11" s="55" t="s">
        <v>36</v>
      </c>
      <c r="S11" s="55" t="s">
        <v>353</v>
      </c>
      <c r="T11" s="60">
        <v>5</v>
      </c>
      <c r="U11" s="60">
        <v>121500</v>
      </c>
      <c r="V11" s="60">
        <v>13500</v>
      </c>
      <c r="W11" s="60">
        <v>0</v>
      </c>
      <c r="X11" s="60">
        <v>0</v>
      </c>
      <c r="Y11" s="60">
        <v>0</v>
      </c>
      <c r="Z11" s="60">
        <v>0</v>
      </c>
      <c r="AB11" s="60">
        <v>25500</v>
      </c>
      <c r="AC11" s="60">
        <v>16500</v>
      </c>
      <c r="AD11" s="60">
        <v>121500</v>
      </c>
      <c r="AE11" s="60">
        <v>82500</v>
      </c>
      <c r="AF11" s="60">
        <v>4916</v>
      </c>
      <c r="AG11" s="60">
        <v>34084</v>
      </c>
      <c r="AH11" s="61">
        <v>0.28050000000000003</v>
      </c>
      <c r="AL11" s="55" t="s">
        <v>35</v>
      </c>
      <c r="AM11" s="55" t="s">
        <v>822</v>
      </c>
      <c r="AN11" s="55" t="s">
        <v>834</v>
      </c>
      <c r="AP11" s="62">
        <f>IFERROR(IF(출고표[[#This Row],[클레임]]="반품",출고표[[#This Row],[배송비]],출고표[[#This Row],[결제액]]+출고표[[#This Row],[배송비]]+출고표[[#This Row],[제주/도서추가배송비]]),0)</f>
        <v>121500</v>
      </c>
      <c r="AQ1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82500</v>
      </c>
      <c r="AR1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4916</v>
      </c>
      <c r="AS1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34084</v>
      </c>
      <c r="AT1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0.28050000000000003</v>
      </c>
      <c r="AU1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" s="60">
        <f>IFERROR(IF(D11="스마트스토어",COUNTIFS(출고표[구입일자],"&lt;&gt;"&amp;H11,출고표[구매자명],E11,출고표[구매자연락처],F11),COUNTIFS(출고표[구입일자],"&lt;&gt;"&amp;H11,출고표[구매자명],E11,출고표[구매자연락처],G11)),0)</f>
        <v>1</v>
      </c>
    </row>
    <row r="12" spans="1:50" ht="20.100000000000001" customHeight="1">
      <c r="A12" s="55">
        <v>11</v>
      </c>
      <c r="B12" s="55" t="s">
        <v>673</v>
      </c>
      <c r="C12" s="64" t="s">
        <v>980</v>
      </c>
      <c r="D12" s="55" t="s">
        <v>568</v>
      </c>
      <c r="E12" s="55" t="s">
        <v>981</v>
      </c>
      <c r="F12" s="55" t="s">
        <v>982</v>
      </c>
      <c r="G12" s="55" t="s">
        <v>983</v>
      </c>
      <c r="H12" s="63">
        <v>45442</v>
      </c>
      <c r="I12" s="63">
        <v>45443</v>
      </c>
      <c r="J12" s="55" t="s">
        <v>563</v>
      </c>
      <c r="K12" s="64" t="s">
        <v>979</v>
      </c>
      <c r="M12" s="55" t="s">
        <v>978</v>
      </c>
      <c r="N12" s="55" t="s">
        <v>983</v>
      </c>
      <c r="P12" s="55" t="s">
        <v>984</v>
      </c>
      <c r="Q12" s="55" t="s">
        <v>569</v>
      </c>
      <c r="R12" s="55" t="s">
        <v>34</v>
      </c>
      <c r="S12" s="55" t="s">
        <v>353</v>
      </c>
      <c r="T12" s="60">
        <v>2</v>
      </c>
      <c r="U12" s="60">
        <v>60480</v>
      </c>
      <c r="V12" s="60">
        <v>0</v>
      </c>
      <c r="W12" s="60">
        <v>0</v>
      </c>
      <c r="X12" s="60">
        <v>0</v>
      </c>
      <c r="Y12" s="60">
        <v>4400</v>
      </c>
      <c r="Z12" s="60">
        <v>0</v>
      </c>
      <c r="AB12" s="60">
        <v>30240</v>
      </c>
      <c r="AC12" s="60">
        <v>19800</v>
      </c>
      <c r="AD12" s="60">
        <v>60480</v>
      </c>
      <c r="AE12" s="60">
        <v>0</v>
      </c>
      <c r="AF12" s="60">
        <v>7185</v>
      </c>
      <c r="AG12" s="60">
        <v>0</v>
      </c>
      <c r="AL12" s="55" t="s">
        <v>33</v>
      </c>
      <c r="AN12" s="55" t="s">
        <v>834</v>
      </c>
      <c r="AP12" s="62">
        <f>IFERROR(IF(출고표[[#This Row],[클레임]]="반품",출고표[[#This Row],[배송비]],출고표[[#This Row],[결제액]]+출고표[[#This Row],[배송비]]+출고표[[#This Row],[제주/도서추가배송비]]),0)</f>
        <v>60480</v>
      </c>
      <c r="AQ1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" s="60">
        <f>IFERROR(IF(D12="스마트스토어",COUNTIFS(출고표[구입일자],"&lt;&gt;"&amp;H12,출고표[구매자명],E12,출고표[구매자연락처],F12),COUNTIFS(출고표[구입일자],"&lt;&gt;"&amp;H12,출고표[구매자명],E12,출고표[구매자연락처],G12)),0)</f>
        <v>0</v>
      </c>
    </row>
    <row r="13" spans="1:50" ht="20.100000000000001" customHeight="1">
      <c r="A13" s="55">
        <v>12</v>
      </c>
      <c r="B13" s="55" t="s">
        <v>673</v>
      </c>
      <c r="C13" s="64" t="s">
        <v>989</v>
      </c>
      <c r="D13" s="55" t="s">
        <v>568</v>
      </c>
      <c r="E13" s="55" t="s">
        <v>986</v>
      </c>
      <c r="F13" s="55" t="s">
        <v>990</v>
      </c>
      <c r="G13" s="55" t="s">
        <v>991</v>
      </c>
      <c r="H13" s="63">
        <v>45443</v>
      </c>
      <c r="I13" s="63">
        <v>45443</v>
      </c>
      <c r="J13" s="55" t="s">
        <v>563</v>
      </c>
      <c r="K13" s="64" t="s">
        <v>988</v>
      </c>
      <c r="M13" s="55" t="s">
        <v>986</v>
      </c>
      <c r="N13" s="55" t="s">
        <v>991</v>
      </c>
      <c r="P13" s="55" t="s">
        <v>992</v>
      </c>
      <c r="Q13" s="55" t="s">
        <v>571</v>
      </c>
      <c r="R13" s="55" t="s">
        <v>133</v>
      </c>
      <c r="S13" s="55" t="s">
        <v>353</v>
      </c>
      <c r="T13" s="60">
        <v>1</v>
      </c>
      <c r="U13" s="60">
        <v>10400</v>
      </c>
      <c r="V13" s="60">
        <v>0</v>
      </c>
      <c r="W13" s="60">
        <v>3000</v>
      </c>
      <c r="X13" s="60">
        <v>0</v>
      </c>
      <c r="Y13" s="60">
        <v>3000</v>
      </c>
      <c r="Z13" s="60">
        <v>0</v>
      </c>
      <c r="AB13" s="60">
        <v>8700</v>
      </c>
      <c r="AC13" s="60">
        <v>5500</v>
      </c>
      <c r="AD13" s="60">
        <v>13400</v>
      </c>
      <c r="AE13" s="60">
        <v>0</v>
      </c>
      <c r="AF13" s="60">
        <v>1335</v>
      </c>
      <c r="AG13" s="60">
        <v>0</v>
      </c>
      <c r="AL13" s="55" t="s">
        <v>132</v>
      </c>
      <c r="AN13" s="55" t="s">
        <v>834</v>
      </c>
      <c r="AO13" s="55">
        <v>10</v>
      </c>
      <c r="AP13" s="62">
        <f>IFERROR(IF(출고표[[#This Row],[클레임]]="반품",출고표[[#This Row],[배송비]],출고표[[#This Row],[결제액]]+출고표[[#This Row],[배송비]]+출고표[[#This Row],[제주/도서추가배송비]]),0)</f>
        <v>13400</v>
      </c>
      <c r="AQ1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1335</v>
      </c>
      <c r="AS1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" s="60">
        <f>IFERROR(IF(D13="스마트스토어",COUNTIFS(출고표[구입일자],"&lt;&gt;"&amp;H13,출고표[구매자명],E13,출고표[구매자연락처],F13),COUNTIFS(출고표[구입일자],"&lt;&gt;"&amp;H13,출고표[구매자명],E13,출고표[구매자연락처],G13)),0)</f>
        <v>0</v>
      </c>
    </row>
    <row r="14" spans="1:50" ht="20.100000000000001" customHeight="1">
      <c r="A14" s="55">
        <v>13</v>
      </c>
      <c r="B14" s="55" t="s">
        <v>673</v>
      </c>
      <c r="C14" s="64" t="s">
        <v>997</v>
      </c>
      <c r="D14" s="55" t="s">
        <v>568</v>
      </c>
      <c r="E14" s="55" t="s">
        <v>994</v>
      </c>
      <c r="F14" s="55" t="s">
        <v>998</v>
      </c>
      <c r="G14" s="55" t="s">
        <v>999</v>
      </c>
      <c r="H14" s="63">
        <v>45443</v>
      </c>
      <c r="I14" s="63">
        <v>45443</v>
      </c>
      <c r="J14" s="55" t="s">
        <v>563</v>
      </c>
      <c r="K14" s="64" t="s">
        <v>996</v>
      </c>
      <c r="M14" s="55" t="s">
        <v>994</v>
      </c>
      <c r="N14" s="55" t="s">
        <v>999</v>
      </c>
      <c r="P14" s="55" t="s">
        <v>1000</v>
      </c>
      <c r="Q14" s="55" t="s">
        <v>571</v>
      </c>
      <c r="R14" s="55" t="s">
        <v>133</v>
      </c>
      <c r="S14" s="55" t="s">
        <v>353</v>
      </c>
      <c r="T14" s="60">
        <v>1</v>
      </c>
      <c r="U14" s="60">
        <v>17300</v>
      </c>
      <c r="V14" s="60">
        <v>0</v>
      </c>
      <c r="W14" s="60">
        <v>3000</v>
      </c>
      <c r="X14" s="60">
        <v>0</v>
      </c>
      <c r="Y14" s="60">
        <v>3000</v>
      </c>
      <c r="Z14" s="60">
        <v>0</v>
      </c>
      <c r="AB14" s="60">
        <v>8700</v>
      </c>
      <c r="AC14" s="60">
        <v>5500</v>
      </c>
      <c r="AD14" s="60">
        <v>20300</v>
      </c>
      <c r="AE14" s="60">
        <v>0</v>
      </c>
      <c r="AF14" s="60">
        <v>2154</v>
      </c>
      <c r="AG14" s="60">
        <v>0</v>
      </c>
      <c r="AL14" s="55" t="s">
        <v>132</v>
      </c>
      <c r="AN14" s="55" t="s">
        <v>834</v>
      </c>
      <c r="AO14" s="55">
        <v>10</v>
      </c>
      <c r="AP14" s="62">
        <f>IFERROR(IF(출고표[[#This Row],[클레임]]="반품",출고표[[#This Row],[배송비]],출고표[[#This Row],[결제액]]+출고표[[#This Row],[배송비]]+출고표[[#This Row],[제주/도서추가배송비]]),0)</f>
        <v>20300</v>
      </c>
      <c r="AQ1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1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" s="60">
        <f>IFERROR(IF(D14="스마트스토어",COUNTIFS(출고표[구입일자],"&lt;&gt;"&amp;H14,출고표[구매자명],E14,출고표[구매자연락처],F14),COUNTIFS(출고표[구입일자],"&lt;&gt;"&amp;H14,출고표[구매자명],E14,출고표[구매자연락처],G14)),0)</f>
        <v>0</v>
      </c>
    </row>
    <row r="15" spans="1:50" ht="20.100000000000001" customHeight="1">
      <c r="A15" s="55">
        <v>14</v>
      </c>
      <c r="B15" s="55" t="s">
        <v>562</v>
      </c>
      <c r="C15" s="64" t="s">
        <v>1004</v>
      </c>
      <c r="D15" s="55" t="s">
        <v>568</v>
      </c>
      <c r="E15" s="55" t="s">
        <v>1002</v>
      </c>
      <c r="F15" s="55" t="s">
        <v>1005</v>
      </c>
      <c r="G15" s="55" t="s">
        <v>1006</v>
      </c>
      <c r="H15" s="63">
        <v>45442</v>
      </c>
      <c r="I15" s="63">
        <v>45443</v>
      </c>
      <c r="J15" s="55" t="s">
        <v>563</v>
      </c>
      <c r="K15" s="64" t="s">
        <v>1003</v>
      </c>
      <c r="M15" s="55" t="s">
        <v>1002</v>
      </c>
      <c r="N15" s="55" t="s">
        <v>1006</v>
      </c>
      <c r="P15" s="55" t="s">
        <v>1007</v>
      </c>
      <c r="Q15" s="55" t="s">
        <v>571</v>
      </c>
      <c r="R15" s="55" t="s">
        <v>34</v>
      </c>
      <c r="S15" s="55" t="s">
        <v>353</v>
      </c>
      <c r="T15" s="60">
        <v>1</v>
      </c>
      <c r="U15" s="60">
        <v>34020</v>
      </c>
      <c r="V15" s="60">
        <v>0</v>
      </c>
      <c r="W15" s="60">
        <v>3000</v>
      </c>
      <c r="X15" s="60">
        <v>0</v>
      </c>
      <c r="Y15" s="60">
        <v>3500</v>
      </c>
      <c r="Z15" s="60">
        <v>0</v>
      </c>
      <c r="AB15" s="60">
        <v>32130</v>
      </c>
      <c r="AC15" s="60">
        <v>19800</v>
      </c>
      <c r="AD15" s="60">
        <v>37020</v>
      </c>
      <c r="AE15" s="60">
        <v>23300</v>
      </c>
      <c r="AF15" s="60">
        <v>4141</v>
      </c>
      <c r="AG15" s="60">
        <v>9579</v>
      </c>
      <c r="AH15" s="61">
        <v>0.25879999999999997</v>
      </c>
      <c r="AL15" s="55" t="s">
        <v>33</v>
      </c>
      <c r="AN15" s="55" t="s">
        <v>834</v>
      </c>
      <c r="AP1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" s="60">
        <f>IFERROR(IF(D15="스마트스토어",COUNTIFS(출고표[구입일자],"&lt;&gt;"&amp;H15,출고표[구매자명],E15,출고표[구매자연락처],F15),COUNTIFS(출고표[구입일자],"&lt;&gt;"&amp;H15,출고표[구매자명],E15,출고표[구매자연락처],G15)),0)</f>
        <v>0</v>
      </c>
    </row>
    <row r="16" spans="1:50" ht="20.100000000000001" customHeight="1">
      <c r="A16" s="55">
        <v>15</v>
      </c>
      <c r="B16" s="55" t="s">
        <v>562</v>
      </c>
      <c r="C16" s="64" t="s">
        <v>1011</v>
      </c>
      <c r="D16" s="55" t="s">
        <v>568</v>
      </c>
      <c r="E16" s="55" t="s">
        <v>1012</v>
      </c>
      <c r="F16" s="55" t="s">
        <v>1013</v>
      </c>
      <c r="G16" s="55" t="s">
        <v>1014</v>
      </c>
      <c r="H16" s="63">
        <v>45443</v>
      </c>
      <c r="I16" s="63">
        <v>45443</v>
      </c>
      <c r="J16" s="55" t="s">
        <v>563</v>
      </c>
      <c r="K16" s="64" t="s">
        <v>1010</v>
      </c>
      <c r="M16" s="55" t="s">
        <v>1009</v>
      </c>
      <c r="N16" s="55" t="s">
        <v>1014</v>
      </c>
      <c r="P16" s="55" t="s">
        <v>1015</v>
      </c>
      <c r="Q16" s="55" t="s">
        <v>1016</v>
      </c>
      <c r="R16" s="55" t="s">
        <v>34</v>
      </c>
      <c r="S16" s="55" t="s">
        <v>353</v>
      </c>
      <c r="T16" s="60">
        <v>1</v>
      </c>
      <c r="U16" s="60">
        <v>34020</v>
      </c>
      <c r="V16" s="60">
        <v>0</v>
      </c>
      <c r="W16" s="60">
        <v>3000</v>
      </c>
      <c r="X16" s="60">
        <v>0</v>
      </c>
      <c r="Y16" s="60">
        <v>3500</v>
      </c>
      <c r="Z16" s="60">
        <v>0</v>
      </c>
      <c r="AB16" s="60">
        <v>32130</v>
      </c>
      <c r="AC16" s="60">
        <v>19800</v>
      </c>
      <c r="AD16" s="60">
        <v>37020</v>
      </c>
      <c r="AE16" s="60">
        <v>23300</v>
      </c>
      <c r="AF16" s="60">
        <v>4141</v>
      </c>
      <c r="AG16" s="60">
        <v>9579</v>
      </c>
      <c r="AH16" s="61">
        <v>0.25879999999999997</v>
      </c>
      <c r="AL16" s="55" t="s">
        <v>33</v>
      </c>
      <c r="AN16" s="55" t="s">
        <v>834</v>
      </c>
      <c r="AP16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" s="60">
        <f>IFERROR(IF(D16="스마트스토어",COUNTIFS(출고표[구입일자],"&lt;&gt;"&amp;H16,출고표[구매자명],E16,출고표[구매자연락처],F16),COUNTIFS(출고표[구입일자],"&lt;&gt;"&amp;H16,출고표[구매자명],E16,출고표[구매자연락처],G16)),0)</f>
        <v>0</v>
      </c>
    </row>
    <row r="17" spans="1:48" ht="20.100000000000001" customHeight="1">
      <c r="A17" s="55">
        <v>16</v>
      </c>
      <c r="B17" s="55" t="s">
        <v>562</v>
      </c>
      <c r="C17" s="64" t="s">
        <v>1020</v>
      </c>
      <c r="D17" s="55" t="s">
        <v>568</v>
      </c>
      <c r="E17" s="55" t="s">
        <v>1018</v>
      </c>
      <c r="F17" s="55" t="s">
        <v>1021</v>
      </c>
      <c r="G17" s="55" t="s">
        <v>1022</v>
      </c>
      <c r="H17" s="63">
        <v>45443</v>
      </c>
      <c r="I17" s="63">
        <v>45443</v>
      </c>
      <c r="J17" s="55" t="s">
        <v>563</v>
      </c>
      <c r="K17" s="64" t="s">
        <v>1019</v>
      </c>
      <c r="M17" s="55" t="s">
        <v>1018</v>
      </c>
      <c r="N17" s="55" t="s">
        <v>1022</v>
      </c>
      <c r="P17" s="55" t="s">
        <v>1023</v>
      </c>
      <c r="Q17" s="55" t="s">
        <v>571</v>
      </c>
      <c r="R17" s="55" t="s">
        <v>34</v>
      </c>
      <c r="S17" s="55" t="s">
        <v>353</v>
      </c>
      <c r="T17" s="60">
        <v>1</v>
      </c>
      <c r="U17" s="60">
        <v>34020</v>
      </c>
      <c r="V17" s="60">
        <v>0</v>
      </c>
      <c r="W17" s="60">
        <v>3000</v>
      </c>
      <c r="X17" s="60">
        <v>0</v>
      </c>
      <c r="Y17" s="60">
        <v>3500</v>
      </c>
      <c r="Z17" s="60">
        <v>0</v>
      </c>
      <c r="AB17" s="60">
        <v>32130</v>
      </c>
      <c r="AC17" s="60">
        <v>19800</v>
      </c>
      <c r="AD17" s="60">
        <v>37020</v>
      </c>
      <c r="AE17" s="60">
        <v>23300</v>
      </c>
      <c r="AF17" s="60">
        <v>4141</v>
      </c>
      <c r="AG17" s="60">
        <v>9579</v>
      </c>
      <c r="AH17" s="61">
        <v>0.25879999999999997</v>
      </c>
      <c r="AL17" s="55" t="s">
        <v>33</v>
      </c>
      <c r="AN17" s="55" t="s">
        <v>834</v>
      </c>
      <c r="AP1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" s="60">
        <f>IFERROR(IF(D17="스마트스토어",COUNTIFS(출고표[구입일자],"&lt;&gt;"&amp;H17,출고표[구매자명],E17,출고표[구매자연락처],F17),COUNTIFS(출고표[구입일자],"&lt;&gt;"&amp;H17,출고표[구매자명],E17,출고표[구매자연락처],G17)),0)</f>
        <v>0</v>
      </c>
    </row>
    <row r="18" spans="1:48" ht="20.100000000000001" customHeight="1">
      <c r="A18" s="55">
        <v>17</v>
      </c>
      <c r="B18" s="55" t="s">
        <v>562</v>
      </c>
      <c r="C18" s="64" t="s">
        <v>1027</v>
      </c>
      <c r="D18" s="55" t="s">
        <v>568</v>
      </c>
      <c r="E18" s="55" t="s">
        <v>1028</v>
      </c>
      <c r="F18" s="55" t="s">
        <v>1029</v>
      </c>
      <c r="G18" s="55" t="s">
        <v>1030</v>
      </c>
      <c r="H18" s="63">
        <v>45443</v>
      </c>
      <c r="I18" s="63">
        <v>45443</v>
      </c>
      <c r="J18" s="55" t="s">
        <v>563</v>
      </c>
      <c r="K18" s="64" t="s">
        <v>1026</v>
      </c>
      <c r="M18" s="55" t="s">
        <v>1025</v>
      </c>
      <c r="N18" s="55" t="s">
        <v>1030</v>
      </c>
      <c r="P18" s="55" t="s">
        <v>1031</v>
      </c>
      <c r="Q18" s="55" t="s">
        <v>571</v>
      </c>
      <c r="R18" s="55" t="s">
        <v>118</v>
      </c>
      <c r="S18" s="55" t="s">
        <v>353</v>
      </c>
      <c r="T18" s="60">
        <v>3</v>
      </c>
      <c r="U18" s="60">
        <v>7320</v>
      </c>
      <c r="V18" s="60">
        <v>1320</v>
      </c>
      <c r="W18" s="60">
        <v>0</v>
      </c>
      <c r="X18" s="60">
        <v>0</v>
      </c>
      <c r="Y18" s="60">
        <v>3000</v>
      </c>
      <c r="Z18" s="60">
        <v>0</v>
      </c>
      <c r="AB18" s="60">
        <v>2680</v>
      </c>
      <c r="AC18" s="60">
        <v>1650</v>
      </c>
      <c r="AD18" s="60">
        <v>7320</v>
      </c>
      <c r="AE18" s="60">
        <v>7950</v>
      </c>
      <c r="AF18" s="60">
        <v>870</v>
      </c>
      <c r="AG18" s="60">
        <v>-1500</v>
      </c>
      <c r="AH18" s="61">
        <v>-0.2049</v>
      </c>
      <c r="AL18" s="55" t="s">
        <v>117</v>
      </c>
      <c r="AN18" s="55" t="s">
        <v>834</v>
      </c>
      <c r="AP18" s="62">
        <f>IFERROR(IF(출고표[[#This Row],[클레임]]="반품",출고표[[#This Row],[배송비]],출고표[[#This Row],[결제액]]+출고표[[#This Row],[배송비]]+출고표[[#This Row],[제주/도서추가배송비]]),0)</f>
        <v>7320</v>
      </c>
      <c r="AQ1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7950</v>
      </c>
      <c r="AR1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870</v>
      </c>
      <c r="AS1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-1500</v>
      </c>
      <c r="AT1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-0.2049</v>
      </c>
      <c r="AU1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" s="60">
        <f>IFERROR(IF(D18="스마트스토어",COUNTIFS(출고표[구입일자],"&lt;&gt;"&amp;H18,출고표[구매자명],E18,출고표[구매자연락처],F18),COUNTIFS(출고표[구입일자],"&lt;&gt;"&amp;H18,출고표[구매자명],E18,출고표[구매자연락처],G18)),0)</f>
        <v>0</v>
      </c>
    </row>
    <row r="19" spans="1:48" ht="20.100000000000001" customHeight="1">
      <c r="A19" s="55">
        <v>18</v>
      </c>
      <c r="B19" s="55" t="s">
        <v>562</v>
      </c>
      <c r="C19" s="64" t="s">
        <v>1027</v>
      </c>
      <c r="D19" s="55" t="s">
        <v>568</v>
      </c>
      <c r="E19" s="55" t="s">
        <v>1028</v>
      </c>
      <c r="F19" s="55" t="s">
        <v>1029</v>
      </c>
      <c r="G19" s="55" t="s">
        <v>1030</v>
      </c>
      <c r="H19" s="63">
        <v>45443</v>
      </c>
      <c r="I19" s="63">
        <v>45443</v>
      </c>
      <c r="J19" s="55" t="s">
        <v>563</v>
      </c>
      <c r="K19" s="64" t="s">
        <v>1026</v>
      </c>
      <c r="M19" s="55" t="s">
        <v>1025</v>
      </c>
      <c r="N19" s="55" t="s">
        <v>1030</v>
      </c>
      <c r="P19" s="55" t="s">
        <v>1031</v>
      </c>
      <c r="Q19" s="55" t="s">
        <v>571</v>
      </c>
      <c r="R19" s="55" t="s">
        <v>50</v>
      </c>
      <c r="S19" s="55" t="s">
        <v>353</v>
      </c>
      <c r="T19" s="60">
        <v>3</v>
      </c>
      <c r="U19" s="60">
        <v>7620</v>
      </c>
      <c r="V19" s="60">
        <v>420</v>
      </c>
      <c r="W19" s="60">
        <v>0</v>
      </c>
      <c r="X19" s="60">
        <v>0</v>
      </c>
      <c r="Y19" s="60">
        <v>0</v>
      </c>
      <c r="Z19" s="60">
        <v>0</v>
      </c>
      <c r="AB19" s="60">
        <v>1950</v>
      </c>
      <c r="AC19" s="60">
        <v>1320</v>
      </c>
      <c r="AD19" s="60">
        <v>7620</v>
      </c>
      <c r="AE19" s="60">
        <v>3960</v>
      </c>
      <c r="AF19" s="60">
        <v>905</v>
      </c>
      <c r="AG19" s="60">
        <v>2755</v>
      </c>
      <c r="AH19" s="61">
        <v>0.36149999999999999</v>
      </c>
      <c r="AL19" s="55" t="s">
        <v>49</v>
      </c>
      <c r="AM19" s="55" t="s">
        <v>822</v>
      </c>
      <c r="AN19" s="55" t="s">
        <v>834</v>
      </c>
      <c r="AP19" s="62">
        <f>IFERROR(IF(출고표[[#This Row],[클레임]]="반품",출고표[[#This Row],[배송비]],출고표[[#This Row],[결제액]]+출고표[[#This Row],[배송비]]+출고표[[#This Row],[제주/도서추가배송비]]),0)</f>
        <v>7620</v>
      </c>
      <c r="AQ1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3960</v>
      </c>
      <c r="AR1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905</v>
      </c>
      <c r="AS1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2755</v>
      </c>
      <c r="AT1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0.36149999999999999</v>
      </c>
      <c r="AU1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9" s="60">
        <f>IFERROR(IF(D19="스마트스토어",COUNTIFS(출고표[구입일자],"&lt;&gt;"&amp;H19,출고표[구매자명],E19,출고표[구매자연락처],F19),COUNTIFS(출고표[구입일자],"&lt;&gt;"&amp;H19,출고표[구매자명],E19,출고표[구매자연락처],G19)),0)</f>
        <v>0</v>
      </c>
    </row>
    <row r="20" spans="1:48" ht="20.100000000000001" customHeight="1">
      <c r="A20" s="55">
        <v>19</v>
      </c>
      <c r="B20" s="55" t="s">
        <v>673</v>
      </c>
      <c r="C20" s="64" t="s">
        <v>1038</v>
      </c>
      <c r="D20" s="55" t="s">
        <v>561</v>
      </c>
      <c r="E20" s="55" t="s">
        <v>1039</v>
      </c>
      <c r="F20" s="55" t="s">
        <v>1040</v>
      </c>
      <c r="G20" s="55" t="s">
        <v>1041</v>
      </c>
      <c r="H20" s="63">
        <v>45442</v>
      </c>
      <c r="I20" s="63">
        <v>45443</v>
      </c>
      <c r="J20" s="55" t="s">
        <v>563</v>
      </c>
      <c r="K20" s="64" t="s">
        <v>1036</v>
      </c>
      <c r="M20" s="55" t="s">
        <v>1033</v>
      </c>
      <c r="N20" s="55" t="s">
        <v>1041</v>
      </c>
      <c r="P20" s="55" t="s">
        <v>1042</v>
      </c>
      <c r="Q20" s="55" t="s">
        <v>1043</v>
      </c>
      <c r="R20" s="55" t="s">
        <v>34</v>
      </c>
      <c r="S20" s="55" t="s">
        <v>353</v>
      </c>
      <c r="T20" s="60">
        <v>2</v>
      </c>
      <c r="U20" s="60">
        <v>56800</v>
      </c>
      <c r="V20" s="60">
        <v>0</v>
      </c>
      <c r="W20" s="60">
        <v>0</v>
      </c>
      <c r="X20" s="60">
        <v>0</v>
      </c>
      <c r="Y20" s="60">
        <v>4400</v>
      </c>
      <c r="Z20" s="60">
        <v>0</v>
      </c>
      <c r="AB20" s="60">
        <v>28800</v>
      </c>
      <c r="AC20" s="60">
        <v>19800</v>
      </c>
      <c r="AD20" s="60">
        <v>56800</v>
      </c>
      <c r="AE20" s="60">
        <v>0</v>
      </c>
      <c r="AF20" s="60">
        <v>2934</v>
      </c>
      <c r="AG20" s="60">
        <v>0</v>
      </c>
      <c r="AL20" s="55" t="s">
        <v>33</v>
      </c>
      <c r="AN20" s="55" t="s">
        <v>834</v>
      </c>
      <c r="AP20" s="62">
        <f>IFERROR(IF(출고표[[#This Row],[클레임]]="반품",출고표[[#This Row],[배송비]],출고표[[#This Row],[결제액]]+출고표[[#This Row],[배송비]]+출고표[[#This Row],[제주/도서추가배송비]]),0)</f>
        <v>56800</v>
      </c>
      <c r="AQ2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2934</v>
      </c>
      <c r="AS2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0" s="60">
        <f>IFERROR(IF(D20="스마트스토어",COUNTIFS(출고표[구입일자],"&lt;&gt;"&amp;H20,출고표[구매자명],E20,출고표[구매자연락처],F20),COUNTIFS(출고표[구입일자],"&lt;&gt;"&amp;H20,출고표[구매자명],E20,출고표[구매자연락처],G20)),0)</f>
        <v>0</v>
      </c>
    </row>
    <row r="21" spans="1:48" ht="20.100000000000001" customHeight="1">
      <c r="A21" s="55">
        <v>20</v>
      </c>
      <c r="B21" s="55" t="s">
        <v>673</v>
      </c>
      <c r="C21" s="64" t="s">
        <v>2077</v>
      </c>
      <c r="D21" s="55" t="s">
        <v>532</v>
      </c>
      <c r="H21" s="63">
        <v>45446</v>
      </c>
      <c r="I21" s="63">
        <v>45446</v>
      </c>
      <c r="J21" s="55" t="s">
        <v>563</v>
      </c>
      <c r="K21" s="64" t="s">
        <v>1047</v>
      </c>
      <c r="M21" s="55" t="s">
        <v>1046</v>
      </c>
      <c r="N21" s="55" t="s">
        <v>1049</v>
      </c>
      <c r="P21" s="55" t="s">
        <v>1050</v>
      </c>
      <c r="R21" s="55" t="s">
        <v>531</v>
      </c>
      <c r="S21" s="55" t="s">
        <v>353</v>
      </c>
      <c r="T21" s="60">
        <v>1</v>
      </c>
      <c r="U21" s="60">
        <v>0</v>
      </c>
      <c r="V21" s="60">
        <v>0</v>
      </c>
      <c r="W21" s="60">
        <v>0</v>
      </c>
      <c r="X21" s="60">
        <v>0</v>
      </c>
      <c r="Y21" s="60">
        <v>0</v>
      </c>
      <c r="Z21" s="60">
        <v>0</v>
      </c>
      <c r="AB21" s="60" t="s">
        <v>529</v>
      </c>
      <c r="AC21" s="60" t="s">
        <v>349</v>
      </c>
      <c r="AD21" s="60">
        <v>0</v>
      </c>
      <c r="AE21" s="60">
        <v>0</v>
      </c>
      <c r="AF21" s="60">
        <v>0</v>
      </c>
      <c r="AG21" s="60">
        <v>0</v>
      </c>
      <c r="AL21" s="55" t="s">
        <v>532</v>
      </c>
      <c r="AM21" s="55" t="s">
        <v>822</v>
      </c>
      <c r="AN21" s="55" t="s">
        <v>834</v>
      </c>
      <c r="AP2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1" s="60">
        <f>IFERROR(IF(D21="스마트스토어",COUNTIFS(출고표[구입일자],"&lt;&gt;"&amp;H21,출고표[구매자명],E21,출고표[구매자연락처],F21),COUNTIFS(출고표[구입일자],"&lt;&gt;"&amp;H21,출고표[구매자명],E21,출고표[구매자연락처],G21)),0)</f>
        <v>0</v>
      </c>
    </row>
    <row r="22" spans="1:48" ht="20.100000000000001" customHeight="1">
      <c r="A22" s="55">
        <v>21</v>
      </c>
      <c r="B22" s="55" t="s">
        <v>673</v>
      </c>
      <c r="C22" s="64" t="s">
        <v>2078</v>
      </c>
      <c r="D22" s="55" t="s">
        <v>532</v>
      </c>
      <c r="H22" s="63">
        <v>45446</v>
      </c>
      <c r="I22" s="63">
        <v>45446</v>
      </c>
      <c r="J22" s="55" t="s">
        <v>563</v>
      </c>
      <c r="K22" s="64" t="s">
        <v>1052</v>
      </c>
      <c r="M22" s="55" t="s">
        <v>1051</v>
      </c>
      <c r="N22" s="55" t="s">
        <v>1054</v>
      </c>
      <c r="P22" s="55" t="s">
        <v>1055</v>
      </c>
      <c r="R22" s="55" t="s">
        <v>531</v>
      </c>
      <c r="S22" s="55" t="s">
        <v>353</v>
      </c>
      <c r="T22" s="60">
        <v>1</v>
      </c>
      <c r="U22" s="60">
        <v>0</v>
      </c>
      <c r="V22" s="60">
        <v>0</v>
      </c>
      <c r="W22" s="60">
        <v>0</v>
      </c>
      <c r="X22" s="60">
        <v>0</v>
      </c>
      <c r="Y22" s="60">
        <v>0</v>
      </c>
      <c r="Z22" s="60">
        <v>0</v>
      </c>
      <c r="AB22" s="60" t="s">
        <v>529</v>
      </c>
      <c r="AC22" s="60" t="s">
        <v>349</v>
      </c>
      <c r="AD22" s="60">
        <v>0</v>
      </c>
      <c r="AE22" s="60">
        <v>0</v>
      </c>
      <c r="AF22" s="60">
        <v>0</v>
      </c>
      <c r="AG22" s="60">
        <v>0</v>
      </c>
      <c r="AL22" s="55" t="s">
        <v>532</v>
      </c>
      <c r="AM22" s="55" t="s">
        <v>822</v>
      </c>
      <c r="AN22" s="55" t="s">
        <v>834</v>
      </c>
      <c r="AP2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2" s="60">
        <f>IFERROR(IF(D22="스마트스토어",COUNTIFS(출고표[구입일자],"&lt;&gt;"&amp;H22,출고표[구매자명],E22,출고표[구매자연락처],F22),COUNTIFS(출고표[구입일자],"&lt;&gt;"&amp;H22,출고표[구매자명],E22,출고표[구매자연락처],G22)),0)</f>
        <v>0</v>
      </c>
    </row>
    <row r="23" spans="1:48" ht="20.100000000000001" customHeight="1">
      <c r="A23" s="55">
        <v>22</v>
      </c>
      <c r="B23" s="55" t="s">
        <v>673</v>
      </c>
      <c r="C23" s="64" t="s">
        <v>2079</v>
      </c>
      <c r="D23" s="55" t="s">
        <v>532</v>
      </c>
      <c r="H23" s="63">
        <v>45446</v>
      </c>
      <c r="I23" s="63">
        <v>45446</v>
      </c>
      <c r="J23" s="55" t="s">
        <v>563</v>
      </c>
      <c r="K23" s="64" t="s">
        <v>1059</v>
      </c>
      <c r="M23" s="55" t="s">
        <v>1056</v>
      </c>
      <c r="N23" s="55" t="s">
        <v>1061</v>
      </c>
      <c r="P23" s="55" t="s">
        <v>1062</v>
      </c>
      <c r="R23" s="55" t="s">
        <v>531</v>
      </c>
      <c r="S23" s="55" t="s">
        <v>353</v>
      </c>
      <c r="T23" s="60">
        <v>4</v>
      </c>
      <c r="U23" s="60">
        <v>0</v>
      </c>
      <c r="V23" s="60">
        <v>0</v>
      </c>
      <c r="W23" s="60">
        <v>0</v>
      </c>
      <c r="X23" s="60">
        <v>0</v>
      </c>
      <c r="Y23" s="60">
        <v>5500</v>
      </c>
      <c r="Z23" s="60">
        <v>0</v>
      </c>
      <c r="AB23" s="60" t="s">
        <v>529</v>
      </c>
      <c r="AC23" s="60" t="s">
        <v>349</v>
      </c>
      <c r="AD23" s="60">
        <v>0</v>
      </c>
      <c r="AE23" s="60">
        <v>0</v>
      </c>
      <c r="AF23" s="60">
        <v>0</v>
      </c>
      <c r="AG23" s="60">
        <v>0</v>
      </c>
      <c r="AL23" s="55" t="s">
        <v>532</v>
      </c>
      <c r="AM23" s="55" t="s">
        <v>822</v>
      </c>
      <c r="AN23" s="55" t="s">
        <v>834</v>
      </c>
      <c r="AP2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2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2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3" s="60">
        <f>IFERROR(IF(D23="스마트스토어",COUNTIFS(출고표[구입일자],"&lt;&gt;"&amp;H23,출고표[구매자명],E23,출고표[구매자연락처],F23),COUNTIFS(출고표[구입일자],"&lt;&gt;"&amp;H23,출고표[구매자명],E23,출고표[구매자연락처],G23)),0)</f>
        <v>0</v>
      </c>
    </row>
    <row r="24" spans="1:48" ht="20.100000000000001" customHeight="1">
      <c r="A24" s="55">
        <v>23</v>
      </c>
      <c r="B24" s="55" t="s">
        <v>562</v>
      </c>
      <c r="C24" s="64" t="s">
        <v>1067</v>
      </c>
      <c r="D24" s="55" t="s">
        <v>561</v>
      </c>
      <c r="E24" s="55" t="s">
        <v>1063</v>
      </c>
      <c r="F24" s="55" t="s">
        <v>1068</v>
      </c>
      <c r="G24" s="55" t="s">
        <v>1069</v>
      </c>
      <c r="H24" s="63">
        <v>45446</v>
      </c>
      <c r="I24" s="63">
        <v>45446</v>
      </c>
      <c r="J24" s="55" t="s">
        <v>563</v>
      </c>
      <c r="K24" s="64" t="s">
        <v>1065</v>
      </c>
      <c r="M24" s="55" t="s">
        <v>1063</v>
      </c>
      <c r="N24" s="55" t="s">
        <v>1069</v>
      </c>
      <c r="P24" s="55" t="s">
        <v>1070</v>
      </c>
      <c r="R24" s="55" t="s">
        <v>44</v>
      </c>
      <c r="S24" s="55" t="s">
        <v>353</v>
      </c>
      <c r="T24" s="60">
        <v>1</v>
      </c>
      <c r="U24" s="60">
        <v>14580</v>
      </c>
      <c r="V24" s="60">
        <v>1620</v>
      </c>
      <c r="W24" s="60">
        <v>3000</v>
      </c>
      <c r="X24" s="60">
        <v>0</v>
      </c>
      <c r="Y24" s="60">
        <v>3000</v>
      </c>
      <c r="Z24" s="60">
        <v>0</v>
      </c>
      <c r="AB24" s="60">
        <v>15300</v>
      </c>
      <c r="AC24" s="60">
        <v>9900</v>
      </c>
      <c r="AD24" s="60">
        <v>17580</v>
      </c>
      <c r="AE24" s="60">
        <v>12900</v>
      </c>
      <c r="AF24" s="60">
        <v>719</v>
      </c>
      <c r="AG24" s="60">
        <v>3961</v>
      </c>
      <c r="AH24" s="61">
        <v>0.2253</v>
      </c>
      <c r="AL24" s="55" t="s">
        <v>43</v>
      </c>
      <c r="AN24" s="55" t="s">
        <v>834</v>
      </c>
      <c r="AP24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2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2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2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2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4" s="60">
        <f>IFERROR(IF(D24="스마트스토어",COUNTIFS(출고표[구입일자],"&lt;&gt;"&amp;H24,출고표[구매자명],E24,출고표[구매자연락처],F24),COUNTIFS(출고표[구입일자],"&lt;&gt;"&amp;H24,출고표[구매자명],E24,출고표[구매자연락처],G24)),0)</f>
        <v>0</v>
      </c>
    </row>
    <row r="25" spans="1:48" ht="20.100000000000001" customHeight="1">
      <c r="A25" s="55">
        <v>24</v>
      </c>
      <c r="B25" s="55" t="s">
        <v>562</v>
      </c>
      <c r="C25" s="64" t="s">
        <v>1075</v>
      </c>
      <c r="D25" s="55" t="s">
        <v>561</v>
      </c>
      <c r="E25" s="55" t="s">
        <v>1072</v>
      </c>
      <c r="F25" s="55" t="s">
        <v>1076</v>
      </c>
      <c r="G25" s="55" t="s">
        <v>1077</v>
      </c>
      <c r="H25" s="63">
        <v>45445</v>
      </c>
      <c r="I25" s="63">
        <v>45446</v>
      </c>
      <c r="J25" s="55" t="s">
        <v>563</v>
      </c>
      <c r="K25" s="64" t="s">
        <v>1073</v>
      </c>
      <c r="M25" s="55" t="s">
        <v>1072</v>
      </c>
      <c r="N25" s="55" t="s">
        <v>1077</v>
      </c>
      <c r="P25" s="55" t="s">
        <v>1078</v>
      </c>
      <c r="R25" s="55" t="s">
        <v>44</v>
      </c>
      <c r="S25" s="55" t="s">
        <v>353</v>
      </c>
      <c r="T25" s="60">
        <v>1</v>
      </c>
      <c r="U25" s="60">
        <v>14580</v>
      </c>
      <c r="V25" s="60">
        <v>1620</v>
      </c>
      <c r="W25" s="60">
        <v>3000</v>
      </c>
      <c r="X25" s="60">
        <v>0</v>
      </c>
      <c r="Y25" s="60">
        <v>3000</v>
      </c>
      <c r="Z25" s="60">
        <v>0</v>
      </c>
      <c r="AB25" s="60">
        <v>15300</v>
      </c>
      <c r="AC25" s="60">
        <v>9900</v>
      </c>
      <c r="AD25" s="60">
        <v>17580</v>
      </c>
      <c r="AE25" s="60">
        <v>12900</v>
      </c>
      <c r="AF25" s="60">
        <v>719</v>
      </c>
      <c r="AG25" s="60">
        <v>3961</v>
      </c>
      <c r="AH25" s="61">
        <v>0.2253</v>
      </c>
      <c r="AL25" s="55" t="s">
        <v>43</v>
      </c>
      <c r="AN25" s="55" t="s">
        <v>834</v>
      </c>
      <c r="AP25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2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2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2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2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2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5" s="60">
        <f>IFERROR(IF(D25="스마트스토어",COUNTIFS(출고표[구입일자],"&lt;&gt;"&amp;H25,출고표[구매자명],E25,출고표[구매자연락처],F25),COUNTIFS(출고표[구입일자],"&lt;&gt;"&amp;H25,출고표[구매자명],E25,출고표[구매자연락처],G25)),0)</f>
        <v>0</v>
      </c>
    </row>
    <row r="26" spans="1:48" ht="20.100000000000001" customHeight="1">
      <c r="A26" s="55">
        <v>25</v>
      </c>
      <c r="B26" s="55" t="s">
        <v>562</v>
      </c>
      <c r="C26" s="64" t="s">
        <v>1083</v>
      </c>
      <c r="D26" s="55" t="s">
        <v>561</v>
      </c>
      <c r="E26" s="55" t="s">
        <v>1080</v>
      </c>
      <c r="F26" s="55" t="s">
        <v>1084</v>
      </c>
      <c r="G26" s="55" t="s">
        <v>1085</v>
      </c>
      <c r="H26" s="63">
        <v>45444</v>
      </c>
      <c r="I26" s="63">
        <v>45446</v>
      </c>
      <c r="J26" s="55" t="s">
        <v>563</v>
      </c>
      <c r="K26" s="64" t="s">
        <v>1081</v>
      </c>
      <c r="M26" s="55" t="s">
        <v>1080</v>
      </c>
      <c r="N26" s="55" t="s">
        <v>1086</v>
      </c>
      <c r="P26" s="55" t="s">
        <v>1087</v>
      </c>
      <c r="R26" s="55" t="s">
        <v>34</v>
      </c>
      <c r="S26" s="55" t="s">
        <v>353</v>
      </c>
      <c r="T26" s="60">
        <v>2</v>
      </c>
      <c r="U26" s="60">
        <v>57240</v>
      </c>
      <c r="V26" s="60">
        <v>6360</v>
      </c>
      <c r="W26" s="60">
        <v>0</v>
      </c>
      <c r="X26" s="60">
        <v>0</v>
      </c>
      <c r="Y26" s="60">
        <v>4400</v>
      </c>
      <c r="Z26" s="60">
        <v>0</v>
      </c>
      <c r="AB26" s="60">
        <v>30600</v>
      </c>
      <c r="AC26" s="60">
        <v>19800</v>
      </c>
      <c r="AD26" s="60">
        <v>57240</v>
      </c>
      <c r="AE26" s="60">
        <v>44000</v>
      </c>
      <c r="AF26" s="60">
        <v>2358</v>
      </c>
      <c r="AG26" s="60">
        <v>10882</v>
      </c>
      <c r="AH26" s="61">
        <v>0.19009999999999999</v>
      </c>
      <c r="AL26" s="55" t="s">
        <v>33</v>
      </c>
      <c r="AN26" s="55" t="s">
        <v>834</v>
      </c>
      <c r="AP26" s="62">
        <f>IFERROR(IF(출고표[[#This Row],[클레임]]="반품",출고표[[#This Row],[배송비]],출고표[[#This Row],[결제액]]+출고표[[#This Row],[배송비]]+출고표[[#This Row],[제주/도서추가배송비]]),0)</f>
        <v>57240</v>
      </c>
      <c r="AQ2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44000</v>
      </c>
      <c r="AR2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2358</v>
      </c>
      <c r="AS2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10882</v>
      </c>
      <c r="AT2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0.19009999999999999</v>
      </c>
      <c r="AU2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6" s="60">
        <f>IFERROR(IF(D26="스마트스토어",COUNTIFS(출고표[구입일자],"&lt;&gt;"&amp;H26,출고표[구매자명],E26,출고표[구매자연락처],F26),COUNTIFS(출고표[구입일자],"&lt;&gt;"&amp;H26,출고표[구매자명],E26,출고표[구매자연락처],G26)),0)</f>
        <v>0</v>
      </c>
    </row>
    <row r="27" spans="1:48" ht="20.100000000000001" customHeight="1">
      <c r="A27" s="55">
        <v>26</v>
      </c>
      <c r="B27" s="55" t="s">
        <v>673</v>
      </c>
      <c r="C27" s="64" t="s">
        <v>1093</v>
      </c>
      <c r="D27" s="55" t="s">
        <v>561</v>
      </c>
      <c r="E27" s="55" t="s">
        <v>1089</v>
      </c>
      <c r="F27" s="55" t="s">
        <v>1094</v>
      </c>
      <c r="G27" s="55" t="s">
        <v>1095</v>
      </c>
      <c r="H27" s="63">
        <v>45446</v>
      </c>
      <c r="I27" s="63">
        <v>45446</v>
      </c>
      <c r="J27" s="55" t="s">
        <v>563</v>
      </c>
      <c r="K27" s="64" t="s">
        <v>1091</v>
      </c>
      <c r="M27" s="55" t="s">
        <v>1089</v>
      </c>
      <c r="N27" s="55" t="s">
        <v>1095</v>
      </c>
      <c r="P27" s="55" t="s">
        <v>1096</v>
      </c>
      <c r="R27" s="55" t="s">
        <v>36</v>
      </c>
      <c r="S27" s="55" t="s">
        <v>353</v>
      </c>
      <c r="T27" s="60">
        <v>1</v>
      </c>
      <c r="U27" s="60">
        <v>24000</v>
      </c>
      <c r="V27" s="60">
        <v>0</v>
      </c>
      <c r="W27" s="60">
        <v>3000</v>
      </c>
      <c r="X27" s="60">
        <v>0</v>
      </c>
      <c r="Y27" s="60">
        <v>3000</v>
      </c>
      <c r="Z27" s="60">
        <v>0</v>
      </c>
      <c r="AB27" s="60">
        <v>24000</v>
      </c>
      <c r="AC27" s="60">
        <v>16500</v>
      </c>
      <c r="AD27" s="60">
        <v>27000</v>
      </c>
      <c r="AE27" s="60">
        <v>0</v>
      </c>
      <c r="AF27" s="60">
        <v>1375</v>
      </c>
      <c r="AG27" s="60">
        <v>0</v>
      </c>
      <c r="AL27" s="55" t="s">
        <v>35</v>
      </c>
      <c r="AN27" s="55" t="s">
        <v>834</v>
      </c>
      <c r="AP27" s="62">
        <f>IFERROR(IF(출고표[[#This Row],[클레임]]="반품",출고표[[#This Row],[배송비]],출고표[[#This Row],[결제액]]+출고표[[#This Row],[배송비]]+출고표[[#This Row],[제주/도서추가배송비]]),0)</f>
        <v>27000</v>
      </c>
      <c r="AQ2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2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7" s="60">
        <f>IFERROR(IF(D27="스마트스토어",COUNTIFS(출고표[구입일자],"&lt;&gt;"&amp;H27,출고표[구매자명],E27,출고표[구매자연락처],F27),COUNTIFS(출고표[구입일자],"&lt;&gt;"&amp;H27,출고표[구매자명],E27,출고표[구매자연락처],G27)),0)</f>
        <v>0</v>
      </c>
    </row>
    <row r="28" spans="1:48" ht="20.100000000000001" customHeight="1">
      <c r="A28" s="55">
        <v>27</v>
      </c>
      <c r="B28" s="55" t="s">
        <v>673</v>
      </c>
      <c r="C28" s="64" t="s">
        <v>1102</v>
      </c>
      <c r="D28" s="55" t="s">
        <v>561</v>
      </c>
      <c r="E28" s="55" t="s">
        <v>1098</v>
      </c>
      <c r="F28" s="55" t="s">
        <v>1103</v>
      </c>
      <c r="G28" s="55" t="s">
        <v>1104</v>
      </c>
      <c r="H28" s="63">
        <v>45445</v>
      </c>
      <c r="I28" s="63">
        <v>45446</v>
      </c>
      <c r="J28" s="55" t="s">
        <v>563</v>
      </c>
      <c r="K28" s="64" t="s">
        <v>1100</v>
      </c>
      <c r="M28" s="55" t="s">
        <v>1098</v>
      </c>
      <c r="N28" s="55" t="s">
        <v>1104</v>
      </c>
      <c r="P28" s="55" t="s">
        <v>1105</v>
      </c>
      <c r="R28" s="55" t="s">
        <v>40</v>
      </c>
      <c r="S28" s="55" t="s">
        <v>353</v>
      </c>
      <c r="T28" s="60">
        <v>1</v>
      </c>
      <c r="U28" s="60">
        <v>17600</v>
      </c>
      <c r="V28" s="60">
        <v>0</v>
      </c>
      <c r="W28" s="60">
        <v>3000</v>
      </c>
      <c r="X28" s="60">
        <v>0</v>
      </c>
      <c r="Y28" s="60">
        <v>3000</v>
      </c>
      <c r="Z28" s="60">
        <v>0</v>
      </c>
      <c r="AB28" s="60">
        <v>17600</v>
      </c>
      <c r="AC28" s="60">
        <v>12100</v>
      </c>
      <c r="AD28" s="60">
        <v>20600</v>
      </c>
      <c r="AE28" s="60">
        <v>0</v>
      </c>
      <c r="AF28" s="60">
        <v>1053</v>
      </c>
      <c r="AG28" s="60">
        <v>0</v>
      </c>
      <c r="AL28" s="55" t="s">
        <v>39</v>
      </c>
      <c r="AN28" s="55" t="s">
        <v>834</v>
      </c>
      <c r="AP28" s="62">
        <f>IFERROR(IF(출고표[[#This Row],[클레임]]="반품",출고표[[#This Row],[배송비]],출고표[[#This Row],[결제액]]+출고표[[#This Row],[배송비]]+출고표[[#This Row],[제주/도서추가배송비]]),0)</f>
        <v>20600</v>
      </c>
      <c r="AQ2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1053</v>
      </c>
      <c r="AS2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8" s="60">
        <f>IFERROR(IF(D28="스마트스토어",COUNTIFS(출고표[구입일자],"&lt;&gt;"&amp;H28,출고표[구매자명],E28,출고표[구매자연락처],F28),COUNTIFS(출고표[구입일자],"&lt;&gt;"&amp;H28,출고표[구매자명],E28,출고표[구매자연락처],G28)),0)</f>
        <v>0</v>
      </c>
    </row>
    <row r="29" spans="1:48" ht="20.100000000000001" customHeight="1">
      <c r="A29" s="55">
        <v>28</v>
      </c>
      <c r="B29" s="55" t="s">
        <v>673</v>
      </c>
      <c r="C29" s="64" t="s">
        <v>1111</v>
      </c>
      <c r="D29" s="55" t="s">
        <v>561</v>
      </c>
      <c r="E29" s="55" t="s">
        <v>1112</v>
      </c>
      <c r="F29" s="55" t="s">
        <v>1113</v>
      </c>
      <c r="G29" s="55" t="s">
        <v>1114</v>
      </c>
      <c r="H29" s="63">
        <v>45444</v>
      </c>
      <c r="I29" s="63">
        <v>45446</v>
      </c>
      <c r="J29" s="55" t="s">
        <v>563</v>
      </c>
      <c r="K29" s="64" t="s">
        <v>1109</v>
      </c>
      <c r="M29" s="55" t="s">
        <v>1107</v>
      </c>
      <c r="N29" s="55" t="s">
        <v>1114</v>
      </c>
      <c r="P29" s="55" t="s">
        <v>1115</v>
      </c>
      <c r="R29" s="55" t="s">
        <v>38</v>
      </c>
      <c r="S29" s="55" t="s">
        <v>353</v>
      </c>
      <c r="T29" s="60">
        <v>1</v>
      </c>
      <c r="U29" s="60">
        <v>20800</v>
      </c>
      <c r="V29" s="60">
        <v>0</v>
      </c>
      <c r="W29" s="60">
        <v>3000</v>
      </c>
      <c r="X29" s="60">
        <v>0</v>
      </c>
      <c r="Y29" s="60">
        <v>3500</v>
      </c>
      <c r="Z29" s="60">
        <v>0</v>
      </c>
      <c r="AB29" s="60">
        <v>20800</v>
      </c>
      <c r="AC29" s="60">
        <v>14300</v>
      </c>
      <c r="AD29" s="60">
        <v>23800</v>
      </c>
      <c r="AE29" s="60">
        <v>0</v>
      </c>
      <c r="AF29" s="60">
        <v>1214</v>
      </c>
      <c r="AG29" s="60">
        <v>0</v>
      </c>
      <c r="AL29" s="55" t="s">
        <v>37</v>
      </c>
      <c r="AN29" s="55" t="s">
        <v>834</v>
      </c>
      <c r="AP29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2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2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2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2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2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29" s="60">
        <f>IFERROR(IF(D29="스마트스토어",COUNTIFS(출고표[구입일자],"&lt;&gt;"&amp;H29,출고표[구매자명],E29,출고표[구매자연락처],F29),COUNTIFS(출고표[구입일자],"&lt;&gt;"&amp;H29,출고표[구매자명],E29,출고표[구매자연락처],G29)),0)</f>
        <v>0</v>
      </c>
    </row>
    <row r="30" spans="1:48" ht="20.100000000000001" customHeight="1">
      <c r="A30" s="55">
        <v>29</v>
      </c>
      <c r="B30" s="55" t="s">
        <v>673</v>
      </c>
      <c r="C30" s="64" t="s">
        <v>1122</v>
      </c>
      <c r="D30" s="55" t="s">
        <v>561</v>
      </c>
      <c r="E30" s="55" t="s">
        <v>1123</v>
      </c>
      <c r="F30" s="55" t="s">
        <v>1124</v>
      </c>
      <c r="G30" s="55" t="s">
        <v>1125</v>
      </c>
      <c r="H30" s="63">
        <v>45444</v>
      </c>
      <c r="I30" s="63">
        <v>45446</v>
      </c>
      <c r="J30" s="55" t="s">
        <v>563</v>
      </c>
      <c r="K30" s="64" t="s">
        <v>1120</v>
      </c>
      <c r="M30" s="55" t="s">
        <v>1117</v>
      </c>
      <c r="N30" s="55" t="s">
        <v>1125</v>
      </c>
      <c r="P30" s="55" t="s">
        <v>1126</v>
      </c>
      <c r="R30" s="55" t="s">
        <v>224</v>
      </c>
      <c r="S30" s="55" t="s">
        <v>368</v>
      </c>
      <c r="T30" s="60">
        <v>1</v>
      </c>
      <c r="U30" s="60">
        <v>1770</v>
      </c>
      <c r="V30" s="60">
        <v>1440</v>
      </c>
      <c r="W30" s="60">
        <v>0</v>
      </c>
      <c r="X30" s="60">
        <v>0</v>
      </c>
      <c r="Y30" s="60">
        <v>3000</v>
      </c>
      <c r="Z30" s="60">
        <v>0</v>
      </c>
      <c r="AB30" s="60">
        <v>1770</v>
      </c>
      <c r="AC30" s="60">
        <v>1293</v>
      </c>
      <c r="AD30" s="60">
        <v>1770</v>
      </c>
      <c r="AE30" s="60">
        <v>0</v>
      </c>
      <c r="AF30" s="60">
        <v>169</v>
      </c>
      <c r="AG30" s="60">
        <v>0</v>
      </c>
      <c r="AL30" s="55" t="s">
        <v>1974</v>
      </c>
      <c r="AN30" s="55" t="s">
        <v>834</v>
      </c>
      <c r="AP30" s="62">
        <f>IFERROR(IF(출고표[[#This Row],[클레임]]="반품",출고표[[#This Row],[배송비]],출고표[[#This Row],[결제액]]+출고표[[#This Row],[배송비]]+출고표[[#This Row],[제주/도서추가배송비]]),0)</f>
        <v>1770</v>
      </c>
      <c r="AQ3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169</v>
      </c>
      <c r="AS3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0" s="60">
        <f>IFERROR(IF(D30="스마트스토어",COUNTIFS(출고표[구입일자],"&lt;&gt;"&amp;H30,출고표[구매자명],E30,출고표[구매자연락처],F30),COUNTIFS(출고표[구입일자],"&lt;&gt;"&amp;H30,출고표[구매자명],E30,출고표[구매자연락처],G30)),0)</f>
        <v>0</v>
      </c>
    </row>
    <row r="31" spans="1:48" ht="20.100000000000001" customHeight="1">
      <c r="A31" s="55">
        <v>30</v>
      </c>
      <c r="B31" s="55" t="s">
        <v>673</v>
      </c>
      <c r="C31" s="64" t="s">
        <v>1130</v>
      </c>
      <c r="D31" s="55" t="s">
        <v>561</v>
      </c>
      <c r="E31" s="55" t="s">
        <v>1123</v>
      </c>
      <c r="F31" s="55" t="s">
        <v>1124</v>
      </c>
      <c r="G31" s="55" t="s">
        <v>1125</v>
      </c>
      <c r="H31" s="63">
        <v>45444</v>
      </c>
      <c r="I31" s="63">
        <v>45446</v>
      </c>
      <c r="J31" s="55" t="s">
        <v>563</v>
      </c>
      <c r="K31" s="64" t="s">
        <v>1120</v>
      </c>
      <c r="M31" s="55" t="s">
        <v>1117</v>
      </c>
      <c r="N31" s="55" t="s">
        <v>1125</v>
      </c>
      <c r="P31" s="55" t="s">
        <v>1126</v>
      </c>
      <c r="R31" s="55" t="s">
        <v>271</v>
      </c>
      <c r="S31" s="55" t="s">
        <v>375</v>
      </c>
      <c r="T31" s="60">
        <v>10</v>
      </c>
      <c r="U31" s="60">
        <v>9800</v>
      </c>
      <c r="V31" s="60">
        <v>14400</v>
      </c>
      <c r="W31" s="60">
        <v>0</v>
      </c>
      <c r="X31" s="60">
        <v>0</v>
      </c>
      <c r="Y31" s="60">
        <v>0</v>
      </c>
      <c r="Z31" s="60">
        <v>0</v>
      </c>
      <c r="AB31" s="60">
        <v>980</v>
      </c>
      <c r="AC31" s="60">
        <v>715</v>
      </c>
      <c r="AD31" s="60">
        <v>9800</v>
      </c>
      <c r="AE31" s="60">
        <v>0</v>
      </c>
      <c r="AF31" s="60">
        <v>572</v>
      </c>
      <c r="AG31" s="60">
        <v>0</v>
      </c>
      <c r="AL31" s="55" t="s">
        <v>372</v>
      </c>
      <c r="AM31" s="55" t="s">
        <v>822</v>
      </c>
      <c r="AN31" s="55" t="s">
        <v>834</v>
      </c>
      <c r="AP31" s="62">
        <f>IFERROR(IF(출고표[[#This Row],[클레임]]="반품",출고표[[#This Row],[배송비]],출고표[[#This Row],[결제액]]+출고표[[#This Row],[배송비]]+출고표[[#This Row],[제주/도서추가배송비]]),0)</f>
        <v>9800</v>
      </c>
      <c r="AQ3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572</v>
      </c>
      <c r="AS3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1" s="60">
        <f>IFERROR(IF(D31="스마트스토어",COUNTIFS(출고표[구입일자],"&lt;&gt;"&amp;H31,출고표[구매자명],E31,출고표[구매자연락처],F31),COUNTIFS(출고표[구입일자],"&lt;&gt;"&amp;H31,출고표[구매자명],E31,출고표[구매자연락처],G31)),0)</f>
        <v>0</v>
      </c>
    </row>
    <row r="32" spans="1:48" ht="20.100000000000001" customHeight="1">
      <c r="A32" s="55">
        <v>31</v>
      </c>
      <c r="B32" s="55" t="s">
        <v>673</v>
      </c>
      <c r="C32" s="64" t="s">
        <v>1133</v>
      </c>
      <c r="D32" s="55" t="s">
        <v>561</v>
      </c>
      <c r="E32" s="55" t="s">
        <v>1123</v>
      </c>
      <c r="F32" s="55" t="s">
        <v>1124</v>
      </c>
      <c r="G32" s="55" t="s">
        <v>1125</v>
      </c>
      <c r="H32" s="63">
        <v>45444</v>
      </c>
      <c r="I32" s="63">
        <v>45446</v>
      </c>
      <c r="J32" s="55" t="s">
        <v>563</v>
      </c>
      <c r="K32" s="64" t="s">
        <v>1120</v>
      </c>
      <c r="M32" s="55" t="s">
        <v>1117</v>
      </c>
      <c r="N32" s="55" t="s">
        <v>1125</v>
      </c>
      <c r="P32" s="55" t="s">
        <v>1126</v>
      </c>
      <c r="R32" s="55" t="s">
        <v>6</v>
      </c>
      <c r="S32" s="55" t="s">
        <v>353</v>
      </c>
      <c r="T32" s="60">
        <v>1</v>
      </c>
      <c r="U32" s="60">
        <v>12600</v>
      </c>
      <c r="V32" s="60">
        <v>0</v>
      </c>
      <c r="W32" s="60">
        <v>0</v>
      </c>
      <c r="X32" s="60">
        <v>0</v>
      </c>
      <c r="Y32" s="60">
        <v>0</v>
      </c>
      <c r="Z32" s="60">
        <v>0</v>
      </c>
      <c r="AB32" s="60">
        <v>12380</v>
      </c>
      <c r="AC32" s="60">
        <v>8250</v>
      </c>
      <c r="AD32" s="60">
        <v>12600</v>
      </c>
      <c r="AE32" s="60">
        <v>0</v>
      </c>
      <c r="AF32" s="60">
        <v>713</v>
      </c>
      <c r="AG32" s="60">
        <v>0</v>
      </c>
      <c r="AL32" s="55">
        <v>0</v>
      </c>
      <c r="AM32" s="55" t="s">
        <v>822</v>
      </c>
      <c r="AN32" s="55" t="s">
        <v>834</v>
      </c>
      <c r="AP32" s="62">
        <f>IFERROR(IF(출고표[[#This Row],[클레임]]="반품",출고표[[#This Row],[배송비]],출고표[[#This Row],[결제액]]+출고표[[#This Row],[배송비]]+출고표[[#This Row],[제주/도서추가배송비]]),0)</f>
        <v>12600</v>
      </c>
      <c r="AQ3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713</v>
      </c>
      <c r="AS3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2" s="60">
        <f>IFERROR(IF(D32="스마트스토어",COUNTIFS(출고표[구입일자],"&lt;&gt;"&amp;H32,출고표[구매자명],E32,출고표[구매자연락처],F32),COUNTIFS(출고표[구입일자],"&lt;&gt;"&amp;H32,출고표[구매자명],E32,출고표[구매자연락처],G32)),0)</f>
        <v>0</v>
      </c>
    </row>
    <row r="33" spans="1:48" ht="20.100000000000001" customHeight="1">
      <c r="A33" s="55">
        <v>32</v>
      </c>
      <c r="B33" s="55" t="s">
        <v>673</v>
      </c>
      <c r="C33" s="64" t="s">
        <v>1139</v>
      </c>
      <c r="D33" s="55" t="s">
        <v>561</v>
      </c>
      <c r="E33" s="55" t="s">
        <v>1135</v>
      </c>
      <c r="F33" s="55" t="s">
        <v>1140</v>
      </c>
      <c r="G33" s="55" t="s">
        <v>1141</v>
      </c>
      <c r="H33" s="63">
        <v>45443</v>
      </c>
      <c r="I33" s="63">
        <v>45446</v>
      </c>
      <c r="J33" s="55" t="s">
        <v>563</v>
      </c>
      <c r="K33" s="64" t="s">
        <v>1137</v>
      </c>
      <c r="M33" s="55" t="s">
        <v>1135</v>
      </c>
      <c r="N33" s="55" t="s">
        <v>1141</v>
      </c>
      <c r="P33" s="55" t="s">
        <v>1142</v>
      </c>
      <c r="R33" s="55" t="s">
        <v>38</v>
      </c>
      <c r="S33" s="55" t="s">
        <v>353</v>
      </c>
      <c r="T33" s="60">
        <v>1</v>
      </c>
      <c r="U33" s="60">
        <v>20800</v>
      </c>
      <c r="V33" s="60">
        <v>0</v>
      </c>
      <c r="W33" s="60">
        <v>3000</v>
      </c>
      <c r="X33" s="60">
        <v>0</v>
      </c>
      <c r="Y33" s="60">
        <v>3000</v>
      </c>
      <c r="Z33" s="60">
        <v>0</v>
      </c>
      <c r="AB33" s="60">
        <v>20800</v>
      </c>
      <c r="AC33" s="60">
        <v>14300</v>
      </c>
      <c r="AD33" s="60">
        <v>23800</v>
      </c>
      <c r="AE33" s="60">
        <v>0</v>
      </c>
      <c r="AF33" s="60">
        <v>1214</v>
      </c>
      <c r="AG33" s="60">
        <v>0</v>
      </c>
      <c r="AL33" s="55" t="s">
        <v>37</v>
      </c>
      <c r="AN33" s="55" t="s">
        <v>834</v>
      </c>
      <c r="AP33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3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3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3" s="60">
        <f>IFERROR(IF(D33="스마트스토어",COUNTIFS(출고표[구입일자],"&lt;&gt;"&amp;H33,출고표[구매자명],E33,출고표[구매자연락처],F33),COUNTIFS(출고표[구입일자],"&lt;&gt;"&amp;H33,출고표[구매자명],E33,출고표[구매자연락처],G33)),0)</f>
        <v>0</v>
      </c>
    </row>
    <row r="34" spans="1:48" ht="20.100000000000001" customHeight="1">
      <c r="A34" s="55">
        <v>33</v>
      </c>
      <c r="B34" s="55" t="s">
        <v>562</v>
      </c>
      <c r="C34" s="64" t="s">
        <v>1148</v>
      </c>
      <c r="D34" s="55" t="s">
        <v>568</v>
      </c>
      <c r="E34" s="55" t="s">
        <v>1149</v>
      </c>
      <c r="F34" s="55" t="s">
        <v>1150</v>
      </c>
      <c r="G34" s="55" t="s">
        <v>1151</v>
      </c>
      <c r="H34" s="63">
        <v>45444</v>
      </c>
      <c r="I34" s="63">
        <v>45446</v>
      </c>
      <c r="J34" s="55" t="s">
        <v>563</v>
      </c>
      <c r="K34" s="64" t="s">
        <v>1147</v>
      </c>
      <c r="M34" s="55" t="s">
        <v>1144</v>
      </c>
      <c r="N34" s="55" t="s">
        <v>1151</v>
      </c>
      <c r="P34" s="55" t="s">
        <v>1152</v>
      </c>
      <c r="Q34" s="55" t="s">
        <v>571</v>
      </c>
      <c r="R34" s="55" t="s">
        <v>18</v>
      </c>
      <c r="S34" s="55" t="s">
        <v>353</v>
      </c>
      <c r="T34" s="60">
        <v>1</v>
      </c>
      <c r="U34" s="60">
        <v>12470</v>
      </c>
      <c r="V34" s="60">
        <v>0</v>
      </c>
      <c r="W34" s="60">
        <v>3000</v>
      </c>
      <c r="X34" s="60">
        <v>0</v>
      </c>
      <c r="Y34" s="60">
        <v>3000</v>
      </c>
      <c r="Z34" s="60">
        <v>0</v>
      </c>
      <c r="AB34" s="60">
        <v>11780</v>
      </c>
      <c r="AC34" s="60">
        <v>7260</v>
      </c>
      <c r="AD34" s="60">
        <v>15470</v>
      </c>
      <c r="AE34" s="60">
        <v>10260</v>
      </c>
      <c r="AF34" s="60">
        <v>1580</v>
      </c>
      <c r="AG34" s="60">
        <v>3630</v>
      </c>
      <c r="AH34" s="61">
        <v>0.2346</v>
      </c>
      <c r="AL34" s="55" t="s">
        <v>17</v>
      </c>
      <c r="AN34" s="55" t="s">
        <v>834</v>
      </c>
      <c r="AP34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3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3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3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3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3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4" s="60">
        <f>IFERROR(IF(D34="스마트스토어",COUNTIFS(출고표[구입일자],"&lt;&gt;"&amp;H34,출고표[구매자명],E34,출고표[구매자연락처],F34),COUNTIFS(출고표[구입일자],"&lt;&gt;"&amp;H34,출고표[구매자명],E34,출고표[구매자연락처],G34)),0)</f>
        <v>0</v>
      </c>
    </row>
    <row r="35" spans="1:48" ht="20.100000000000001" customHeight="1">
      <c r="A35" s="55">
        <v>34</v>
      </c>
      <c r="B35" s="55" t="s">
        <v>562</v>
      </c>
      <c r="C35" s="64" t="s">
        <v>1156</v>
      </c>
      <c r="D35" s="55" t="s">
        <v>568</v>
      </c>
      <c r="E35" s="55" t="s">
        <v>1154</v>
      </c>
      <c r="F35" s="55" t="s">
        <v>982</v>
      </c>
      <c r="G35" s="55" t="s">
        <v>1157</v>
      </c>
      <c r="H35" s="63">
        <v>45444</v>
      </c>
      <c r="I35" s="63">
        <v>45446</v>
      </c>
      <c r="J35" s="55" t="s">
        <v>563</v>
      </c>
      <c r="K35" s="64" t="s">
        <v>1155</v>
      </c>
      <c r="M35" s="55" t="s">
        <v>1154</v>
      </c>
      <c r="N35" s="55" t="s">
        <v>1157</v>
      </c>
      <c r="P35" s="55" t="s">
        <v>1158</v>
      </c>
      <c r="Q35" s="55" t="s">
        <v>571</v>
      </c>
      <c r="R35" s="55" t="s">
        <v>34</v>
      </c>
      <c r="S35" s="55" t="s">
        <v>353</v>
      </c>
      <c r="T35" s="60">
        <v>1</v>
      </c>
      <c r="U35" s="60">
        <v>34020</v>
      </c>
      <c r="V35" s="60">
        <v>0</v>
      </c>
      <c r="W35" s="60">
        <v>3000</v>
      </c>
      <c r="X35" s="60">
        <v>0</v>
      </c>
      <c r="Y35" s="60">
        <v>3500</v>
      </c>
      <c r="Z35" s="60">
        <v>0</v>
      </c>
      <c r="AB35" s="60">
        <v>32130</v>
      </c>
      <c r="AC35" s="60">
        <v>19800</v>
      </c>
      <c r="AD35" s="60">
        <v>37020</v>
      </c>
      <c r="AE35" s="60">
        <v>23300</v>
      </c>
      <c r="AF35" s="60">
        <v>4141</v>
      </c>
      <c r="AG35" s="60">
        <v>9579</v>
      </c>
      <c r="AH35" s="61">
        <v>0.25879999999999997</v>
      </c>
      <c r="AL35" s="55" t="s">
        <v>33</v>
      </c>
      <c r="AN35" s="55" t="s">
        <v>834</v>
      </c>
      <c r="AP3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3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3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3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3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3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5" s="60">
        <f>IFERROR(IF(D35="스마트스토어",COUNTIFS(출고표[구입일자],"&lt;&gt;"&amp;H35,출고표[구매자명],E35,출고표[구매자연락처],F35),COUNTIFS(출고표[구입일자],"&lt;&gt;"&amp;H35,출고표[구매자명],E35,출고표[구매자연락처],G35)),0)</f>
        <v>0</v>
      </c>
    </row>
    <row r="36" spans="1:48" ht="20.100000000000001" customHeight="1">
      <c r="A36" s="55">
        <v>35</v>
      </c>
      <c r="B36" s="55" t="s">
        <v>562</v>
      </c>
      <c r="C36" s="64" t="s">
        <v>1162</v>
      </c>
      <c r="D36" s="55" t="s">
        <v>568</v>
      </c>
      <c r="E36" s="55" t="s">
        <v>1160</v>
      </c>
      <c r="F36" s="55" t="s">
        <v>1163</v>
      </c>
      <c r="G36" s="55" t="s">
        <v>1164</v>
      </c>
      <c r="H36" s="63">
        <v>45444</v>
      </c>
      <c r="I36" s="63">
        <v>45446</v>
      </c>
      <c r="J36" s="55" t="s">
        <v>563</v>
      </c>
      <c r="K36" s="64" t="s">
        <v>1161</v>
      </c>
      <c r="M36" s="55" t="s">
        <v>1160</v>
      </c>
      <c r="N36" s="55" t="s">
        <v>1164</v>
      </c>
      <c r="P36" s="55" t="s">
        <v>1165</v>
      </c>
      <c r="Q36" s="55" t="s">
        <v>569</v>
      </c>
      <c r="R36" s="55" t="s">
        <v>129</v>
      </c>
      <c r="S36" s="55" t="s">
        <v>353</v>
      </c>
      <c r="T36" s="60">
        <v>40</v>
      </c>
      <c r="U36" s="60">
        <v>46000</v>
      </c>
      <c r="V36" s="60">
        <v>0</v>
      </c>
      <c r="W36" s="60">
        <v>0</v>
      </c>
      <c r="X36" s="60">
        <v>0</v>
      </c>
      <c r="Y36" s="60">
        <v>3500</v>
      </c>
      <c r="Z36" s="60">
        <v>0</v>
      </c>
      <c r="AB36" s="60">
        <v>1070</v>
      </c>
      <c r="AC36" s="60">
        <v>660</v>
      </c>
      <c r="AD36" s="60">
        <v>46000</v>
      </c>
      <c r="AE36" s="60">
        <v>29900</v>
      </c>
      <c r="AF36" s="60">
        <v>5465</v>
      </c>
      <c r="AG36" s="60">
        <v>10635</v>
      </c>
      <c r="AH36" s="61">
        <v>0.23119999999999999</v>
      </c>
      <c r="AL36" s="55" t="s">
        <v>128</v>
      </c>
      <c r="AN36" s="55" t="s">
        <v>834</v>
      </c>
      <c r="AP36" s="62">
        <f>IFERROR(IF(출고표[[#This Row],[클레임]]="반품",출고표[[#This Row],[배송비]],출고표[[#This Row],[결제액]]+출고표[[#This Row],[배송비]]+출고표[[#This Row],[제주/도서추가배송비]]),0)</f>
        <v>46000</v>
      </c>
      <c r="AQ3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29900</v>
      </c>
      <c r="AR3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5465</v>
      </c>
      <c r="AS3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10635</v>
      </c>
      <c r="AT3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0.23119999999999999</v>
      </c>
      <c r="AU3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6" s="60">
        <f>IFERROR(IF(D36="스마트스토어",COUNTIFS(출고표[구입일자],"&lt;&gt;"&amp;H36,출고표[구매자명],E36,출고표[구매자연락처],F36),COUNTIFS(출고표[구입일자],"&lt;&gt;"&amp;H36,출고표[구매자명],E36,출고표[구매자연락처],G36)),0)</f>
        <v>0</v>
      </c>
    </row>
    <row r="37" spans="1:48" ht="20.100000000000001" customHeight="1">
      <c r="A37" s="55">
        <v>36</v>
      </c>
      <c r="B37" s="55" t="s">
        <v>562</v>
      </c>
      <c r="C37" s="64" t="s">
        <v>1169</v>
      </c>
      <c r="D37" s="55" t="s">
        <v>568</v>
      </c>
      <c r="E37" s="55" t="s">
        <v>1167</v>
      </c>
      <c r="F37" s="55" t="s">
        <v>1170</v>
      </c>
      <c r="G37" s="55" t="s">
        <v>1171</v>
      </c>
      <c r="H37" s="63">
        <v>45444</v>
      </c>
      <c r="I37" s="63">
        <v>45446</v>
      </c>
      <c r="J37" s="55" t="s">
        <v>563</v>
      </c>
      <c r="K37" s="64" t="s">
        <v>1168</v>
      </c>
      <c r="M37" s="55" t="s">
        <v>1167</v>
      </c>
      <c r="N37" s="55" t="s">
        <v>1171</v>
      </c>
      <c r="P37" s="55" t="s">
        <v>1172</v>
      </c>
      <c r="Q37" s="55" t="s">
        <v>571</v>
      </c>
      <c r="R37" s="55" t="s">
        <v>133</v>
      </c>
      <c r="S37" s="55" t="s">
        <v>353</v>
      </c>
      <c r="T37" s="60">
        <v>30</v>
      </c>
      <c r="U37" s="60">
        <v>28200</v>
      </c>
      <c r="V37" s="60">
        <v>0</v>
      </c>
      <c r="W37" s="60">
        <v>3000</v>
      </c>
      <c r="X37" s="60">
        <v>0</v>
      </c>
      <c r="Y37" s="60">
        <v>3500</v>
      </c>
      <c r="Z37" s="60">
        <v>0</v>
      </c>
      <c r="AB37" s="60">
        <v>890</v>
      </c>
      <c r="AC37" s="60">
        <v>550</v>
      </c>
      <c r="AD37" s="60">
        <v>31200</v>
      </c>
      <c r="AE37" s="60">
        <v>20000</v>
      </c>
      <c r="AF37" s="60">
        <v>3449</v>
      </c>
      <c r="AG37" s="60">
        <v>7751</v>
      </c>
      <c r="AH37" s="61">
        <v>0.24840000000000001</v>
      </c>
      <c r="AL37" s="55" t="s">
        <v>132</v>
      </c>
      <c r="AN37" s="55" t="s">
        <v>834</v>
      </c>
      <c r="AP37" s="62">
        <f>IFERROR(IF(출고표[[#This Row],[클레임]]="반품",출고표[[#This Row],[배송비]],출고표[[#This Row],[결제액]]+출고표[[#This Row],[배송비]]+출고표[[#This Row],[제주/도서추가배송비]]),0)</f>
        <v>31200</v>
      </c>
      <c r="AQ3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20000</v>
      </c>
      <c r="AR3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3449</v>
      </c>
      <c r="AS3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7751</v>
      </c>
      <c r="AT3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0.24840000000000001</v>
      </c>
      <c r="AU3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7" s="60">
        <f>IFERROR(IF(D37="스마트스토어",COUNTIFS(출고표[구입일자],"&lt;&gt;"&amp;H37,출고표[구매자명],E37,출고표[구매자연락처],F37),COUNTIFS(출고표[구입일자],"&lt;&gt;"&amp;H37,출고표[구매자명],E37,출고표[구매자연락처],G37)),0)</f>
        <v>0</v>
      </c>
    </row>
    <row r="38" spans="1:48" ht="20.100000000000001" customHeight="1">
      <c r="A38" s="55">
        <v>37</v>
      </c>
      <c r="B38" s="55" t="s">
        <v>562</v>
      </c>
      <c r="C38" s="64" t="s">
        <v>1177</v>
      </c>
      <c r="D38" s="55" t="s">
        <v>568</v>
      </c>
      <c r="E38" s="55" t="s">
        <v>1174</v>
      </c>
      <c r="F38" s="55" t="s">
        <v>1178</v>
      </c>
      <c r="G38" s="55" t="s">
        <v>1179</v>
      </c>
      <c r="H38" s="63">
        <v>45445</v>
      </c>
      <c r="I38" s="63">
        <v>45446</v>
      </c>
      <c r="J38" s="55" t="s">
        <v>563</v>
      </c>
      <c r="K38" s="64" t="s">
        <v>1176</v>
      </c>
      <c r="M38" s="55" t="s">
        <v>1174</v>
      </c>
      <c r="N38" s="55" t="s">
        <v>1179</v>
      </c>
      <c r="P38" s="55" t="s">
        <v>1180</v>
      </c>
      <c r="Q38" s="55" t="s">
        <v>571</v>
      </c>
      <c r="R38" s="55" t="s">
        <v>110</v>
      </c>
      <c r="S38" s="55" t="s">
        <v>353</v>
      </c>
      <c r="T38" s="60">
        <v>5</v>
      </c>
      <c r="U38" s="60">
        <v>6250</v>
      </c>
      <c r="V38" s="60">
        <v>0</v>
      </c>
      <c r="W38" s="60">
        <v>3000</v>
      </c>
      <c r="X38" s="60">
        <v>0</v>
      </c>
      <c r="Y38" s="60">
        <v>3000</v>
      </c>
      <c r="Z38" s="60">
        <v>0</v>
      </c>
      <c r="AB38" s="60">
        <v>1170</v>
      </c>
      <c r="AC38" s="60">
        <v>715</v>
      </c>
      <c r="AD38" s="60">
        <v>9250</v>
      </c>
      <c r="AE38" s="60">
        <v>6575</v>
      </c>
      <c r="AF38" s="60">
        <v>842</v>
      </c>
      <c r="AG38" s="60">
        <v>1833</v>
      </c>
      <c r="AH38" s="61">
        <v>0.19819999999999999</v>
      </c>
      <c r="AL38" s="55" t="s">
        <v>1975</v>
      </c>
      <c r="AN38" s="55" t="s">
        <v>834</v>
      </c>
      <c r="AP38" s="62">
        <f>IFERROR(IF(출고표[[#This Row],[클레임]]="반품",출고표[[#This Row],[배송비]],출고표[[#This Row],[결제액]]+출고표[[#This Row],[배송비]]+출고표[[#This Row],[제주/도서추가배송비]]),0)</f>
        <v>9250</v>
      </c>
      <c r="AQ3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6575</v>
      </c>
      <c r="AR3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842</v>
      </c>
      <c r="AS3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1833</v>
      </c>
      <c r="AT3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0.19819999999999999</v>
      </c>
      <c r="AU3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8" s="60">
        <f>IFERROR(IF(D38="스마트스토어",COUNTIFS(출고표[구입일자],"&lt;&gt;"&amp;H38,출고표[구매자명],E38,출고표[구매자연락처],F38),COUNTIFS(출고표[구입일자],"&lt;&gt;"&amp;H38,출고표[구매자명],E38,출고표[구매자연락처],G38)),0)</f>
        <v>0</v>
      </c>
    </row>
    <row r="39" spans="1:48" ht="20.100000000000001" customHeight="1">
      <c r="A39" s="55">
        <v>38</v>
      </c>
      <c r="B39" s="55" t="s">
        <v>673</v>
      </c>
      <c r="C39" s="64" t="s">
        <v>1184</v>
      </c>
      <c r="D39" s="55" t="s">
        <v>568</v>
      </c>
      <c r="E39" s="55" t="s">
        <v>1182</v>
      </c>
      <c r="F39" s="55" t="s">
        <v>1185</v>
      </c>
      <c r="G39" s="55" t="s">
        <v>1186</v>
      </c>
      <c r="H39" s="63">
        <v>45444</v>
      </c>
      <c r="I39" s="63">
        <v>45446</v>
      </c>
      <c r="J39" s="55" t="s">
        <v>563</v>
      </c>
      <c r="K39" s="64" t="s">
        <v>1183</v>
      </c>
      <c r="M39" s="55" t="s">
        <v>1182</v>
      </c>
      <c r="N39" s="55" t="s">
        <v>1186</v>
      </c>
      <c r="P39" s="55" t="s">
        <v>1187</v>
      </c>
      <c r="Q39" s="55" t="s">
        <v>571</v>
      </c>
      <c r="R39" s="55" t="s">
        <v>133</v>
      </c>
      <c r="S39" s="55" t="s">
        <v>353</v>
      </c>
      <c r="T39" s="60">
        <v>1</v>
      </c>
      <c r="U39" s="60">
        <v>17300</v>
      </c>
      <c r="V39" s="60">
        <v>0</v>
      </c>
      <c r="W39" s="60">
        <v>3000</v>
      </c>
      <c r="X39" s="60">
        <v>0</v>
      </c>
      <c r="Y39" s="60">
        <v>3000</v>
      </c>
      <c r="Z39" s="60">
        <v>0</v>
      </c>
      <c r="AB39" s="60">
        <v>8700</v>
      </c>
      <c r="AC39" s="60">
        <v>5500</v>
      </c>
      <c r="AD39" s="60">
        <v>20300</v>
      </c>
      <c r="AE39" s="60">
        <v>0</v>
      </c>
      <c r="AF39" s="60">
        <v>2154</v>
      </c>
      <c r="AG39" s="60">
        <v>0</v>
      </c>
      <c r="AL39" s="55" t="s">
        <v>132</v>
      </c>
      <c r="AN39" s="55" t="s">
        <v>834</v>
      </c>
      <c r="AO39" s="55">
        <v>10</v>
      </c>
      <c r="AP39" s="62">
        <f>IFERROR(IF(출고표[[#This Row],[클레임]]="반품",출고표[[#This Row],[배송비]],출고표[[#This Row],[결제액]]+출고표[[#This Row],[배송비]]+출고표[[#This Row],[제주/도서추가배송비]]),0)</f>
        <v>20300</v>
      </c>
      <c r="AQ3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3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2154</v>
      </c>
      <c r="AS3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3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3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39" s="60">
        <f>IFERROR(IF(D39="스마트스토어",COUNTIFS(출고표[구입일자],"&lt;&gt;"&amp;H39,출고표[구매자명],E39,출고표[구매자연락처],F39),COUNTIFS(출고표[구입일자],"&lt;&gt;"&amp;H39,출고표[구매자명],E39,출고표[구매자연락처],G39)),0)</f>
        <v>0</v>
      </c>
    </row>
    <row r="40" spans="1:48" ht="20.100000000000001" customHeight="1">
      <c r="A40" s="55">
        <v>39</v>
      </c>
      <c r="B40" s="55" t="s">
        <v>562</v>
      </c>
      <c r="C40" s="64" t="s">
        <v>2080</v>
      </c>
      <c r="D40" s="55" t="s">
        <v>561</v>
      </c>
      <c r="E40" s="55" t="s">
        <v>1194</v>
      </c>
      <c r="F40" s="55" t="s">
        <v>1195</v>
      </c>
      <c r="G40" s="55" t="s">
        <v>1196</v>
      </c>
      <c r="H40" s="63">
        <v>45447</v>
      </c>
      <c r="I40" s="63">
        <v>45447</v>
      </c>
      <c r="J40" s="55" t="s">
        <v>563</v>
      </c>
      <c r="K40" s="64" t="s">
        <v>1192</v>
      </c>
      <c r="M40" s="55" t="s">
        <v>1189</v>
      </c>
      <c r="N40" s="55" t="s">
        <v>1196</v>
      </c>
      <c r="P40" s="55" t="s">
        <v>1197</v>
      </c>
      <c r="Q40" s="55" t="s">
        <v>1198</v>
      </c>
      <c r="R40" s="55" t="s">
        <v>176</v>
      </c>
      <c r="S40" s="55" t="s">
        <v>375</v>
      </c>
      <c r="T40" s="60">
        <v>6</v>
      </c>
      <c r="U40" s="60">
        <v>45360</v>
      </c>
      <c r="V40" s="60">
        <v>0</v>
      </c>
      <c r="W40" s="60">
        <v>0</v>
      </c>
      <c r="Y40" s="60">
        <v>5500</v>
      </c>
      <c r="Z40" s="60">
        <v>0</v>
      </c>
      <c r="AB40" s="60">
        <v>7230</v>
      </c>
      <c r="AC40" s="60">
        <v>4620</v>
      </c>
      <c r="AD40" s="60">
        <v>45360</v>
      </c>
      <c r="AE40" s="60">
        <v>33220</v>
      </c>
      <c r="AF40" s="60">
        <v>1885</v>
      </c>
      <c r="AG40" s="60">
        <v>10255</v>
      </c>
      <c r="AH40" s="61">
        <v>0.2261</v>
      </c>
      <c r="AL40" s="55" t="s">
        <v>1976</v>
      </c>
      <c r="AN40" s="55" t="s">
        <v>834</v>
      </c>
      <c r="AP40" s="62">
        <f>IFERROR(IF(출고표[[#This Row],[클레임]]="반품",출고표[[#This Row],[배송비]],출고표[[#This Row],[결제액]]+출고표[[#This Row],[배송비]]+출고표[[#This Row],[제주/도서추가배송비]]),0)</f>
        <v>45360</v>
      </c>
      <c r="AQ4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33220</v>
      </c>
      <c r="AR4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10255</v>
      </c>
      <c r="AT4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0.2261</v>
      </c>
      <c r="AU4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0" s="60">
        <f>IFERROR(IF(D40="스마트스토어",COUNTIFS(출고표[구입일자],"&lt;&gt;"&amp;H40,출고표[구매자명],E40,출고표[구매자연락처],F40),COUNTIFS(출고표[구입일자],"&lt;&gt;"&amp;H40,출고표[구매자명],E40,출고표[구매자연락처],G40)),0)</f>
        <v>0</v>
      </c>
    </row>
    <row r="41" spans="1:48" ht="20.100000000000001" customHeight="1">
      <c r="A41" s="55">
        <v>40</v>
      </c>
      <c r="B41" s="55" t="s">
        <v>562</v>
      </c>
      <c r="C41" s="64" t="s">
        <v>1203</v>
      </c>
      <c r="D41" s="55" t="s">
        <v>561</v>
      </c>
      <c r="E41" s="55" t="s">
        <v>1194</v>
      </c>
      <c r="F41" s="55" t="s">
        <v>1195</v>
      </c>
      <c r="G41" s="55" t="s">
        <v>1196</v>
      </c>
      <c r="H41" s="63">
        <v>45447</v>
      </c>
      <c r="I41" s="63">
        <v>45447</v>
      </c>
      <c r="J41" s="55" t="s">
        <v>563</v>
      </c>
      <c r="K41" s="64" t="s">
        <v>1201</v>
      </c>
      <c r="M41" s="55" t="s">
        <v>1189</v>
      </c>
      <c r="N41" s="55" t="s">
        <v>1196</v>
      </c>
      <c r="P41" s="55" t="s">
        <v>1197</v>
      </c>
      <c r="Q41" s="55" t="s">
        <v>1198</v>
      </c>
      <c r="R41" s="55" t="s">
        <v>180</v>
      </c>
      <c r="S41" s="55" t="s">
        <v>375</v>
      </c>
      <c r="T41" s="60">
        <v>16</v>
      </c>
      <c r="U41" s="60">
        <v>92160</v>
      </c>
      <c r="V41" s="60">
        <v>0</v>
      </c>
      <c r="W41" s="60">
        <v>0</v>
      </c>
      <c r="X41" s="60">
        <v>0</v>
      </c>
      <c r="Y41" s="60">
        <v>0</v>
      </c>
      <c r="Z41" s="60">
        <v>0</v>
      </c>
      <c r="AB41" s="60">
        <v>5510</v>
      </c>
      <c r="AC41" s="60">
        <v>3520</v>
      </c>
      <c r="AD41" s="60">
        <v>92160</v>
      </c>
      <c r="AE41" s="60">
        <v>56320</v>
      </c>
      <c r="AF41" s="60">
        <v>3748</v>
      </c>
      <c r="AG41" s="60">
        <v>32092</v>
      </c>
      <c r="AH41" s="61">
        <v>0.34820000000000001</v>
      </c>
      <c r="AL41" s="55" t="s">
        <v>1977</v>
      </c>
      <c r="AM41" s="55" t="s">
        <v>822</v>
      </c>
      <c r="AN41" s="55" t="s">
        <v>834</v>
      </c>
      <c r="AP41" s="62">
        <f>IFERROR(IF(출고표[[#This Row],[클레임]]="반품",출고표[[#This Row],[배송비]],출고표[[#This Row],[결제액]]+출고표[[#This Row],[배송비]]+출고표[[#This Row],[제주/도서추가배송비]]),0)</f>
        <v>92160</v>
      </c>
      <c r="AQ4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56320</v>
      </c>
      <c r="AR4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3748</v>
      </c>
      <c r="AS4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32092</v>
      </c>
      <c r="AT4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0.34820000000000001</v>
      </c>
      <c r="AU4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1" s="60">
        <f>IFERROR(IF(D41="스마트스토어",COUNTIFS(출고표[구입일자],"&lt;&gt;"&amp;H41,출고표[구매자명],E41,출고표[구매자연락처],F41),COUNTIFS(출고표[구입일자],"&lt;&gt;"&amp;H41,출고표[구매자명],E41,출고표[구매자연락처],G41)),0)</f>
        <v>0</v>
      </c>
    </row>
    <row r="42" spans="1:48" ht="20.100000000000001" customHeight="1">
      <c r="A42" s="55">
        <v>41</v>
      </c>
      <c r="B42" s="55" t="s">
        <v>562</v>
      </c>
      <c r="C42" s="64" t="s">
        <v>1207</v>
      </c>
      <c r="D42" s="55" t="s">
        <v>561</v>
      </c>
      <c r="E42" s="55" t="s">
        <v>1194</v>
      </c>
      <c r="F42" s="55" t="s">
        <v>1195</v>
      </c>
      <c r="G42" s="55" t="s">
        <v>1196</v>
      </c>
      <c r="H42" s="63">
        <v>45447</v>
      </c>
      <c r="I42" s="63">
        <v>45447</v>
      </c>
      <c r="J42" s="55" t="s">
        <v>563</v>
      </c>
      <c r="K42" s="64" t="s">
        <v>1201</v>
      </c>
      <c r="M42" s="55" t="s">
        <v>1189</v>
      </c>
      <c r="N42" s="55" t="s">
        <v>1196</v>
      </c>
      <c r="P42" s="55" t="s">
        <v>1197</v>
      </c>
      <c r="Q42" s="55" t="s">
        <v>1198</v>
      </c>
      <c r="R42" s="55" t="s">
        <v>176</v>
      </c>
      <c r="S42" s="55" t="s">
        <v>375</v>
      </c>
      <c r="T42" s="60">
        <v>6</v>
      </c>
      <c r="U42" s="60">
        <v>45360</v>
      </c>
      <c r="V42" s="60">
        <v>0</v>
      </c>
      <c r="W42" s="60">
        <v>0</v>
      </c>
      <c r="X42" s="60">
        <v>0</v>
      </c>
      <c r="Y42" s="60">
        <v>0</v>
      </c>
      <c r="Z42" s="60">
        <v>0</v>
      </c>
      <c r="AB42" s="60">
        <v>7230</v>
      </c>
      <c r="AC42" s="60">
        <v>4620</v>
      </c>
      <c r="AD42" s="60">
        <v>45360</v>
      </c>
      <c r="AE42" s="60">
        <v>27720</v>
      </c>
      <c r="AF42" s="60">
        <v>1885</v>
      </c>
      <c r="AG42" s="60">
        <v>15755</v>
      </c>
      <c r="AH42" s="61">
        <v>0.3473</v>
      </c>
      <c r="AL42" s="55" t="s">
        <v>1976</v>
      </c>
      <c r="AM42" s="55" t="s">
        <v>822</v>
      </c>
      <c r="AN42" s="55" t="s">
        <v>834</v>
      </c>
      <c r="AP42" s="62">
        <f>IFERROR(IF(출고표[[#This Row],[클레임]]="반품",출고표[[#This Row],[배송비]],출고표[[#This Row],[결제액]]+출고표[[#This Row],[배송비]]+출고표[[#This Row],[제주/도서추가배송비]]),0)</f>
        <v>45360</v>
      </c>
      <c r="AQ4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27720</v>
      </c>
      <c r="AR4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1885</v>
      </c>
      <c r="AS4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15755</v>
      </c>
      <c r="AT4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0.3473</v>
      </c>
      <c r="AU4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2" s="60">
        <f>IFERROR(IF(D42="스마트스토어",COUNTIFS(출고표[구입일자],"&lt;&gt;"&amp;H42,출고표[구매자명],E42,출고표[구매자연락처],F42),COUNTIFS(출고표[구입일자],"&lt;&gt;"&amp;H42,출고표[구매자명],E42,출고표[구매자연락처],G42)),0)</f>
        <v>0</v>
      </c>
    </row>
    <row r="43" spans="1:48" ht="20.100000000000001" customHeight="1">
      <c r="A43" s="55">
        <v>42</v>
      </c>
      <c r="B43" s="55" t="s">
        <v>562</v>
      </c>
      <c r="C43" s="64" t="s">
        <v>1212</v>
      </c>
      <c r="D43" s="55" t="s">
        <v>561</v>
      </c>
      <c r="E43" s="55" t="s">
        <v>1209</v>
      </c>
      <c r="F43" s="55" t="s">
        <v>1213</v>
      </c>
      <c r="G43" s="55" t="s">
        <v>1214</v>
      </c>
      <c r="H43" s="63">
        <v>45447</v>
      </c>
      <c r="I43" s="63">
        <v>45447</v>
      </c>
      <c r="J43" s="55" t="s">
        <v>563</v>
      </c>
      <c r="K43" s="64" t="s">
        <v>1210</v>
      </c>
      <c r="M43" s="55" t="s">
        <v>1209</v>
      </c>
      <c r="N43" s="55" t="s">
        <v>1214</v>
      </c>
      <c r="O43" s="55" t="s">
        <v>1215</v>
      </c>
      <c r="P43" s="55" t="s">
        <v>1216</v>
      </c>
      <c r="R43" s="55" t="s">
        <v>118</v>
      </c>
      <c r="S43" s="55" t="s">
        <v>353</v>
      </c>
      <c r="T43" s="60">
        <v>10</v>
      </c>
      <c r="U43" s="60">
        <v>27800</v>
      </c>
      <c r="V43" s="60">
        <v>0</v>
      </c>
      <c r="W43" s="60">
        <v>3000</v>
      </c>
      <c r="X43" s="60">
        <v>0</v>
      </c>
      <c r="Y43" s="60">
        <v>3500</v>
      </c>
      <c r="Z43" s="60">
        <v>0</v>
      </c>
      <c r="AB43" s="60">
        <v>2550</v>
      </c>
      <c r="AC43" s="60">
        <v>1650</v>
      </c>
      <c r="AD43" s="60">
        <v>30800</v>
      </c>
      <c r="AE43" s="60">
        <v>20000</v>
      </c>
      <c r="AF43" s="60">
        <v>1245</v>
      </c>
      <c r="AG43" s="60">
        <v>9555</v>
      </c>
      <c r="AH43" s="61">
        <v>0.31019999999999998</v>
      </c>
      <c r="AL43" s="55" t="s">
        <v>117</v>
      </c>
      <c r="AN43" s="55" t="s">
        <v>834</v>
      </c>
      <c r="AP43" s="62">
        <f>IFERROR(IF(출고표[[#This Row],[클레임]]="반품",출고표[[#This Row],[배송비]],출고표[[#This Row],[결제액]]+출고표[[#This Row],[배송비]]+출고표[[#This Row],[제주/도서추가배송비]]),0)</f>
        <v>30800</v>
      </c>
      <c r="AQ4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20000</v>
      </c>
      <c r="AR4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1245</v>
      </c>
      <c r="AS4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9555</v>
      </c>
      <c r="AT4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0.31019999999999998</v>
      </c>
      <c r="AU4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3" s="60">
        <f>IFERROR(IF(D43="스마트스토어",COUNTIFS(출고표[구입일자],"&lt;&gt;"&amp;H43,출고표[구매자명],E43,출고표[구매자연락처],F43),COUNTIFS(출고표[구입일자],"&lt;&gt;"&amp;H43,출고표[구매자명],E43,출고표[구매자연락처],G43)),0)</f>
        <v>0</v>
      </c>
    </row>
    <row r="44" spans="1:48" ht="20.100000000000001" customHeight="1">
      <c r="A44" s="55">
        <v>43</v>
      </c>
      <c r="B44" s="55" t="s">
        <v>562</v>
      </c>
      <c r="C44" s="64" t="s">
        <v>1222</v>
      </c>
      <c r="D44" s="55" t="s">
        <v>561</v>
      </c>
      <c r="E44" s="55" t="s">
        <v>1218</v>
      </c>
      <c r="F44" s="55" t="s">
        <v>1223</v>
      </c>
      <c r="G44" s="55" t="s">
        <v>1224</v>
      </c>
      <c r="H44" s="63">
        <v>45446</v>
      </c>
      <c r="I44" s="63">
        <v>45447</v>
      </c>
      <c r="J44" s="55" t="s">
        <v>563</v>
      </c>
      <c r="K44" s="64" t="s">
        <v>1220</v>
      </c>
      <c r="M44" s="55" t="s">
        <v>1218</v>
      </c>
      <c r="N44" s="55" t="s">
        <v>1224</v>
      </c>
      <c r="O44" s="55" t="s">
        <v>1224</v>
      </c>
      <c r="P44" s="55" t="s">
        <v>1225</v>
      </c>
      <c r="Q44" s="55" t="s">
        <v>1226</v>
      </c>
      <c r="R44" s="55" t="s">
        <v>20</v>
      </c>
      <c r="S44" s="55" t="s">
        <v>353</v>
      </c>
      <c r="T44" s="60">
        <v>2</v>
      </c>
      <c r="U44" s="60">
        <v>28500</v>
      </c>
      <c r="V44" s="60">
        <v>3180</v>
      </c>
      <c r="W44" s="60">
        <v>3000</v>
      </c>
      <c r="X44" s="60">
        <v>0</v>
      </c>
      <c r="Y44" s="60">
        <v>3500</v>
      </c>
      <c r="Z44" s="60">
        <v>0</v>
      </c>
      <c r="AB44" s="60">
        <v>14960</v>
      </c>
      <c r="AC44" s="60">
        <v>9680</v>
      </c>
      <c r="AD44" s="60">
        <v>31500</v>
      </c>
      <c r="AE44" s="60">
        <v>22860</v>
      </c>
      <c r="AF44" s="60">
        <v>1273</v>
      </c>
      <c r="AG44" s="60">
        <v>7367</v>
      </c>
      <c r="AH44" s="61">
        <v>0.2339</v>
      </c>
      <c r="AL44" s="55" t="s">
        <v>19</v>
      </c>
      <c r="AN44" s="55" t="s">
        <v>834</v>
      </c>
      <c r="AP44" s="62">
        <f>IFERROR(IF(출고표[[#This Row],[클레임]]="반품",출고표[[#This Row],[배송비]],출고표[[#This Row],[결제액]]+출고표[[#This Row],[배송비]]+출고표[[#This Row],[제주/도서추가배송비]]),0)</f>
        <v>31500</v>
      </c>
      <c r="AQ4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22860</v>
      </c>
      <c r="AR4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1273</v>
      </c>
      <c r="AS4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7367</v>
      </c>
      <c r="AT4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0.2339</v>
      </c>
      <c r="AU4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4" s="60">
        <f>IFERROR(IF(D44="스마트스토어",COUNTIFS(출고표[구입일자],"&lt;&gt;"&amp;H44,출고표[구매자명],E44,출고표[구매자연락처],F44),COUNTIFS(출고표[구입일자],"&lt;&gt;"&amp;H44,출고표[구매자명],E44,출고표[구매자연락처],G44)),0)</f>
        <v>0</v>
      </c>
    </row>
    <row r="45" spans="1:48" ht="20.100000000000001" customHeight="1">
      <c r="A45" s="55">
        <v>44</v>
      </c>
      <c r="B45" s="55" t="s">
        <v>562</v>
      </c>
      <c r="C45" s="64" t="s">
        <v>1230</v>
      </c>
      <c r="D45" s="55" t="s">
        <v>568</v>
      </c>
      <c r="E45" s="55" t="s">
        <v>1231</v>
      </c>
      <c r="F45" s="55" t="s">
        <v>1232</v>
      </c>
      <c r="G45" s="55" t="s">
        <v>1233</v>
      </c>
      <c r="H45" s="63">
        <v>45446</v>
      </c>
      <c r="I45" s="63">
        <v>45447</v>
      </c>
      <c r="J45" s="55" t="s">
        <v>563</v>
      </c>
      <c r="K45" s="64" t="s">
        <v>1229</v>
      </c>
      <c r="M45" s="55" t="s">
        <v>1228</v>
      </c>
      <c r="N45" s="55" t="s">
        <v>1233</v>
      </c>
      <c r="P45" s="55" t="s">
        <v>1234</v>
      </c>
      <c r="Q45" s="55" t="s">
        <v>1235</v>
      </c>
      <c r="R45" s="55" t="s">
        <v>18</v>
      </c>
      <c r="S45" s="55" t="s">
        <v>353</v>
      </c>
      <c r="T45" s="60">
        <v>1</v>
      </c>
      <c r="U45" s="60">
        <v>12470</v>
      </c>
      <c r="V45" s="60">
        <v>0</v>
      </c>
      <c r="W45" s="60">
        <v>3000</v>
      </c>
      <c r="X45" s="60">
        <v>0</v>
      </c>
      <c r="Y45" s="60">
        <v>3000</v>
      </c>
      <c r="Z45" s="60">
        <v>0</v>
      </c>
      <c r="AB45" s="60">
        <v>11780</v>
      </c>
      <c r="AC45" s="60">
        <v>7260</v>
      </c>
      <c r="AD45" s="60">
        <v>15470</v>
      </c>
      <c r="AE45" s="60">
        <v>10260</v>
      </c>
      <c r="AF45" s="60">
        <v>1580</v>
      </c>
      <c r="AG45" s="60">
        <v>3630</v>
      </c>
      <c r="AH45" s="61">
        <v>0.2346</v>
      </c>
      <c r="AL45" s="55" t="s">
        <v>17</v>
      </c>
      <c r="AN45" s="55" t="s">
        <v>834</v>
      </c>
      <c r="AP45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4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4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4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4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4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5" s="60">
        <f>IFERROR(IF(D45="스마트스토어",COUNTIFS(출고표[구입일자],"&lt;&gt;"&amp;H45,출고표[구매자명],E45,출고표[구매자연락처],F45),COUNTIFS(출고표[구입일자],"&lt;&gt;"&amp;H45,출고표[구매자명],E45,출고표[구매자연락처],G45)),0)</f>
        <v>0</v>
      </c>
    </row>
    <row r="46" spans="1:48" ht="20.100000000000001" customHeight="1">
      <c r="A46" s="55">
        <v>45</v>
      </c>
      <c r="B46" s="55" t="s">
        <v>562</v>
      </c>
      <c r="C46" s="64" t="s">
        <v>1239</v>
      </c>
      <c r="D46" s="55" t="s">
        <v>568</v>
      </c>
      <c r="E46" s="55" t="s">
        <v>1237</v>
      </c>
      <c r="F46" s="55" t="s">
        <v>1240</v>
      </c>
      <c r="G46" s="55" t="s">
        <v>1241</v>
      </c>
      <c r="H46" s="63">
        <v>45447</v>
      </c>
      <c r="I46" s="63">
        <v>45447</v>
      </c>
      <c r="J46" s="55" t="s">
        <v>563</v>
      </c>
      <c r="K46" s="64" t="s">
        <v>1238</v>
      </c>
      <c r="M46" s="55" t="s">
        <v>1237</v>
      </c>
      <c r="N46" s="55" t="s">
        <v>1241</v>
      </c>
      <c r="P46" s="55" t="s">
        <v>1242</v>
      </c>
      <c r="Q46" s="55" t="s">
        <v>571</v>
      </c>
      <c r="R46" s="55" t="s">
        <v>129</v>
      </c>
      <c r="S46" s="55" t="s">
        <v>353</v>
      </c>
      <c r="T46" s="60">
        <v>1</v>
      </c>
      <c r="U46" s="60">
        <v>1150</v>
      </c>
      <c r="V46" s="60">
        <v>0</v>
      </c>
      <c r="W46" s="60">
        <v>3000</v>
      </c>
      <c r="X46" s="60">
        <v>0</v>
      </c>
      <c r="Y46" s="60">
        <v>3000</v>
      </c>
      <c r="Z46" s="60">
        <v>0</v>
      </c>
      <c r="AB46" s="60">
        <v>1070</v>
      </c>
      <c r="AC46" s="60">
        <v>660</v>
      </c>
      <c r="AD46" s="60">
        <v>4150</v>
      </c>
      <c r="AE46" s="60">
        <v>3660</v>
      </c>
      <c r="AF46" s="60">
        <v>236</v>
      </c>
      <c r="AG46" s="60">
        <v>254</v>
      </c>
      <c r="AH46" s="61">
        <v>6.1199999999999997E-2</v>
      </c>
      <c r="AL46" s="55" t="s">
        <v>128</v>
      </c>
      <c r="AN46" s="55" t="s">
        <v>834</v>
      </c>
      <c r="AP46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4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4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4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4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4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6" s="60">
        <f>IFERROR(IF(D46="스마트스토어",COUNTIFS(출고표[구입일자],"&lt;&gt;"&amp;H46,출고표[구매자명],E46,출고표[구매자연락처],F46),COUNTIFS(출고표[구입일자],"&lt;&gt;"&amp;H46,출고표[구매자명],E46,출고표[구매자연락처],G46)),0)</f>
        <v>0</v>
      </c>
    </row>
    <row r="47" spans="1:48" ht="20.100000000000001" customHeight="1">
      <c r="A47" s="55">
        <v>46</v>
      </c>
      <c r="B47" s="55" t="s">
        <v>562</v>
      </c>
      <c r="C47" s="64" t="s">
        <v>1246</v>
      </c>
      <c r="D47" s="55" t="s">
        <v>568</v>
      </c>
      <c r="E47" s="55" t="s">
        <v>1247</v>
      </c>
      <c r="F47" s="55" t="s">
        <v>1248</v>
      </c>
      <c r="G47" s="55" t="s">
        <v>1249</v>
      </c>
      <c r="H47" s="63">
        <v>45447</v>
      </c>
      <c r="I47" s="63">
        <v>45447</v>
      </c>
      <c r="J47" s="55" t="s">
        <v>563</v>
      </c>
      <c r="K47" s="64" t="s">
        <v>1245</v>
      </c>
      <c r="M47" s="55" t="s">
        <v>1244</v>
      </c>
      <c r="N47" s="55" t="s">
        <v>1249</v>
      </c>
      <c r="P47" s="55" t="s">
        <v>1250</v>
      </c>
      <c r="Q47" s="55" t="s">
        <v>571</v>
      </c>
      <c r="R47" s="55" t="s">
        <v>34</v>
      </c>
      <c r="S47" s="55" t="s">
        <v>353</v>
      </c>
      <c r="T47" s="60">
        <v>1</v>
      </c>
      <c r="U47" s="60">
        <v>34020</v>
      </c>
      <c r="V47" s="60">
        <v>0</v>
      </c>
      <c r="W47" s="60">
        <v>3000</v>
      </c>
      <c r="X47" s="60">
        <v>0</v>
      </c>
      <c r="Y47" s="60">
        <v>3500</v>
      </c>
      <c r="Z47" s="60">
        <v>0</v>
      </c>
      <c r="AB47" s="60">
        <v>32130</v>
      </c>
      <c r="AC47" s="60">
        <v>19800</v>
      </c>
      <c r="AD47" s="60">
        <v>37020</v>
      </c>
      <c r="AE47" s="60">
        <v>23300</v>
      </c>
      <c r="AF47" s="60">
        <v>4141</v>
      </c>
      <c r="AG47" s="60">
        <v>9579</v>
      </c>
      <c r="AH47" s="61">
        <v>0.25879999999999997</v>
      </c>
      <c r="AL47" s="55" t="s">
        <v>33</v>
      </c>
      <c r="AN47" s="55" t="s">
        <v>834</v>
      </c>
      <c r="AP4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4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4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4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4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4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7" s="60">
        <f>IFERROR(IF(D47="스마트스토어",COUNTIFS(출고표[구입일자],"&lt;&gt;"&amp;H47,출고표[구매자명],E47,출고표[구매자연락처],F47),COUNTIFS(출고표[구입일자],"&lt;&gt;"&amp;H47,출고표[구매자명],E47,출고표[구매자연락처],G47)),0)</f>
        <v>0</v>
      </c>
    </row>
    <row r="48" spans="1:48" ht="20.100000000000001" customHeight="1">
      <c r="A48" s="55">
        <v>47</v>
      </c>
      <c r="B48" s="55" t="s">
        <v>673</v>
      </c>
      <c r="C48" s="64" t="s">
        <v>1257</v>
      </c>
      <c r="D48" s="55" t="s">
        <v>561</v>
      </c>
      <c r="E48" s="55" t="s">
        <v>1252</v>
      </c>
      <c r="F48" s="55" t="s">
        <v>1258</v>
      </c>
      <c r="G48" s="55" t="s">
        <v>1259</v>
      </c>
      <c r="H48" s="63">
        <v>45447</v>
      </c>
      <c r="I48" s="63">
        <v>45447</v>
      </c>
      <c r="J48" s="55" t="s">
        <v>563</v>
      </c>
      <c r="K48" s="64" t="s">
        <v>1255</v>
      </c>
      <c r="M48" s="55" t="s">
        <v>1252</v>
      </c>
      <c r="N48" s="55" t="s">
        <v>1259</v>
      </c>
      <c r="P48" s="55" t="s">
        <v>1260</v>
      </c>
      <c r="Q48" s="55" t="s">
        <v>1261</v>
      </c>
      <c r="R48" s="55" t="s">
        <v>115</v>
      </c>
      <c r="S48" s="55" t="s">
        <v>353</v>
      </c>
      <c r="T48" s="60">
        <v>10</v>
      </c>
      <c r="U48" s="60">
        <v>29700</v>
      </c>
      <c r="V48" s="60">
        <v>12900</v>
      </c>
      <c r="W48" s="60">
        <v>0</v>
      </c>
      <c r="X48" s="60">
        <v>0</v>
      </c>
      <c r="Y48" s="60">
        <v>3500</v>
      </c>
      <c r="Z48" s="60">
        <v>0</v>
      </c>
      <c r="AB48" s="60">
        <v>2970</v>
      </c>
      <c r="AC48" s="60">
        <v>1980</v>
      </c>
      <c r="AD48" s="60">
        <v>29700</v>
      </c>
      <c r="AE48" s="60">
        <v>0</v>
      </c>
      <c r="AF48" s="60">
        <v>1572</v>
      </c>
      <c r="AG48" s="60">
        <v>0</v>
      </c>
      <c r="AL48" s="55" t="s">
        <v>114</v>
      </c>
      <c r="AN48" s="55" t="s">
        <v>834</v>
      </c>
      <c r="AP48" s="62">
        <f>IFERROR(IF(출고표[[#This Row],[클레임]]="반품",출고표[[#This Row],[배송비]],출고표[[#This Row],[결제액]]+출고표[[#This Row],[배송비]]+출고표[[#This Row],[제주/도서추가배송비]]),0)</f>
        <v>29700</v>
      </c>
      <c r="AQ4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1572</v>
      </c>
      <c r="AS4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8" s="60">
        <f>IFERROR(IF(D48="스마트스토어",COUNTIFS(출고표[구입일자],"&lt;&gt;"&amp;H48,출고표[구매자명],E48,출고표[구매자연락처],F48),COUNTIFS(출고표[구입일자],"&lt;&gt;"&amp;H48,출고표[구매자명],E48,출고표[구매자연락처],G48)),0)</f>
        <v>0</v>
      </c>
    </row>
    <row r="49" spans="1:48" ht="20.100000000000001" customHeight="1">
      <c r="A49" s="55">
        <v>48</v>
      </c>
      <c r="B49" s="55" t="s">
        <v>673</v>
      </c>
      <c r="C49" s="64" t="s">
        <v>1267</v>
      </c>
      <c r="D49" s="55" t="s">
        <v>561</v>
      </c>
      <c r="E49" s="55" t="s">
        <v>1264</v>
      </c>
      <c r="F49" s="55" t="s">
        <v>1268</v>
      </c>
      <c r="G49" s="55" t="s">
        <v>1269</v>
      </c>
      <c r="H49" s="63">
        <v>45446</v>
      </c>
      <c r="I49" s="63">
        <v>45447</v>
      </c>
      <c r="J49" s="55" t="s">
        <v>563</v>
      </c>
      <c r="K49" s="64" t="s">
        <v>1265</v>
      </c>
      <c r="M49" s="55" t="s">
        <v>1264</v>
      </c>
      <c r="N49" s="55" t="s">
        <v>1269</v>
      </c>
      <c r="P49" s="55" t="s">
        <v>1270</v>
      </c>
      <c r="R49" s="55" t="s">
        <v>38</v>
      </c>
      <c r="S49" s="55" t="s">
        <v>353</v>
      </c>
      <c r="T49" s="60">
        <v>1</v>
      </c>
      <c r="U49" s="60">
        <v>20800</v>
      </c>
      <c r="V49" s="60">
        <v>0</v>
      </c>
      <c r="W49" s="60">
        <v>3000</v>
      </c>
      <c r="X49" s="60">
        <v>0</v>
      </c>
      <c r="Y49" s="60">
        <v>3000</v>
      </c>
      <c r="Z49" s="60">
        <v>0</v>
      </c>
      <c r="AB49" s="60">
        <v>20800</v>
      </c>
      <c r="AC49" s="60">
        <v>14300</v>
      </c>
      <c r="AD49" s="60">
        <v>23800</v>
      </c>
      <c r="AE49" s="60">
        <v>0</v>
      </c>
      <c r="AF49" s="60">
        <v>1214</v>
      </c>
      <c r="AG49" s="60">
        <v>0</v>
      </c>
      <c r="AL49" s="55" t="s">
        <v>37</v>
      </c>
      <c r="AN49" s="55" t="s">
        <v>834</v>
      </c>
      <c r="AP49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4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4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4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4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4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49" s="60">
        <f>IFERROR(IF(D49="스마트스토어",COUNTIFS(출고표[구입일자],"&lt;&gt;"&amp;H49,출고표[구매자명],E49,출고표[구매자연락처],F49),COUNTIFS(출고표[구입일자],"&lt;&gt;"&amp;H49,출고표[구매자명],E49,출고표[구매자연락처],G49)),0)</f>
        <v>0</v>
      </c>
    </row>
    <row r="50" spans="1:48" ht="20.100000000000001" customHeight="1">
      <c r="A50" s="55">
        <v>49</v>
      </c>
      <c r="B50" s="55" t="s">
        <v>673</v>
      </c>
      <c r="C50" s="64" t="s">
        <v>1275</v>
      </c>
      <c r="D50" s="55" t="s">
        <v>561</v>
      </c>
      <c r="E50" s="55" t="s">
        <v>1272</v>
      </c>
      <c r="F50" s="55" t="s">
        <v>1276</v>
      </c>
      <c r="G50" s="55" t="s">
        <v>1277</v>
      </c>
      <c r="H50" s="63">
        <v>45446</v>
      </c>
      <c r="I50" s="63">
        <v>45447</v>
      </c>
      <c r="J50" s="55" t="s">
        <v>563</v>
      </c>
      <c r="K50" s="64" t="s">
        <v>1273</v>
      </c>
      <c r="M50" s="55" t="s">
        <v>1272</v>
      </c>
      <c r="N50" s="55" t="s">
        <v>1277</v>
      </c>
      <c r="P50" s="55" t="s">
        <v>1278</v>
      </c>
      <c r="R50" s="55" t="s">
        <v>38</v>
      </c>
      <c r="S50" s="55" t="s">
        <v>353</v>
      </c>
      <c r="T50" s="60">
        <v>1</v>
      </c>
      <c r="U50" s="60">
        <v>20800</v>
      </c>
      <c r="V50" s="60">
        <v>0</v>
      </c>
      <c r="W50" s="60">
        <v>3000</v>
      </c>
      <c r="X50" s="60">
        <v>0</v>
      </c>
      <c r="Y50" s="60">
        <v>3000</v>
      </c>
      <c r="Z50" s="60">
        <v>0</v>
      </c>
      <c r="AB50" s="60">
        <v>20800</v>
      </c>
      <c r="AC50" s="60">
        <v>14300</v>
      </c>
      <c r="AD50" s="60">
        <v>23800</v>
      </c>
      <c r="AE50" s="60">
        <v>0</v>
      </c>
      <c r="AF50" s="60">
        <v>1214</v>
      </c>
      <c r="AG50" s="60">
        <v>0</v>
      </c>
      <c r="AL50" s="55" t="s">
        <v>37</v>
      </c>
      <c r="AN50" s="55" t="s">
        <v>834</v>
      </c>
      <c r="AP50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5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5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0" s="60">
        <f>IFERROR(IF(D50="스마트스토어",COUNTIFS(출고표[구입일자],"&lt;&gt;"&amp;H50,출고표[구매자명],E50,출고표[구매자연락처],F50),COUNTIFS(출고표[구입일자],"&lt;&gt;"&amp;H50,출고표[구매자명],E50,출고표[구매자연락처],G50)),0)</f>
        <v>0</v>
      </c>
    </row>
    <row r="51" spans="1:48" ht="20.100000000000001" customHeight="1">
      <c r="A51" s="55">
        <v>50</v>
      </c>
      <c r="B51" s="55" t="s">
        <v>673</v>
      </c>
      <c r="C51" s="64" t="s">
        <v>2081</v>
      </c>
      <c r="D51" s="55" t="s">
        <v>532</v>
      </c>
      <c r="H51" s="63">
        <v>45447</v>
      </c>
      <c r="I51" s="63">
        <v>45447</v>
      </c>
      <c r="J51" s="55" t="s">
        <v>563</v>
      </c>
      <c r="K51" s="64" t="s">
        <v>1282</v>
      </c>
      <c r="M51" s="55" t="s">
        <v>1280</v>
      </c>
      <c r="N51" s="55" t="s">
        <v>1284</v>
      </c>
      <c r="P51" s="55" t="s">
        <v>1285</v>
      </c>
      <c r="R51" s="55" t="s">
        <v>531</v>
      </c>
      <c r="S51" s="55" t="s">
        <v>353</v>
      </c>
      <c r="T51" s="60">
        <v>1</v>
      </c>
      <c r="U51" s="60">
        <v>0</v>
      </c>
      <c r="V51" s="60">
        <v>0</v>
      </c>
      <c r="W51" s="60">
        <v>0</v>
      </c>
      <c r="X51" s="60">
        <v>0</v>
      </c>
      <c r="Y51" s="60">
        <v>0</v>
      </c>
      <c r="Z51" s="60">
        <v>0</v>
      </c>
      <c r="AB51" s="60" t="s">
        <v>529</v>
      </c>
      <c r="AC51" s="60" t="s">
        <v>349</v>
      </c>
      <c r="AD51" s="60">
        <v>0</v>
      </c>
      <c r="AE51" s="60">
        <v>0</v>
      </c>
      <c r="AF51" s="60">
        <v>0</v>
      </c>
      <c r="AG51" s="60">
        <v>0</v>
      </c>
      <c r="AL51" s="55" t="s">
        <v>532</v>
      </c>
      <c r="AM51" s="55" t="s">
        <v>822</v>
      </c>
      <c r="AN51" s="55" t="s">
        <v>834</v>
      </c>
      <c r="AP5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1" s="60">
        <f>IFERROR(IF(D51="스마트스토어",COUNTIFS(출고표[구입일자],"&lt;&gt;"&amp;H51,출고표[구매자명],E51,출고표[구매자연락처],F51),COUNTIFS(출고표[구입일자],"&lt;&gt;"&amp;H51,출고표[구매자명],E51,출고표[구매자연락처],G51)),0)</f>
        <v>0</v>
      </c>
    </row>
    <row r="52" spans="1:48" ht="20.100000000000001" customHeight="1">
      <c r="A52" s="55">
        <v>51</v>
      </c>
      <c r="B52" s="55" t="s">
        <v>673</v>
      </c>
      <c r="C52" s="64" t="s">
        <v>2082</v>
      </c>
      <c r="D52" s="55" t="s">
        <v>532</v>
      </c>
      <c r="H52" s="63">
        <v>45447</v>
      </c>
      <c r="I52" s="63">
        <v>45447</v>
      </c>
      <c r="J52" s="55" t="s">
        <v>563</v>
      </c>
      <c r="K52" s="64" t="s">
        <v>1287</v>
      </c>
      <c r="M52" s="55" t="s">
        <v>1280</v>
      </c>
      <c r="N52" s="55" t="s">
        <v>1284</v>
      </c>
      <c r="P52" s="55" t="s">
        <v>1285</v>
      </c>
      <c r="R52" s="55" t="s">
        <v>531</v>
      </c>
      <c r="S52" s="55" t="s">
        <v>353</v>
      </c>
      <c r="T52" s="60">
        <v>1</v>
      </c>
      <c r="U52" s="60">
        <v>0</v>
      </c>
      <c r="V52" s="60">
        <v>0</v>
      </c>
      <c r="W52" s="60">
        <v>0</v>
      </c>
      <c r="X52" s="60">
        <v>0</v>
      </c>
      <c r="Y52" s="60">
        <v>0</v>
      </c>
      <c r="Z52" s="60">
        <v>0</v>
      </c>
      <c r="AB52" s="60" t="s">
        <v>529</v>
      </c>
      <c r="AC52" s="60" t="s">
        <v>349</v>
      </c>
      <c r="AD52" s="60">
        <v>0</v>
      </c>
      <c r="AE52" s="60">
        <v>0</v>
      </c>
      <c r="AF52" s="60">
        <v>0</v>
      </c>
      <c r="AG52" s="60">
        <v>0</v>
      </c>
      <c r="AL52" s="55" t="s">
        <v>532</v>
      </c>
      <c r="AM52" s="55" t="s">
        <v>822</v>
      </c>
      <c r="AN52" s="55" t="s">
        <v>834</v>
      </c>
      <c r="AP5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2" s="60">
        <f>IFERROR(IF(D52="스마트스토어",COUNTIFS(출고표[구입일자],"&lt;&gt;"&amp;H52,출고표[구매자명],E52,출고표[구매자연락처],F52),COUNTIFS(출고표[구입일자],"&lt;&gt;"&amp;H52,출고표[구매자명],E52,출고표[구매자연락처],G52)),0)</f>
        <v>0</v>
      </c>
    </row>
    <row r="53" spans="1:48" ht="20.100000000000001" customHeight="1">
      <c r="A53" s="55">
        <v>52</v>
      </c>
      <c r="B53" s="55" t="s">
        <v>673</v>
      </c>
      <c r="C53" s="64" t="s">
        <v>2083</v>
      </c>
      <c r="D53" s="55" t="s">
        <v>532</v>
      </c>
      <c r="H53" s="63">
        <v>45447</v>
      </c>
      <c r="I53" s="63">
        <v>45447</v>
      </c>
      <c r="J53" s="55" t="s">
        <v>563</v>
      </c>
      <c r="K53" s="64" t="s">
        <v>1290</v>
      </c>
      <c r="M53" s="55" t="s">
        <v>1280</v>
      </c>
      <c r="N53" s="55" t="s">
        <v>1284</v>
      </c>
      <c r="P53" s="55" t="s">
        <v>1285</v>
      </c>
      <c r="R53" s="55" t="s">
        <v>531</v>
      </c>
      <c r="S53" s="55" t="s">
        <v>353</v>
      </c>
      <c r="T53" s="60">
        <v>1</v>
      </c>
      <c r="U53" s="60">
        <v>0</v>
      </c>
      <c r="V53" s="60">
        <v>0</v>
      </c>
      <c r="W53" s="60">
        <v>0</v>
      </c>
      <c r="X53" s="60">
        <v>0</v>
      </c>
      <c r="Y53" s="60">
        <v>5500</v>
      </c>
      <c r="Z53" s="60">
        <v>0</v>
      </c>
      <c r="AB53" s="60" t="s">
        <v>529</v>
      </c>
      <c r="AC53" s="60" t="s">
        <v>349</v>
      </c>
      <c r="AD53" s="60">
        <v>0</v>
      </c>
      <c r="AE53" s="60">
        <v>0</v>
      </c>
      <c r="AF53" s="60">
        <v>0</v>
      </c>
      <c r="AG53" s="60">
        <v>0</v>
      </c>
      <c r="AL53" s="55" t="s">
        <v>532</v>
      </c>
      <c r="AM53" s="55" t="s">
        <v>822</v>
      </c>
      <c r="AN53" s="55" t="s">
        <v>834</v>
      </c>
      <c r="AP5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3" s="60">
        <f>IFERROR(IF(D53="스마트스토어",COUNTIFS(출고표[구입일자],"&lt;&gt;"&amp;H53,출고표[구매자명],E53,출고표[구매자연락처],F53),COUNTIFS(출고표[구입일자],"&lt;&gt;"&amp;H53,출고표[구매자명],E53,출고표[구매자연락처],G53)),0)</f>
        <v>0</v>
      </c>
    </row>
    <row r="54" spans="1:48" ht="20.100000000000001" customHeight="1">
      <c r="A54" s="55">
        <v>53</v>
      </c>
      <c r="B54" s="55" t="s">
        <v>562</v>
      </c>
      <c r="C54" s="64" t="s">
        <v>1295</v>
      </c>
      <c r="D54" s="55" t="s">
        <v>1294</v>
      </c>
      <c r="H54" s="63">
        <v>45447</v>
      </c>
      <c r="I54" s="63">
        <v>45447</v>
      </c>
      <c r="J54" s="55" t="s">
        <v>563</v>
      </c>
      <c r="K54" s="64" t="s">
        <v>1293</v>
      </c>
      <c r="M54" s="55" t="s">
        <v>1291</v>
      </c>
      <c r="N54" s="55" t="s">
        <v>1296</v>
      </c>
      <c r="P54" s="55" t="s">
        <v>1297</v>
      </c>
      <c r="R54" s="55" t="s">
        <v>90</v>
      </c>
      <c r="S54" s="55" t="s">
        <v>353</v>
      </c>
      <c r="T54" s="60">
        <v>1</v>
      </c>
      <c r="U54" s="60">
        <v>0</v>
      </c>
      <c r="V54" s="60">
        <v>0</v>
      </c>
      <c r="W54" s="60">
        <v>0</v>
      </c>
      <c r="X54" s="60">
        <v>0</v>
      </c>
      <c r="Y54" s="60">
        <v>3000</v>
      </c>
      <c r="Z54" s="60">
        <v>0</v>
      </c>
      <c r="AB54" s="60">
        <v>3900</v>
      </c>
      <c r="AC54" s="60">
        <v>2530</v>
      </c>
      <c r="AD54" s="60">
        <v>0</v>
      </c>
      <c r="AE54" s="60">
        <v>0</v>
      </c>
      <c r="AF54" s="60">
        <v>0</v>
      </c>
      <c r="AG54" s="60">
        <v>0</v>
      </c>
      <c r="AL54" s="55" t="s">
        <v>89</v>
      </c>
      <c r="AM54" s="55" t="s">
        <v>822</v>
      </c>
      <c r="AN54" s="55" t="s">
        <v>837</v>
      </c>
      <c r="AP54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5530</v>
      </c>
      <c r="AR5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-5610</v>
      </c>
      <c r="AT5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</v>
      </c>
      <c r="AU5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4" s="60">
        <f>IFERROR(IF(D54="스마트스토어",COUNTIFS(출고표[구입일자],"&lt;&gt;"&amp;H54,출고표[구매자명],E54,출고표[구매자연락처],F54),COUNTIFS(출고표[구입일자],"&lt;&gt;"&amp;H54,출고표[구매자명],E54,출고표[구매자연락처],G54)),0)</f>
        <v>0</v>
      </c>
    </row>
    <row r="55" spans="1:48" ht="20.100000000000001" customHeight="1">
      <c r="A55" s="55">
        <v>54</v>
      </c>
      <c r="B55" s="55" t="s">
        <v>562</v>
      </c>
      <c r="C55" s="64" t="s">
        <v>1301</v>
      </c>
      <c r="D55" s="55" t="s">
        <v>1294</v>
      </c>
      <c r="H55" s="63">
        <v>45447</v>
      </c>
      <c r="I55" s="63">
        <v>45447</v>
      </c>
      <c r="J55" s="55" t="s">
        <v>563</v>
      </c>
      <c r="K55" s="64" t="s">
        <v>1300</v>
      </c>
      <c r="M55" s="55" t="s">
        <v>1298</v>
      </c>
      <c r="N55" s="55" t="s">
        <v>1302</v>
      </c>
      <c r="P55" s="55" t="s">
        <v>1303</v>
      </c>
      <c r="R55" s="55" t="s">
        <v>84</v>
      </c>
      <c r="S55" s="55" t="s">
        <v>353</v>
      </c>
      <c r="T55" s="60">
        <v>1</v>
      </c>
      <c r="U55" s="60">
        <v>0</v>
      </c>
      <c r="V55" s="60">
        <v>0</v>
      </c>
      <c r="W55" s="60">
        <v>0</v>
      </c>
      <c r="X55" s="60">
        <v>0</v>
      </c>
      <c r="Y55" s="60">
        <v>3000</v>
      </c>
      <c r="Z55" s="60">
        <v>0</v>
      </c>
      <c r="AB55" s="60">
        <v>5250</v>
      </c>
      <c r="AC55" s="60">
        <v>3410</v>
      </c>
      <c r="AD55" s="60">
        <v>0</v>
      </c>
      <c r="AE55" s="60">
        <v>0</v>
      </c>
      <c r="AF55" s="60">
        <v>0</v>
      </c>
      <c r="AG55" s="60">
        <v>0</v>
      </c>
      <c r="AL55" s="55" t="s">
        <v>83</v>
      </c>
      <c r="AM55" s="55" t="s">
        <v>822</v>
      </c>
      <c r="AN55" s="55" t="s">
        <v>837</v>
      </c>
      <c r="AP55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6410</v>
      </c>
      <c r="AR5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80</v>
      </c>
      <c r="AS5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-6490</v>
      </c>
      <c r="AT5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</v>
      </c>
      <c r="AU5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55" s="60">
        <f>IFERROR(IF(D55="스마트스토어",COUNTIFS(출고표[구입일자],"&lt;&gt;"&amp;H55,출고표[구매자명],E55,출고표[구매자연락처],F55),COUNTIFS(출고표[구입일자],"&lt;&gt;"&amp;H55,출고표[구매자명],E55,출고표[구매자연락처],G55)),0)</f>
        <v>0</v>
      </c>
    </row>
    <row r="56" spans="1:48" ht="20.100000000000001" customHeight="1">
      <c r="A56" s="55">
        <v>55</v>
      </c>
      <c r="B56" s="55" t="s">
        <v>673</v>
      </c>
      <c r="C56" s="64" t="s">
        <v>1308</v>
      </c>
      <c r="D56" s="55" t="s">
        <v>568</v>
      </c>
      <c r="E56" s="55" t="s">
        <v>1304</v>
      </c>
      <c r="F56" s="55" t="s">
        <v>1309</v>
      </c>
      <c r="G56" s="55" t="s">
        <v>1310</v>
      </c>
      <c r="H56" s="63">
        <v>45446</v>
      </c>
      <c r="I56" s="63">
        <v>45447</v>
      </c>
      <c r="J56" s="55" t="s">
        <v>563</v>
      </c>
      <c r="K56" s="64" t="s">
        <v>1307</v>
      </c>
      <c r="M56" s="55" t="s">
        <v>1304</v>
      </c>
      <c r="N56" s="55" t="s">
        <v>1310</v>
      </c>
      <c r="P56" s="55" t="s">
        <v>1311</v>
      </c>
      <c r="Q56" s="55" t="s">
        <v>569</v>
      </c>
      <c r="R56" s="55" t="s">
        <v>36</v>
      </c>
      <c r="S56" s="55" t="s">
        <v>353</v>
      </c>
      <c r="T56" s="60">
        <v>1</v>
      </c>
      <c r="U56" s="60">
        <v>25200</v>
      </c>
      <c r="V56" s="60">
        <v>0</v>
      </c>
      <c r="W56" s="60">
        <v>3000</v>
      </c>
      <c r="X56" s="60">
        <v>0</v>
      </c>
      <c r="Y56" s="60">
        <v>3000</v>
      </c>
      <c r="Z56" s="60">
        <v>0</v>
      </c>
      <c r="AB56" s="60">
        <v>25200</v>
      </c>
      <c r="AC56" s="60">
        <v>16500</v>
      </c>
      <c r="AD56" s="60">
        <v>28200</v>
      </c>
      <c r="AE56" s="60">
        <v>0</v>
      </c>
      <c r="AF56" s="60">
        <v>3093</v>
      </c>
      <c r="AG56" s="60">
        <v>0</v>
      </c>
      <c r="AL56" s="55" t="s">
        <v>35</v>
      </c>
      <c r="AN56" s="55" t="s">
        <v>834</v>
      </c>
      <c r="AP56" s="62">
        <f>IFERROR(IF(출고표[[#This Row],[클레임]]="반품",출고표[[#This Row],[배송비]],출고표[[#This Row],[결제액]]+출고표[[#This Row],[배송비]]+출고표[[#This Row],[제주/도서추가배송비]]),0)</f>
        <v>28200</v>
      </c>
      <c r="AQ5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5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6" s="60">
        <f>IFERROR(IF(D56="스마트스토어",COUNTIFS(출고표[구입일자],"&lt;&gt;"&amp;H56,출고표[구매자명],E56,출고표[구매자연락처],F56),COUNTIFS(출고표[구입일자],"&lt;&gt;"&amp;H56,출고표[구매자명],E56,출고표[구매자연락처],G56)),0)</f>
        <v>0</v>
      </c>
    </row>
    <row r="57" spans="1:48" ht="20.100000000000001" customHeight="1">
      <c r="A57" s="55">
        <v>56</v>
      </c>
      <c r="B57" s="55" t="s">
        <v>673</v>
      </c>
      <c r="C57" s="64" t="s">
        <v>1316</v>
      </c>
      <c r="D57" s="55" t="s">
        <v>568</v>
      </c>
      <c r="E57" s="55" t="s">
        <v>1317</v>
      </c>
      <c r="F57" s="55" t="s">
        <v>1318</v>
      </c>
      <c r="G57" s="55" t="s">
        <v>1319</v>
      </c>
      <c r="H57" s="63">
        <v>45446</v>
      </c>
      <c r="I57" s="63">
        <v>45447</v>
      </c>
      <c r="J57" s="55" t="s">
        <v>563</v>
      </c>
      <c r="K57" s="64" t="s">
        <v>1315</v>
      </c>
      <c r="M57" s="55" t="s">
        <v>1313</v>
      </c>
      <c r="N57" s="55" t="s">
        <v>1319</v>
      </c>
      <c r="P57" s="55" t="s">
        <v>1320</v>
      </c>
      <c r="Q57" s="55" t="s">
        <v>569</v>
      </c>
      <c r="R57" s="55" t="s">
        <v>44</v>
      </c>
      <c r="S57" s="55" t="s">
        <v>353</v>
      </c>
      <c r="T57" s="60">
        <v>1</v>
      </c>
      <c r="U57" s="60">
        <v>15120</v>
      </c>
      <c r="V57" s="60">
        <v>0</v>
      </c>
      <c r="W57" s="60">
        <v>3000</v>
      </c>
      <c r="X57" s="60">
        <v>0</v>
      </c>
      <c r="Y57" s="60">
        <v>3000</v>
      </c>
      <c r="Z57" s="60">
        <v>0</v>
      </c>
      <c r="AB57" s="60">
        <v>15120</v>
      </c>
      <c r="AC57" s="60">
        <v>9900</v>
      </c>
      <c r="AD57" s="60">
        <v>18120</v>
      </c>
      <c r="AE57" s="60">
        <v>0</v>
      </c>
      <c r="AF57" s="60">
        <v>1895</v>
      </c>
      <c r="AG57" s="60">
        <v>0</v>
      </c>
      <c r="AL57" s="55" t="s">
        <v>43</v>
      </c>
      <c r="AN57" s="55" t="s">
        <v>834</v>
      </c>
      <c r="AP57" s="62">
        <f>IFERROR(IF(출고표[[#This Row],[클레임]]="반품",출고표[[#This Row],[배송비]],출고표[[#This Row],[결제액]]+출고표[[#This Row],[배송비]]+출고표[[#This Row],[제주/도서추가배송비]]),0)</f>
        <v>18120</v>
      </c>
      <c r="AQ5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1895</v>
      </c>
      <c r="AS5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7" s="60">
        <f>IFERROR(IF(D57="스마트스토어",COUNTIFS(출고표[구입일자],"&lt;&gt;"&amp;H57,출고표[구매자명],E57,출고표[구매자연락처],F57),COUNTIFS(출고표[구입일자],"&lt;&gt;"&amp;H57,출고표[구매자명],E57,출고표[구매자연락처],G57)),0)</f>
        <v>0</v>
      </c>
    </row>
    <row r="58" spans="1:48" ht="20.100000000000001" customHeight="1">
      <c r="A58" s="55">
        <v>57</v>
      </c>
      <c r="B58" s="55" t="s">
        <v>673</v>
      </c>
      <c r="C58" s="64" t="s">
        <v>2084</v>
      </c>
      <c r="D58" s="55" t="s">
        <v>532</v>
      </c>
      <c r="H58" s="63">
        <v>45448</v>
      </c>
      <c r="I58" s="63">
        <v>45448</v>
      </c>
      <c r="J58" s="55" t="s">
        <v>563</v>
      </c>
      <c r="K58" s="64" t="s">
        <v>1324</v>
      </c>
      <c r="M58" s="55" t="s">
        <v>1322</v>
      </c>
      <c r="N58" s="55" t="s">
        <v>1326</v>
      </c>
      <c r="P58" s="55" t="s">
        <v>1327</v>
      </c>
      <c r="R58" s="55" t="s">
        <v>531</v>
      </c>
      <c r="S58" s="55" t="s">
        <v>353</v>
      </c>
      <c r="T58" s="60">
        <v>3</v>
      </c>
      <c r="U58" s="60">
        <v>0</v>
      </c>
      <c r="V58" s="60">
        <v>0</v>
      </c>
      <c r="W58" s="60">
        <v>0</v>
      </c>
      <c r="X58" s="60">
        <v>0</v>
      </c>
      <c r="Y58" s="60">
        <v>5500</v>
      </c>
      <c r="Z58" s="60">
        <v>0</v>
      </c>
      <c r="AB58" s="60" t="s">
        <v>529</v>
      </c>
      <c r="AC58" s="60" t="s">
        <v>349</v>
      </c>
      <c r="AD58" s="60">
        <v>0</v>
      </c>
      <c r="AE58" s="60">
        <v>0</v>
      </c>
      <c r="AF58" s="60">
        <v>0</v>
      </c>
      <c r="AG58" s="60">
        <v>0</v>
      </c>
      <c r="AL58" s="55" t="s">
        <v>532</v>
      </c>
      <c r="AM58" s="55" t="s">
        <v>822</v>
      </c>
      <c r="AN58" s="55" t="s">
        <v>834</v>
      </c>
      <c r="AP58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8" s="60">
        <f>IFERROR(IF(D58="스마트스토어",COUNTIFS(출고표[구입일자],"&lt;&gt;"&amp;H58,출고표[구매자명],E58,출고표[구매자연락처],F58),COUNTIFS(출고표[구입일자],"&lt;&gt;"&amp;H58,출고표[구매자명],E58,출고표[구매자연락처],G58)),0)</f>
        <v>0</v>
      </c>
    </row>
    <row r="59" spans="1:48" ht="20.100000000000001" customHeight="1">
      <c r="A59" s="55">
        <v>58</v>
      </c>
      <c r="B59" s="55" t="s">
        <v>673</v>
      </c>
      <c r="C59" s="64" t="s">
        <v>2085</v>
      </c>
      <c r="D59" s="55" t="s">
        <v>532</v>
      </c>
      <c r="H59" s="63">
        <v>45448</v>
      </c>
      <c r="I59" s="63">
        <v>45448</v>
      </c>
      <c r="J59" s="55" t="s">
        <v>563</v>
      </c>
      <c r="K59" s="64" t="s">
        <v>1328</v>
      </c>
      <c r="M59" s="55" t="s">
        <v>1322</v>
      </c>
      <c r="N59" s="55" t="s">
        <v>1326</v>
      </c>
      <c r="P59" s="55" t="s">
        <v>1327</v>
      </c>
      <c r="R59" s="55" t="s">
        <v>531</v>
      </c>
      <c r="S59" s="55" t="s">
        <v>353</v>
      </c>
      <c r="T59" s="60">
        <v>3</v>
      </c>
      <c r="U59" s="60">
        <v>0</v>
      </c>
      <c r="V59" s="60">
        <v>0</v>
      </c>
      <c r="W59" s="60">
        <v>0</v>
      </c>
      <c r="X59" s="60">
        <v>0</v>
      </c>
      <c r="Y59" s="60">
        <v>5500</v>
      </c>
      <c r="Z59" s="60">
        <v>0</v>
      </c>
      <c r="AB59" s="60" t="s">
        <v>529</v>
      </c>
      <c r="AC59" s="60" t="s">
        <v>349</v>
      </c>
      <c r="AD59" s="60">
        <v>0</v>
      </c>
      <c r="AE59" s="60">
        <v>0</v>
      </c>
      <c r="AF59" s="60">
        <v>0</v>
      </c>
      <c r="AG59" s="60">
        <v>0</v>
      </c>
      <c r="AL59" s="55" t="s">
        <v>532</v>
      </c>
      <c r="AM59" s="55" t="s">
        <v>822</v>
      </c>
      <c r="AN59" s="55" t="s">
        <v>834</v>
      </c>
      <c r="AP5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5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5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5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5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5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59" s="60">
        <f>IFERROR(IF(D59="스마트스토어",COUNTIFS(출고표[구입일자],"&lt;&gt;"&amp;H59,출고표[구매자명],E59,출고표[구매자연락처],F59),COUNTIFS(출고표[구입일자],"&lt;&gt;"&amp;H59,출고표[구매자명],E59,출고표[구매자연락처],G59)),0)</f>
        <v>0</v>
      </c>
    </row>
    <row r="60" spans="1:48" ht="20.100000000000001" customHeight="1">
      <c r="A60" s="55">
        <v>59</v>
      </c>
      <c r="B60" s="55" t="s">
        <v>673</v>
      </c>
      <c r="C60" s="64" t="s">
        <v>2086</v>
      </c>
      <c r="D60" s="55" t="s">
        <v>532</v>
      </c>
      <c r="H60" s="63">
        <v>45448</v>
      </c>
      <c r="I60" s="63">
        <v>45448</v>
      </c>
      <c r="J60" s="55" t="s">
        <v>563</v>
      </c>
      <c r="K60" s="64" t="s">
        <v>1331</v>
      </c>
      <c r="M60" s="55" t="s">
        <v>1330</v>
      </c>
      <c r="N60" s="55" t="s">
        <v>1333</v>
      </c>
      <c r="P60" s="55" t="s">
        <v>1334</v>
      </c>
      <c r="R60" s="55" t="s">
        <v>531</v>
      </c>
      <c r="S60" s="55" t="s">
        <v>353</v>
      </c>
      <c r="T60" s="60">
        <v>1</v>
      </c>
      <c r="U60" s="60">
        <v>0</v>
      </c>
      <c r="V60" s="60">
        <v>0</v>
      </c>
      <c r="W60" s="60">
        <v>0</v>
      </c>
      <c r="X60" s="60">
        <v>0</v>
      </c>
      <c r="Y60" s="60">
        <v>0</v>
      </c>
      <c r="Z60" s="60">
        <v>0</v>
      </c>
      <c r="AB60" s="60" t="s">
        <v>529</v>
      </c>
      <c r="AC60" s="60" t="s">
        <v>349</v>
      </c>
      <c r="AD60" s="60">
        <v>0</v>
      </c>
      <c r="AE60" s="60">
        <v>0</v>
      </c>
      <c r="AF60" s="60">
        <v>0</v>
      </c>
      <c r="AG60" s="60">
        <v>0</v>
      </c>
      <c r="AL60" s="55" t="s">
        <v>532</v>
      </c>
      <c r="AM60" s="55" t="s">
        <v>822</v>
      </c>
      <c r="AN60" s="55" t="s">
        <v>834</v>
      </c>
      <c r="AP6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6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6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0" s="60">
        <f>IFERROR(IF(D60="스마트스토어",COUNTIFS(출고표[구입일자],"&lt;&gt;"&amp;H60,출고표[구매자명],E60,출고표[구매자연락처],F60),COUNTIFS(출고표[구입일자],"&lt;&gt;"&amp;H60,출고표[구매자명],E60,출고표[구매자연락처],G60)),0)</f>
        <v>0</v>
      </c>
    </row>
    <row r="61" spans="1:48" ht="20.100000000000001" customHeight="1">
      <c r="A61" s="55">
        <v>60</v>
      </c>
      <c r="B61" s="55" t="s">
        <v>562</v>
      </c>
      <c r="C61" s="64" t="s">
        <v>1338</v>
      </c>
      <c r="D61" s="55" t="s">
        <v>561</v>
      </c>
      <c r="E61" s="55" t="s">
        <v>1339</v>
      </c>
      <c r="F61" s="55" t="s">
        <v>1340</v>
      </c>
      <c r="G61" s="55" t="s">
        <v>1341</v>
      </c>
      <c r="H61" s="63">
        <v>45448</v>
      </c>
      <c r="I61" s="63">
        <v>45448</v>
      </c>
      <c r="J61" s="55" t="s">
        <v>563</v>
      </c>
      <c r="K61" s="64" t="s">
        <v>1336</v>
      </c>
      <c r="M61" s="55" t="s">
        <v>1335</v>
      </c>
      <c r="N61" s="55" t="s">
        <v>1341</v>
      </c>
      <c r="P61" s="55" t="s">
        <v>1342</v>
      </c>
      <c r="R61" s="55" t="s">
        <v>44</v>
      </c>
      <c r="S61" s="55" t="s">
        <v>353</v>
      </c>
      <c r="T61" s="60">
        <v>1</v>
      </c>
      <c r="U61" s="60">
        <v>14580</v>
      </c>
      <c r="V61" s="60">
        <v>1620</v>
      </c>
      <c r="W61" s="60">
        <v>3000</v>
      </c>
      <c r="X61" s="60">
        <v>0</v>
      </c>
      <c r="Y61" s="60">
        <v>3000</v>
      </c>
      <c r="Z61" s="60">
        <v>0</v>
      </c>
      <c r="AB61" s="60">
        <v>15300</v>
      </c>
      <c r="AC61" s="60">
        <v>9900</v>
      </c>
      <c r="AD61" s="60">
        <v>17580</v>
      </c>
      <c r="AE61" s="60">
        <v>12900</v>
      </c>
      <c r="AF61" s="60">
        <v>719</v>
      </c>
      <c r="AG61" s="60">
        <v>3961</v>
      </c>
      <c r="AH61" s="61">
        <v>0.2253</v>
      </c>
      <c r="AL61" s="55" t="s">
        <v>43</v>
      </c>
      <c r="AN61" s="55" t="s">
        <v>834</v>
      </c>
      <c r="AP61" s="62">
        <f>IFERROR(IF(출고표[[#This Row],[클레임]]="반품",출고표[[#This Row],[배송비]],출고표[[#This Row],[결제액]]+출고표[[#This Row],[배송비]]+출고표[[#This Row],[제주/도서추가배송비]]),0)</f>
        <v>17580</v>
      </c>
      <c r="AQ6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6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719</v>
      </c>
      <c r="AS6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3961</v>
      </c>
      <c r="AT6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0.2253</v>
      </c>
      <c r="AU6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1" s="60">
        <f>IFERROR(IF(D61="스마트스토어",COUNTIFS(출고표[구입일자],"&lt;&gt;"&amp;H61,출고표[구매자명],E61,출고표[구매자연락처],F61),COUNTIFS(출고표[구입일자],"&lt;&gt;"&amp;H61,출고표[구매자명],E61,출고표[구매자연락처],G61)),0)</f>
        <v>0</v>
      </c>
    </row>
    <row r="62" spans="1:48" ht="20.100000000000001" customHeight="1">
      <c r="A62" s="55">
        <v>61</v>
      </c>
      <c r="B62" s="55" t="s">
        <v>562</v>
      </c>
      <c r="C62" s="64" t="s">
        <v>1348</v>
      </c>
      <c r="D62" s="55" t="s">
        <v>561</v>
      </c>
      <c r="E62" s="55" t="s">
        <v>1349</v>
      </c>
      <c r="F62" s="55" t="s">
        <v>1350</v>
      </c>
      <c r="G62" s="55" t="s">
        <v>1351</v>
      </c>
      <c r="H62" s="63">
        <v>45448</v>
      </c>
      <c r="I62" s="63">
        <v>45448</v>
      </c>
      <c r="J62" s="55" t="s">
        <v>563</v>
      </c>
      <c r="K62" s="64" t="s">
        <v>1346</v>
      </c>
      <c r="M62" s="55" t="s">
        <v>1344</v>
      </c>
      <c r="N62" s="55" t="s">
        <v>1351</v>
      </c>
      <c r="O62" s="55" t="s">
        <v>1352</v>
      </c>
      <c r="P62" s="55" t="s">
        <v>1353</v>
      </c>
      <c r="Q62" s="55" t="s">
        <v>1354</v>
      </c>
      <c r="R62" s="55" t="s">
        <v>38</v>
      </c>
      <c r="S62" s="55" t="s">
        <v>353</v>
      </c>
      <c r="T62" s="60">
        <v>2</v>
      </c>
      <c r="U62" s="60">
        <v>42120</v>
      </c>
      <c r="V62" s="60">
        <v>4680</v>
      </c>
      <c r="W62" s="60">
        <v>0</v>
      </c>
      <c r="X62" s="60">
        <v>0</v>
      </c>
      <c r="Y62" s="60">
        <v>4400</v>
      </c>
      <c r="Z62" s="60">
        <v>0</v>
      </c>
      <c r="AB62" s="60">
        <v>22100</v>
      </c>
      <c r="AC62" s="60">
        <v>14300</v>
      </c>
      <c r="AD62" s="60">
        <v>42120</v>
      </c>
      <c r="AE62" s="60">
        <v>33000</v>
      </c>
      <c r="AF62" s="60">
        <v>1756</v>
      </c>
      <c r="AG62" s="60">
        <v>7364</v>
      </c>
      <c r="AH62" s="61">
        <v>0.17480000000000001</v>
      </c>
      <c r="AL62" s="55" t="s">
        <v>37</v>
      </c>
      <c r="AN62" s="55" t="s">
        <v>834</v>
      </c>
      <c r="AP62" s="62">
        <f>IFERROR(IF(출고표[[#This Row],[클레임]]="반품",출고표[[#This Row],[배송비]],출고표[[#This Row],[결제액]]+출고표[[#This Row],[배송비]]+출고표[[#This Row],[제주/도서추가배송비]]),0)</f>
        <v>42120</v>
      </c>
      <c r="AQ6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33000</v>
      </c>
      <c r="AR6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6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7364</v>
      </c>
      <c r="AT6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0.17480000000000001</v>
      </c>
      <c r="AU6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2" s="60">
        <f>IFERROR(IF(D62="스마트스토어",COUNTIFS(출고표[구입일자],"&lt;&gt;"&amp;H62,출고표[구매자명],E62,출고표[구매자연락처],F62),COUNTIFS(출고표[구입일자],"&lt;&gt;"&amp;H62,출고표[구매자명],E62,출고표[구매자연락처],G62)),0)</f>
        <v>0</v>
      </c>
    </row>
    <row r="63" spans="1:48" ht="20.100000000000001" customHeight="1">
      <c r="A63" s="55">
        <v>62</v>
      </c>
      <c r="B63" s="55" t="s">
        <v>562</v>
      </c>
      <c r="C63" s="64" t="s">
        <v>1361</v>
      </c>
      <c r="D63" s="55" t="s">
        <v>561</v>
      </c>
      <c r="E63" s="55" t="s">
        <v>1356</v>
      </c>
      <c r="F63" s="55" t="s">
        <v>1362</v>
      </c>
      <c r="G63" s="55" t="s">
        <v>1363</v>
      </c>
      <c r="H63" s="63">
        <v>45447</v>
      </c>
      <c r="I63" s="63">
        <v>45448</v>
      </c>
      <c r="J63" s="55" t="s">
        <v>563</v>
      </c>
      <c r="K63" s="64" t="s">
        <v>1359</v>
      </c>
      <c r="M63" s="55" t="s">
        <v>1356</v>
      </c>
      <c r="N63" s="55" t="s">
        <v>1363</v>
      </c>
      <c r="P63" s="55" t="s">
        <v>1364</v>
      </c>
      <c r="R63" s="55" t="s">
        <v>206</v>
      </c>
      <c r="S63" s="55" t="s">
        <v>354</v>
      </c>
      <c r="T63" s="60">
        <v>4</v>
      </c>
      <c r="U63" s="60">
        <v>15480</v>
      </c>
      <c r="V63" s="60">
        <v>0</v>
      </c>
      <c r="W63" s="60">
        <v>3000</v>
      </c>
      <c r="X63" s="60">
        <v>0</v>
      </c>
      <c r="Y63" s="60">
        <v>3000</v>
      </c>
      <c r="Z63" s="60">
        <v>0</v>
      </c>
      <c r="AB63" s="60">
        <v>3700</v>
      </c>
      <c r="AC63" s="60">
        <v>2365</v>
      </c>
      <c r="AD63" s="60">
        <v>18480</v>
      </c>
      <c r="AE63" s="60">
        <v>12460</v>
      </c>
      <c r="AF63" s="60">
        <v>755</v>
      </c>
      <c r="AG63" s="60">
        <v>5265</v>
      </c>
      <c r="AH63" s="61">
        <v>0.28489999999999999</v>
      </c>
      <c r="AL63" s="55" t="s">
        <v>1978</v>
      </c>
      <c r="AN63" s="55" t="s">
        <v>834</v>
      </c>
      <c r="AP63" s="62">
        <f>IFERROR(IF(출고표[[#This Row],[클레임]]="반품",출고표[[#This Row],[배송비]],출고표[[#This Row],[결제액]]+출고표[[#This Row],[배송비]]+출고표[[#This Row],[제주/도서추가배송비]]),0)</f>
        <v>18480</v>
      </c>
      <c r="AQ6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12460</v>
      </c>
      <c r="AR6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755</v>
      </c>
      <c r="AS6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5265</v>
      </c>
      <c r="AT6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0.28489999999999999</v>
      </c>
      <c r="AU6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3" s="60">
        <f>IFERROR(IF(D63="스마트스토어",COUNTIFS(출고표[구입일자],"&lt;&gt;"&amp;H63,출고표[구매자명],E63,출고표[구매자연락처],F63),COUNTIFS(출고표[구입일자],"&lt;&gt;"&amp;H63,출고표[구매자명],E63,출고표[구매자연락처],G63)),0)</f>
        <v>0</v>
      </c>
    </row>
    <row r="64" spans="1:48" ht="20.100000000000001" customHeight="1">
      <c r="A64" s="55">
        <v>63</v>
      </c>
      <c r="B64" s="55" t="s">
        <v>562</v>
      </c>
      <c r="C64" s="64" t="s">
        <v>1371</v>
      </c>
      <c r="D64" s="55" t="s">
        <v>561</v>
      </c>
      <c r="E64" s="55" t="s">
        <v>1367</v>
      </c>
      <c r="F64" s="55" t="s">
        <v>1372</v>
      </c>
      <c r="G64" s="55" t="s">
        <v>1373</v>
      </c>
      <c r="H64" s="63">
        <v>45447</v>
      </c>
      <c r="I64" s="63">
        <v>45448</v>
      </c>
      <c r="J64" s="55" t="s">
        <v>563</v>
      </c>
      <c r="K64" s="64" t="s">
        <v>1369</v>
      </c>
      <c r="M64" s="55" t="s">
        <v>1367</v>
      </c>
      <c r="N64" s="55" t="s">
        <v>1373</v>
      </c>
      <c r="P64" s="55" t="s">
        <v>1374</v>
      </c>
      <c r="R64" s="55" t="s">
        <v>26</v>
      </c>
      <c r="S64" s="55" t="s">
        <v>353</v>
      </c>
      <c r="T64" s="60">
        <v>1</v>
      </c>
      <c r="U64" s="60">
        <v>22190</v>
      </c>
      <c r="V64" s="60">
        <v>2470</v>
      </c>
      <c r="W64" s="60">
        <v>3000</v>
      </c>
      <c r="X64" s="60">
        <v>0</v>
      </c>
      <c r="Y64" s="60">
        <v>3000</v>
      </c>
      <c r="Z64" s="60">
        <v>0</v>
      </c>
      <c r="AB64" s="60">
        <v>23290</v>
      </c>
      <c r="AC64" s="60">
        <v>15070</v>
      </c>
      <c r="AD64" s="60">
        <v>25190</v>
      </c>
      <c r="AE64" s="60">
        <v>18070</v>
      </c>
      <c r="AF64" s="60">
        <v>1022</v>
      </c>
      <c r="AG64" s="60">
        <v>6098</v>
      </c>
      <c r="AH64" s="61">
        <v>0.24210000000000001</v>
      </c>
      <c r="AL64" s="55" t="s">
        <v>25</v>
      </c>
      <c r="AN64" s="55" t="s">
        <v>834</v>
      </c>
      <c r="AP64" s="62">
        <f>IFERROR(IF(출고표[[#This Row],[클레임]]="반품",출고표[[#This Row],[배송비]],출고표[[#This Row],[결제액]]+출고표[[#This Row],[배송비]]+출고표[[#This Row],[제주/도서추가배송비]]),0)</f>
        <v>25190</v>
      </c>
      <c r="AQ6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18070</v>
      </c>
      <c r="AR6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1022</v>
      </c>
      <c r="AS6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6098</v>
      </c>
      <c r="AT6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0.24210000000000001</v>
      </c>
      <c r="AU6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4" s="60">
        <f>IFERROR(IF(D64="스마트스토어",COUNTIFS(출고표[구입일자],"&lt;&gt;"&amp;H64,출고표[구매자명],E64,출고표[구매자연락처],F64),COUNTIFS(출고표[구입일자],"&lt;&gt;"&amp;H64,출고표[구매자명],E64,출고표[구매자연락처],G64)),0)</f>
        <v>0</v>
      </c>
    </row>
    <row r="65" spans="1:48" ht="20.100000000000001" customHeight="1">
      <c r="A65" s="55">
        <v>64</v>
      </c>
      <c r="B65" s="55" t="s">
        <v>673</v>
      </c>
      <c r="C65" s="64" t="s">
        <v>1379</v>
      </c>
      <c r="D65" s="55" t="s">
        <v>561</v>
      </c>
      <c r="E65" s="55" t="s">
        <v>1376</v>
      </c>
      <c r="F65" s="55" t="s">
        <v>1380</v>
      </c>
      <c r="G65" s="55" t="s">
        <v>1381</v>
      </c>
      <c r="H65" s="63">
        <v>45448</v>
      </c>
      <c r="I65" s="63">
        <v>45448</v>
      </c>
      <c r="J65" s="55" t="s">
        <v>563</v>
      </c>
      <c r="K65" s="64" t="s">
        <v>1377</v>
      </c>
      <c r="M65" s="55" t="s">
        <v>1376</v>
      </c>
      <c r="N65" s="55" t="s">
        <v>1381</v>
      </c>
      <c r="O65" s="55" t="s">
        <v>1382</v>
      </c>
      <c r="P65" s="55" t="s">
        <v>1383</v>
      </c>
      <c r="R65" s="55" t="s">
        <v>34</v>
      </c>
      <c r="S65" s="55" t="s">
        <v>353</v>
      </c>
      <c r="T65" s="60">
        <v>3</v>
      </c>
      <c r="U65" s="60">
        <v>85200</v>
      </c>
      <c r="V65" s="60">
        <v>0</v>
      </c>
      <c r="W65" s="60">
        <v>0</v>
      </c>
      <c r="X65" s="60">
        <v>0</v>
      </c>
      <c r="Y65" s="60">
        <v>0</v>
      </c>
      <c r="Z65" s="60">
        <v>0</v>
      </c>
      <c r="AB65" s="60">
        <v>28800</v>
      </c>
      <c r="AC65" s="60">
        <v>19800</v>
      </c>
      <c r="AD65" s="60">
        <v>85200</v>
      </c>
      <c r="AE65" s="60">
        <v>0</v>
      </c>
      <c r="AF65" s="60">
        <v>4361</v>
      </c>
      <c r="AG65" s="60">
        <v>0</v>
      </c>
      <c r="AL65" s="55" t="s">
        <v>33</v>
      </c>
      <c r="AN65" s="55" t="s">
        <v>834</v>
      </c>
      <c r="AP65" s="62">
        <f>IFERROR(IF(출고표[[#This Row],[클레임]]="반품",출고표[[#This Row],[배송비]],출고표[[#This Row],[결제액]]+출고표[[#This Row],[배송비]]+출고표[[#This Row],[제주/도서추가배송비]]),0)</f>
        <v>85200</v>
      </c>
      <c r="AQ6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4361</v>
      </c>
      <c r="AS6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5" s="60">
        <f>IFERROR(IF(D65="스마트스토어",COUNTIFS(출고표[구입일자],"&lt;&gt;"&amp;H65,출고표[구매자명],E65,출고표[구매자연락처],F65),COUNTIFS(출고표[구입일자],"&lt;&gt;"&amp;H65,출고표[구매자명],E65,출고표[구매자연락처],G65)),0)</f>
        <v>0</v>
      </c>
    </row>
    <row r="66" spans="1:48" ht="20.100000000000001" customHeight="1">
      <c r="A66" s="55">
        <v>65</v>
      </c>
      <c r="B66" s="55" t="s">
        <v>673</v>
      </c>
      <c r="C66" s="64" t="s">
        <v>1388</v>
      </c>
      <c r="D66" s="55" t="s">
        <v>561</v>
      </c>
      <c r="E66" s="55" t="s">
        <v>1385</v>
      </c>
      <c r="F66" s="55" t="s">
        <v>1389</v>
      </c>
      <c r="G66" s="55" t="s">
        <v>1390</v>
      </c>
      <c r="H66" s="63">
        <v>45448</v>
      </c>
      <c r="I66" s="63">
        <v>45448</v>
      </c>
      <c r="J66" s="55" t="s">
        <v>563</v>
      </c>
      <c r="K66" s="64" t="s">
        <v>1386</v>
      </c>
      <c r="M66" s="55" t="s">
        <v>1385</v>
      </c>
      <c r="N66" s="55" t="s">
        <v>1390</v>
      </c>
      <c r="P66" s="55" t="s">
        <v>1391</v>
      </c>
      <c r="Q66" s="55" t="s">
        <v>1392</v>
      </c>
      <c r="R66" s="55" t="s">
        <v>38</v>
      </c>
      <c r="S66" s="55" t="s">
        <v>353</v>
      </c>
      <c r="T66" s="60">
        <v>1</v>
      </c>
      <c r="U66" s="60">
        <v>20800</v>
      </c>
      <c r="V66" s="60">
        <v>0</v>
      </c>
      <c r="W66" s="60">
        <v>3000</v>
      </c>
      <c r="X66" s="60">
        <v>0</v>
      </c>
      <c r="Y66" s="60">
        <v>3000</v>
      </c>
      <c r="Z66" s="60">
        <v>0</v>
      </c>
      <c r="AB66" s="60">
        <v>20800</v>
      </c>
      <c r="AC66" s="60">
        <v>14300</v>
      </c>
      <c r="AD66" s="60">
        <v>23800</v>
      </c>
      <c r="AE66" s="60">
        <v>0</v>
      </c>
      <c r="AF66" s="60">
        <v>1214</v>
      </c>
      <c r="AG66" s="60">
        <v>0</v>
      </c>
      <c r="AL66" s="55" t="s">
        <v>37</v>
      </c>
      <c r="AN66" s="55" t="s">
        <v>834</v>
      </c>
      <c r="AP66" s="62">
        <f>IFERROR(IF(출고표[[#This Row],[클레임]]="반품",출고표[[#This Row],[배송비]],출고표[[#This Row],[결제액]]+출고표[[#This Row],[배송비]]+출고표[[#This Row],[제주/도서추가배송비]]),0)</f>
        <v>23800</v>
      </c>
      <c r="AQ6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1214</v>
      </c>
      <c r="AS6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6" s="60">
        <f>IFERROR(IF(D66="스마트스토어",COUNTIFS(출고표[구입일자],"&lt;&gt;"&amp;H66,출고표[구매자명],E66,출고표[구매자연락처],F66),COUNTIFS(출고표[구입일자],"&lt;&gt;"&amp;H66,출고표[구매자명],E66,출고표[구매자연락처],G66)),0)</f>
        <v>0</v>
      </c>
    </row>
    <row r="67" spans="1:48" ht="20.100000000000001" customHeight="1">
      <c r="A67" s="55">
        <v>66</v>
      </c>
      <c r="B67" s="55" t="s">
        <v>673</v>
      </c>
      <c r="C67" s="64" t="s">
        <v>1397</v>
      </c>
      <c r="D67" s="55" t="s">
        <v>568</v>
      </c>
      <c r="E67" s="55" t="s">
        <v>1398</v>
      </c>
      <c r="F67" s="55" t="s">
        <v>1399</v>
      </c>
      <c r="G67" s="55" t="s">
        <v>1400</v>
      </c>
      <c r="H67" s="63">
        <v>45447</v>
      </c>
      <c r="I67" s="63">
        <v>45448</v>
      </c>
      <c r="J67" s="55" t="s">
        <v>563</v>
      </c>
      <c r="K67" s="64" t="s">
        <v>1396</v>
      </c>
      <c r="M67" s="55" t="s">
        <v>1394</v>
      </c>
      <c r="N67" s="55" t="s">
        <v>1400</v>
      </c>
      <c r="P67" s="55" t="s">
        <v>1401</v>
      </c>
      <c r="Q67" s="55" t="s">
        <v>571</v>
      </c>
      <c r="R67" s="55" t="s">
        <v>18</v>
      </c>
      <c r="S67" s="55" t="s">
        <v>353</v>
      </c>
      <c r="T67" s="60">
        <v>10</v>
      </c>
      <c r="U67" s="60">
        <v>110900</v>
      </c>
      <c r="V67" s="60">
        <v>0</v>
      </c>
      <c r="W67" s="60">
        <v>0</v>
      </c>
      <c r="X67" s="60">
        <v>0</v>
      </c>
      <c r="Y67" s="60">
        <v>0</v>
      </c>
      <c r="Z67" s="60">
        <v>0</v>
      </c>
      <c r="AB67" s="60">
        <v>11090</v>
      </c>
      <c r="AC67" s="60">
        <v>7260</v>
      </c>
      <c r="AD67" s="60">
        <v>110900</v>
      </c>
      <c r="AE67" s="60">
        <v>0</v>
      </c>
      <c r="AF67" s="60">
        <v>13175</v>
      </c>
      <c r="AG67" s="60">
        <v>0</v>
      </c>
      <c r="AL67" s="55" t="s">
        <v>17</v>
      </c>
      <c r="AN67" s="55" t="s">
        <v>834</v>
      </c>
      <c r="AP67" s="62">
        <f>IFERROR(IF(출고표[[#This Row],[클레임]]="반품",출고표[[#This Row],[배송비]],출고표[[#This Row],[결제액]]+출고표[[#This Row],[배송비]]+출고표[[#This Row],[제주/도서추가배송비]]),0)</f>
        <v>110900</v>
      </c>
      <c r="AQ6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6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13175</v>
      </c>
      <c r="AS6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6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6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7" s="60">
        <f>IFERROR(IF(D67="스마트스토어",COUNTIFS(출고표[구입일자],"&lt;&gt;"&amp;H67,출고표[구매자명],E67,출고표[구매자연락처],F67),COUNTIFS(출고표[구입일자],"&lt;&gt;"&amp;H67,출고표[구매자명],E67,출고표[구매자연락처],G67)),0)</f>
        <v>0</v>
      </c>
    </row>
    <row r="68" spans="1:48" ht="20.100000000000001" customHeight="1">
      <c r="A68" s="55">
        <v>67</v>
      </c>
      <c r="B68" s="55" t="s">
        <v>562</v>
      </c>
      <c r="C68" s="64" t="s">
        <v>1405</v>
      </c>
      <c r="D68" s="55" t="s">
        <v>568</v>
      </c>
      <c r="E68" s="55" t="s">
        <v>1403</v>
      </c>
      <c r="F68" s="55" t="s">
        <v>1406</v>
      </c>
      <c r="G68" s="55" t="s">
        <v>1407</v>
      </c>
      <c r="H68" s="63">
        <v>45447</v>
      </c>
      <c r="I68" s="63">
        <v>45448</v>
      </c>
      <c r="J68" s="55" t="s">
        <v>563</v>
      </c>
      <c r="K68" s="64" t="s">
        <v>1404</v>
      </c>
      <c r="M68" s="55" t="s">
        <v>1403</v>
      </c>
      <c r="N68" s="55" t="s">
        <v>1407</v>
      </c>
      <c r="P68" s="55" t="s">
        <v>1408</v>
      </c>
      <c r="Q68" s="55" t="s">
        <v>571</v>
      </c>
      <c r="R68" s="55" t="s">
        <v>129</v>
      </c>
      <c r="S68" s="55" t="s">
        <v>353</v>
      </c>
      <c r="T68" s="60">
        <v>10</v>
      </c>
      <c r="U68" s="60">
        <v>11500</v>
      </c>
      <c r="V68" s="60">
        <v>0</v>
      </c>
      <c r="W68" s="60">
        <v>3000</v>
      </c>
      <c r="X68" s="60">
        <v>0</v>
      </c>
      <c r="Y68" s="60">
        <v>3000</v>
      </c>
      <c r="Z68" s="60">
        <v>0</v>
      </c>
      <c r="AB68" s="60">
        <v>1070</v>
      </c>
      <c r="AC68" s="60">
        <v>660</v>
      </c>
      <c r="AD68" s="60">
        <v>14500</v>
      </c>
      <c r="AE68" s="60">
        <v>9600</v>
      </c>
      <c r="AF68" s="60">
        <v>1465</v>
      </c>
      <c r="AG68" s="60">
        <v>3435</v>
      </c>
      <c r="AH68" s="61">
        <v>0.2369</v>
      </c>
      <c r="AL68" s="55" t="s">
        <v>128</v>
      </c>
      <c r="AN68" s="55" t="s">
        <v>834</v>
      </c>
      <c r="AP68" s="62">
        <f>IFERROR(IF(출고표[[#This Row],[클레임]]="반품",출고표[[#This Row],[배송비]],출고표[[#This Row],[결제액]]+출고표[[#This Row],[배송비]]+출고표[[#This Row],[제주/도서추가배송비]]),0)</f>
        <v>14500</v>
      </c>
      <c r="AQ6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6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1465</v>
      </c>
      <c r="AS6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3435</v>
      </c>
      <c r="AT6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0.2369</v>
      </c>
      <c r="AU6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8" s="60">
        <f>IFERROR(IF(D68="스마트스토어",COUNTIFS(출고표[구입일자],"&lt;&gt;"&amp;H68,출고표[구매자명],E68,출고표[구매자연락처],F68),COUNTIFS(출고표[구입일자],"&lt;&gt;"&amp;H68,출고표[구매자명],E68,출고표[구매자연락처],G68)),0)</f>
        <v>0</v>
      </c>
    </row>
    <row r="69" spans="1:48" ht="20.100000000000001" customHeight="1">
      <c r="A69" s="55">
        <v>68</v>
      </c>
      <c r="B69" s="55" t="s">
        <v>562</v>
      </c>
      <c r="C69" s="64" t="s">
        <v>1412</v>
      </c>
      <c r="D69" s="55" t="s">
        <v>568</v>
      </c>
      <c r="E69" s="55" t="s">
        <v>1413</v>
      </c>
      <c r="F69" s="55" t="s">
        <v>1414</v>
      </c>
      <c r="G69" s="55" t="s">
        <v>1415</v>
      </c>
      <c r="H69" s="63">
        <v>45447</v>
      </c>
      <c r="I69" s="63">
        <v>45448</v>
      </c>
      <c r="J69" s="55" t="s">
        <v>563</v>
      </c>
      <c r="K69" s="64" t="s">
        <v>1411</v>
      </c>
      <c r="M69" s="55" t="s">
        <v>1410</v>
      </c>
      <c r="N69" s="55" t="s">
        <v>1415</v>
      </c>
      <c r="P69" s="55" t="s">
        <v>1416</v>
      </c>
      <c r="Q69" s="55" t="s">
        <v>571</v>
      </c>
      <c r="R69" s="55" t="s">
        <v>18</v>
      </c>
      <c r="S69" s="55" t="s">
        <v>353</v>
      </c>
      <c r="T69" s="60">
        <v>1</v>
      </c>
      <c r="U69" s="60">
        <v>12470</v>
      </c>
      <c r="V69" s="60">
        <v>0</v>
      </c>
      <c r="W69" s="60">
        <v>3000</v>
      </c>
      <c r="X69" s="60">
        <v>0</v>
      </c>
      <c r="Y69" s="60">
        <v>3000</v>
      </c>
      <c r="Z69" s="60">
        <v>0</v>
      </c>
      <c r="AB69" s="60">
        <v>11780</v>
      </c>
      <c r="AC69" s="60">
        <v>7260</v>
      </c>
      <c r="AD69" s="60">
        <v>15470</v>
      </c>
      <c r="AE69" s="60">
        <v>10260</v>
      </c>
      <c r="AF69" s="60">
        <v>1580</v>
      </c>
      <c r="AG69" s="60">
        <v>3630</v>
      </c>
      <c r="AH69" s="61">
        <v>0.2346</v>
      </c>
      <c r="AL69" s="55" t="s">
        <v>17</v>
      </c>
      <c r="AN69" s="55" t="s">
        <v>834</v>
      </c>
      <c r="AP69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6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6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6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6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6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69" s="60">
        <f>IFERROR(IF(D69="스마트스토어",COUNTIFS(출고표[구입일자],"&lt;&gt;"&amp;H69,출고표[구매자명],E69,출고표[구매자연락처],F69),COUNTIFS(출고표[구입일자],"&lt;&gt;"&amp;H69,출고표[구매자명],E69,출고표[구매자연락처],G69)),0)</f>
        <v>0</v>
      </c>
    </row>
    <row r="70" spans="1:48" ht="20.100000000000001" customHeight="1">
      <c r="A70" s="55">
        <v>69</v>
      </c>
      <c r="B70" s="55" t="s">
        <v>673</v>
      </c>
      <c r="C70" s="64" t="s">
        <v>2087</v>
      </c>
      <c r="D70" s="55" t="s">
        <v>532</v>
      </c>
      <c r="H70" s="63">
        <v>45450</v>
      </c>
      <c r="I70" s="63">
        <v>45450</v>
      </c>
      <c r="J70" s="55" t="s">
        <v>563</v>
      </c>
      <c r="K70" s="64" t="s">
        <v>1419</v>
      </c>
      <c r="M70" s="55" t="s">
        <v>1418</v>
      </c>
      <c r="N70" s="55" t="s">
        <v>1421</v>
      </c>
      <c r="P70" s="55" t="s">
        <v>1422</v>
      </c>
      <c r="R70" s="55" t="s">
        <v>531</v>
      </c>
      <c r="S70" s="55" t="s">
        <v>353</v>
      </c>
      <c r="T70" s="60">
        <v>1</v>
      </c>
      <c r="U70" s="60">
        <v>0</v>
      </c>
      <c r="V70" s="60">
        <v>0</v>
      </c>
      <c r="W70" s="60">
        <v>0</v>
      </c>
      <c r="X70" s="60">
        <v>0</v>
      </c>
      <c r="Y70" s="60">
        <v>5500</v>
      </c>
      <c r="Z70" s="60">
        <v>0</v>
      </c>
      <c r="AB70" s="60" t="s">
        <v>529</v>
      </c>
      <c r="AC70" s="60" t="s">
        <v>349</v>
      </c>
      <c r="AD70" s="60">
        <v>0</v>
      </c>
      <c r="AE70" s="60">
        <v>0</v>
      </c>
      <c r="AF70" s="60">
        <v>0</v>
      </c>
      <c r="AG70" s="60">
        <v>0</v>
      </c>
      <c r="AL70" s="55" t="s">
        <v>532</v>
      </c>
      <c r="AM70" s="55" t="s">
        <v>822</v>
      </c>
      <c r="AN70" s="55" t="s">
        <v>834</v>
      </c>
      <c r="AP7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0" s="60">
        <f>IFERROR(IF(D70="스마트스토어",COUNTIFS(출고표[구입일자],"&lt;&gt;"&amp;H70,출고표[구매자명],E70,출고표[구매자연락처],F70),COUNTIFS(출고표[구입일자],"&lt;&gt;"&amp;H70,출고표[구매자명],E70,출고표[구매자연락처],G70)),0)</f>
        <v>0</v>
      </c>
    </row>
    <row r="71" spans="1:48" ht="20.100000000000001" customHeight="1">
      <c r="A71" s="55">
        <v>70</v>
      </c>
      <c r="B71" s="55" t="s">
        <v>673</v>
      </c>
      <c r="C71" s="64" t="s">
        <v>2088</v>
      </c>
      <c r="D71" s="55" t="s">
        <v>532</v>
      </c>
      <c r="H71" s="63">
        <v>45450</v>
      </c>
      <c r="I71" s="63">
        <v>45450</v>
      </c>
      <c r="J71" s="55" t="s">
        <v>563</v>
      </c>
      <c r="K71" s="64" t="s">
        <v>1423</v>
      </c>
      <c r="M71" s="55" t="s">
        <v>1418</v>
      </c>
      <c r="N71" s="55" t="s">
        <v>1421</v>
      </c>
      <c r="P71" s="55" t="s">
        <v>1422</v>
      </c>
      <c r="R71" s="55" t="s">
        <v>531</v>
      </c>
      <c r="S71" s="55" t="s">
        <v>353</v>
      </c>
      <c r="T71" s="60">
        <v>1</v>
      </c>
      <c r="U71" s="60">
        <v>0</v>
      </c>
      <c r="V71" s="60">
        <v>0</v>
      </c>
      <c r="W71" s="60">
        <v>0</v>
      </c>
      <c r="X71" s="60">
        <v>0</v>
      </c>
      <c r="Y71" s="60">
        <v>0</v>
      </c>
      <c r="Z71" s="60">
        <v>0</v>
      </c>
      <c r="AB71" s="60" t="s">
        <v>529</v>
      </c>
      <c r="AC71" s="60" t="s">
        <v>349</v>
      </c>
      <c r="AD71" s="60">
        <v>0</v>
      </c>
      <c r="AE71" s="60">
        <v>0</v>
      </c>
      <c r="AF71" s="60">
        <v>0</v>
      </c>
      <c r="AG71" s="60">
        <v>0</v>
      </c>
      <c r="AL71" s="55" t="s">
        <v>532</v>
      </c>
      <c r="AM71" s="55" t="s">
        <v>822</v>
      </c>
      <c r="AN71" s="55" t="s">
        <v>834</v>
      </c>
      <c r="AP7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1" s="60">
        <f>IFERROR(IF(D71="스마트스토어",COUNTIFS(출고표[구입일자],"&lt;&gt;"&amp;H71,출고표[구매자명],E71,출고표[구매자연락처],F71),COUNTIFS(출고표[구입일자],"&lt;&gt;"&amp;H71,출고표[구매자명],E71,출고표[구매자연락처],G71)),0)</f>
        <v>0</v>
      </c>
    </row>
    <row r="72" spans="1:48" ht="20.100000000000001" customHeight="1">
      <c r="A72" s="55">
        <v>71</v>
      </c>
      <c r="B72" s="55" t="s">
        <v>673</v>
      </c>
      <c r="C72" s="64" t="s">
        <v>2089</v>
      </c>
      <c r="D72" s="55" t="s">
        <v>532</v>
      </c>
      <c r="H72" s="63">
        <v>45450</v>
      </c>
      <c r="I72" s="63">
        <v>45450</v>
      </c>
      <c r="J72" s="55" t="s">
        <v>563</v>
      </c>
      <c r="K72" s="64" t="s">
        <v>1426</v>
      </c>
      <c r="M72" s="55" t="s">
        <v>1425</v>
      </c>
      <c r="N72" s="55" t="s">
        <v>1428</v>
      </c>
      <c r="P72" s="55" t="s">
        <v>1429</v>
      </c>
      <c r="R72" s="55" t="s">
        <v>531</v>
      </c>
      <c r="S72" s="55" t="s">
        <v>353</v>
      </c>
      <c r="T72" s="60">
        <v>1</v>
      </c>
      <c r="U72" s="60">
        <v>0</v>
      </c>
      <c r="V72" s="60">
        <v>0</v>
      </c>
      <c r="W72" s="60">
        <v>0</v>
      </c>
      <c r="X72" s="60">
        <v>0</v>
      </c>
      <c r="Y72" s="60">
        <v>3000</v>
      </c>
      <c r="Z72" s="60">
        <v>0</v>
      </c>
      <c r="AB72" s="60" t="s">
        <v>529</v>
      </c>
      <c r="AC72" s="60" t="s">
        <v>349</v>
      </c>
      <c r="AD72" s="60">
        <v>0</v>
      </c>
      <c r="AE72" s="60">
        <v>0</v>
      </c>
      <c r="AF72" s="60">
        <v>0</v>
      </c>
      <c r="AG72" s="60">
        <v>0</v>
      </c>
      <c r="AL72" s="55" t="s">
        <v>532</v>
      </c>
      <c r="AM72" s="55" t="s">
        <v>822</v>
      </c>
      <c r="AN72" s="55" t="s">
        <v>834</v>
      </c>
      <c r="AP7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2" s="60">
        <f>IFERROR(IF(D72="스마트스토어",COUNTIFS(출고표[구입일자],"&lt;&gt;"&amp;H72,출고표[구매자명],E72,출고표[구매자연락처],F72),COUNTIFS(출고표[구입일자],"&lt;&gt;"&amp;H72,출고표[구매자명],E72,출고표[구매자연락처],G72)),0)</f>
        <v>0</v>
      </c>
    </row>
    <row r="73" spans="1:48" ht="20.100000000000001" customHeight="1">
      <c r="A73" s="55">
        <v>72</v>
      </c>
      <c r="B73" s="55" t="s">
        <v>673</v>
      </c>
      <c r="C73" s="64" t="s">
        <v>2090</v>
      </c>
      <c r="D73" s="55" t="s">
        <v>532</v>
      </c>
      <c r="H73" s="63">
        <v>45450</v>
      </c>
      <c r="I73" s="63">
        <v>45450</v>
      </c>
      <c r="J73" s="55" t="s">
        <v>563</v>
      </c>
      <c r="K73" s="64" t="s">
        <v>1430</v>
      </c>
      <c r="M73" s="55" t="s">
        <v>1418</v>
      </c>
      <c r="N73" s="55" t="s">
        <v>1421</v>
      </c>
      <c r="P73" s="55" t="s">
        <v>1422</v>
      </c>
      <c r="R73" s="55" t="s">
        <v>531</v>
      </c>
      <c r="S73" s="55" t="s">
        <v>353</v>
      </c>
      <c r="T73" s="60">
        <v>1</v>
      </c>
      <c r="U73" s="60">
        <v>0</v>
      </c>
      <c r="V73" s="60">
        <v>0</v>
      </c>
      <c r="W73" s="60">
        <v>0</v>
      </c>
      <c r="X73" s="60">
        <v>0</v>
      </c>
      <c r="Y73" s="60">
        <v>0</v>
      </c>
      <c r="Z73" s="60">
        <v>0</v>
      </c>
      <c r="AB73" s="60" t="s">
        <v>529</v>
      </c>
      <c r="AC73" s="60" t="s">
        <v>349</v>
      </c>
      <c r="AD73" s="60">
        <v>0</v>
      </c>
      <c r="AE73" s="60">
        <v>0</v>
      </c>
      <c r="AF73" s="60">
        <v>0</v>
      </c>
      <c r="AG73" s="60">
        <v>0</v>
      </c>
      <c r="AL73" s="55" t="s">
        <v>532</v>
      </c>
      <c r="AM73" s="55" t="s">
        <v>822</v>
      </c>
      <c r="AN73" s="55" t="s">
        <v>834</v>
      </c>
      <c r="AP73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7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7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3" s="60">
        <f>IFERROR(IF(D73="스마트스토어",COUNTIFS(출고표[구입일자],"&lt;&gt;"&amp;H73,출고표[구매자명],E73,출고표[구매자연락처],F73),COUNTIFS(출고표[구입일자],"&lt;&gt;"&amp;H73,출고표[구매자명],E73,출고표[구매자연락처],G73)),0)</f>
        <v>0</v>
      </c>
    </row>
    <row r="74" spans="1:48" ht="20.100000000000001" customHeight="1">
      <c r="A74" s="55">
        <v>73</v>
      </c>
      <c r="B74" s="55" t="s">
        <v>673</v>
      </c>
      <c r="C74" s="64" t="s">
        <v>1435</v>
      </c>
      <c r="D74" s="55" t="s">
        <v>561</v>
      </c>
      <c r="E74" s="55" t="s">
        <v>1432</v>
      </c>
      <c r="F74" s="55" t="s">
        <v>1436</v>
      </c>
      <c r="G74" s="55" t="s">
        <v>1437</v>
      </c>
      <c r="H74" s="63">
        <v>45450</v>
      </c>
      <c r="I74" s="63">
        <v>45450</v>
      </c>
      <c r="J74" s="55" t="s">
        <v>563</v>
      </c>
      <c r="K74" s="64" t="s">
        <v>1433</v>
      </c>
      <c r="M74" s="55" t="s">
        <v>1432</v>
      </c>
      <c r="N74" s="55" t="s">
        <v>1438</v>
      </c>
      <c r="P74" s="55" t="s">
        <v>1439</v>
      </c>
      <c r="R74" s="55" t="s">
        <v>34</v>
      </c>
      <c r="S74" s="55" t="s">
        <v>353</v>
      </c>
      <c r="T74" s="60">
        <v>1</v>
      </c>
      <c r="U74" s="60">
        <v>28400</v>
      </c>
      <c r="V74" s="60">
        <v>0</v>
      </c>
      <c r="W74" s="60">
        <v>3000</v>
      </c>
      <c r="X74" s="60">
        <v>0</v>
      </c>
      <c r="Y74" s="60">
        <v>3000</v>
      </c>
      <c r="Z74" s="60">
        <v>0</v>
      </c>
      <c r="AB74" s="60">
        <v>28800</v>
      </c>
      <c r="AC74" s="60">
        <v>19800</v>
      </c>
      <c r="AD74" s="60">
        <v>31400</v>
      </c>
      <c r="AE74" s="60">
        <v>0</v>
      </c>
      <c r="AF74" s="60">
        <v>1596</v>
      </c>
      <c r="AG74" s="60">
        <v>0</v>
      </c>
      <c r="AL74" s="55" t="s">
        <v>33</v>
      </c>
      <c r="AN74" s="55" t="s">
        <v>834</v>
      </c>
      <c r="AP74" s="62">
        <f>IFERROR(IF(출고표[[#This Row],[클레임]]="반품",출고표[[#This Row],[배송비]],출고표[[#This Row],[결제액]]+출고표[[#This Row],[배송비]]+출고표[[#This Row],[제주/도서추가배송비]]),0)</f>
        <v>31400</v>
      </c>
      <c r="AQ7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1596</v>
      </c>
      <c r="AS7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4" s="60">
        <f>IFERROR(IF(D74="스마트스토어",COUNTIFS(출고표[구입일자],"&lt;&gt;"&amp;H74,출고표[구매자명],E74,출고표[구매자연락처],F74),COUNTIFS(출고표[구입일자],"&lt;&gt;"&amp;H74,출고표[구매자명],E74,출고표[구매자연락처],G74)),0)</f>
        <v>0</v>
      </c>
    </row>
    <row r="75" spans="1:48" ht="20.100000000000001" customHeight="1">
      <c r="A75" s="55">
        <v>74</v>
      </c>
      <c r="B75" s="55" t="s">
        <v>673</v>
      </c>
      <c r="C75" s="64" t="s">
        <v>1444</v>
      </c>
      <c r="D75" s="55" t="s">
        <v>561</v>
      </c>
      <c r="E75" s="55" t="s">
        <v>1445</v>
      </c>
      <c r="F75" s="55" t="s">
        <v>1446</v>
      </c>
      <c r="G75" s="55" t="s">
        <v>1447</v>
      </c>
      <c r="H75" s="63">
        <v>45449</v>
      </c>
      <c r="I75" s="63">
        <v>45450</v>
      </c>
      <c r="J75" s="55" t="s">
        <v>563</v>
      </c>
      <c r="K75" s="64" t="s">
        <v>1442</v>
      </c>
      <c r="M75" s="55" t="s">
        <v>1441</v>
      </c>
      <c r="N75" s="55" t="s">
        <v>1447</v>
      </c>
      <c r="O75" s="55" t="s">
        <v>1448</v>
      </c>
      <c r="P75" s="55" t="s">
        <v>1449</v>
      </c>
      <c r="R75" s="55" t="s">
        <v>18</v>
      </c>
      <c r="S75" s="55" t="s">
        <v>353</v>
      </c>
      <c r="T75" s="60">
        <v>2</v>
      </c>
      <c r="U75" s="60">
        <v>21120</v>
      </c>
      <c r="V75" s="60">
        <v>0</v>
      </c>
      <c r="W75" s="60">
        <v>0</v>
      </c>
      <c r="X75" s="60">
        <v>0</v>
      </c>
      <c r="Y75" s="60">
        <v>3500</v>
      </c>
      <c r="Z75" s="60">
        <v>0</v>
      </c>
      <c r="AB75" s="60">
        <v>10560</v>
      </c>
      <c r="AC75" s="60">
        <v>7260</v>
      </c>
      <c r="AD75" s="60">
        <v>21120</v>
      </c>
      <c r="AE75" s="60">
        <v>0</v>
      </c>
      <c r="AF75" s="60">
        <v>1141</v>
      </c>
      <c r="AG75" s="60">
        <v>0</v>
      </c>
      <c r="AL75" s="55" t="s">
        <v>17</v>
      </c>
      <c r="AN75" s="55" t="s">
        <v>834</v>
      </c>
      <c r="AP75" s="62">
        <f>IFERROR(IF(출고표[[#This Row],[클레임]]="반품",출고표[[#This Row],[배송비]],출고표[[#This Row],[결제액]]+출고표[[#This Row],[배송비]]+출고표[[#This Row],[제주/도서추가배송비]]),0)</f>
        <v>21120</v>
      </c>
      <c r="AQ7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1141</v>
      </c>
      <c r="AS7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5" s="60">
        <f>IFERROR(IF(D75="스마트스토어",COUNTIFS(출고표[구입일자],"&lt;&gt;"&amp;H75,출고표[구매자명],E75,출고표[구매자연락처],F75),COUNTIFS(출고표[구입일자],"&lt;&gt;"&amp;H75,출고표[구매자명],E75,출고표[구매자연락처],G75)),0)</f>
        <v>0</v>
      </c>
    </row>
    <row r="76" spans="1:48" ht="20.100000000000001" customHeight="1">
      <c r="A76" s="55">
        <v>75</v>
      </c>
      <c r="B76" s="55" t="s">
        <v>673</v>
      </c>
      <c r="C76" s="64" t="s">
        <v>1452</v>
      </c>
      <c r="D76" s="55" t="s">
        <v>561</v>
      </c>
      <c r="E76" s="55" t="s">
        <v>1445</v>
      </c>
      <c r="F76" s="55" t="s">
        <v>1446</v>
      </c>
      <c r="G76" s="55" t="s">
        <v>1447</v>
      </c>
      <c r="H76" s="63">
        <v>45449</v>
      </c>
      <c r="I76" s="63">
        <v>45450</v>
      </c>
      <c r="J76" s="55" t="s">
        <v>563</v>
      </c>
      <c r="K76" s="64" t="s">
        <v>1442</v>
      </c>
      <c r="M76" s="55" t="s">
        <v>1441</v>
      </c>
      <c r="N76" s="55" t="s">
        <v>1447</v>
      </c>
      <c r="O76" s="55" t="s">
        <v>1448</v>
      </c>
      <c r="P76" s="55" t="s">
        <v>1449</v>
      </c>
      <c r="R76" s="55" t="s">
        <v>243</v>
      </c>
      <c r="S76" s="55" t="s">
        <v>354</v>
      </c>
      <c r="T76" s="60">
        <v>5</v>
      </c>
      <c r="U76" s="60">
        <v>7150</v>
      </c>
      <c r="V76" s="60">
        <v>7200</v>
      </c>
      <c r="W76" s="60">
        <v>0</v>
      </c>
      <c r="X76" s="60">
        <v>0</v>
      </c>
      <c r="Y76" s="60">
        <v>0</v>
      </c>
      <c r="Z76" s="60">
        <v>0</v>
      </c>
      <c r="AB76" s="60">
        <v>1430</v>
      </c>
      <c r="AC76" s="60">
        <v>1045</v>
      </c>
      <c r="AD76" s="60">
        <v>7150</v>
      </c>
      <c r="AE76" s="60">
        <v>0</v>
      </c>
      <c r="AF76" s="60">
        <v>439</v>
      </c>
      <c r="AG76" s="60">
        <v>0</v>
      </c>
      <c r="AL76" s="55" t="s">
        <v>390</v>
      </c>
      <c r="AM76" s="55" t="s">
        <v>822</v>
      </c>
      <c r="AN76" s="55" t="s">
        <v>834</v>
      </c>
      <c r="AP76" s="62">
        <f>IFERROR(IF(출고표[[#This Row],[클레임]]="반품",출고표[[#This Row],[배송비]],출고표[[#This Row],[결제액]]+출고표[[#This Row],[배송비]]+출고표[[#This Row],[제주/도서추가배송비]]),0)</f>
        <v>7150</v>
      </c>
      <c r="AQ7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439</v>
      </c>
      <c r="AS7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6" s="60">
        <f>IFERROR(IF(D76="스마트스토어",COUNTIFS(출고표[구입일자],"&lt;&gt;"&amp;H76,출고표[구매자명],E76,출고표[구매자연락처],F76),COUNTIFS(출고표[구입일자],"&lt;&gt;"&amp;H76,출고표[구매자명],E76,출고표[구매자연락처],G76)),0)</f>
        <v>0</v>
      </c>
    </row>
    <row r="77" spans="1:48" ht="20.100000000000001" customHeight="1">
      <c r="A77" s="55">
        <v>76</v>
      </c>
      <c r="B77" s="55" t="s">
        <v>673</v>
      </c>
      <c r="C77" s="64" t="s">
        <v>1454</v>
      </c>
      <c r="D77" s="55" t="s">
        <v>561</v>
      </c>
      <c r="E77" s="55" t="s">
        <v>1445</v>
      </c>
      <c r="F77" s="55" t="s">
        <v>1446</v>
      </c>
      <c r="G77" s="55" t="s">
        <v>1447</v>
      </c>
      <c r="H77" s="63">
        <v>45449</v>
      </c>
      <c r="I77" s="63">
        <v>45450</v>
      </c>
      <c r="J77" s="55" t="s">
        <v>563</v>
      </c>
      <c r="K77" s="64" t="s">
        <v>1442</v>
      </c>
      <c r="M77" s="55" t="s">
        <v>1441</v>
      </c>
      <c r="N77" s="55" t="s">
        <v>1447</v>
      </c>
      <c r="O77" s="55" t="s">
        <v>1448</v>
      </c>
      <c r="P77" s="55" t="s">
        <v>1449</v>
      </c>
      <c r="R77" s="55" t="s">
        <v>112</v>
      </c>
      <c r="S77" s="55" t="s">
        <v>353</v>
      </c>
      <c r="T77" s="60">
        <v>3</v>
      </c>
      <c r="U77" s="60">
        <v>9720</v>
      </c>
      <c r="V77" s="60">
        <v>3870</v>
      </c>
      <c r="W77" s="60">
        <v>0</v>
      </c>
      <c r="X77" s="60">
        <v>0</v>
      </c>
      <c r="Y77" s="60">
        <v>0</v>
      </c>
      <c r="Z77" s="60">
        <v>0</v>
      </c>
      <c r="AB77" s="60">
        <v>3240</v>
      </c>
      <c r="AC77" s="60">
        <v>2156</v>
      </c>
      <c r="AD77" s="60">
        <v>9720</v>
      </c>
      <c r="AE77" s="60">
        <v>0</v>
      </c>
      <c r="AF77" s="60">
        <v>568</v>
      </c>
      <c r="AG77" s="60">
        <v>0</v>
      </c>
      <c r="AL77" s="55" t="s">
        <v>111</v>
      </c>
      <c r="AM77" s="55" t="s">
        <v>822</v>
      </c>
      <c r="AN77" s="55" t="s">
        <v>834</v>
      </c>
      <c r="AP77" s="62">
        <f>IFERROR(IF(출고표[[#This Row],[클레임]]="반품",출고표[[#This Row],[배송비]],출고표[[#This Row],[결제액]]+출고표[[#This Row],[배송비]]+출고표[[#This Row],[제주/도서추가배송비]]),0)</f>
        <v>9720</v>
      </c>
      <c r="AQ7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7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568</v>
      </c>
      <c r="AS7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7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7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7" s="60">
        <f>IFERROR(IF(D77="스마트스토어",COUNTIFS(출고표[구입일자],"&lt;&gt;"&amp;H77,출고표[구매자명],E77,출고표[구매자연락처],F77),COUNTIFS(출고표[구입일자],"&lt;&gt;"&amp;H77,출고표[구매자명],E77,출고표[구매자연락처],G77)),0)</f>
        <v>0</v>
      </c>
    </row>
    <row r="78" spans="1:48" ht="20.100000000000001" customHeight="1">
      <c r="A78" s="55">
        <v>77</v>
      </c>
      <c r="B78" s="55" t="s">
        <v>562</v>
      </c>
      <c r="C78" s="64" t="s">
        <v>1459</v>
      </c>
      <c r="D78" s="55" t="s">
        <v>561</v>
      </c>
      <c r="E78" s="55" t="s">
        <v>1460</v>
      </c>
      <c r="F78" s="55" t="s">
        <v>1461</v>
      </c>
      <c r="G78" s="55" t="s">
        <v>1462</v>
      </c>
      <c r="H78" s="63">
        <v>45450</v>
      </c>
      <c r="I78" s="63">
        <v>45450</v>
      </c>
      <c r="J78" s="55" t="s">
        <v>563</v>
      </c>
      <c r="K78" s="64" t="s">
        <v>1457</v>
      </c>
      <c r="M78" s="55" t="s">
        <v>1455</v>
      </c>
      <c r="N78" s="55" t="s">
        <v>1463</v>
      </c>
      <c r="P78" s="55" t="s">
        <v>1464</v>
      </c>
      <c r="R78" s="55" t="s">
        <v>208</v>
      </c>
      <c r="S78" s="55" t="s">
        <v>375</v>
      </c>
      <c r="T78" s="60">
        <v>5</v>
      </c>
      <c r="U78" s="60">
        <v>18900</v>
      </c>
      <c r="V78" s="60">
        <v>0</v>
      </c>
      <c r="W78" s="60">
        <v>3000</v>
      </c>
      <c r="X78" s="60">
        <v>0</v>
      </c>
      <c r="Y78" s="60">
        <v>3000</v>
      </c>
      <c r="Z78" s="60">
        <v>0</v>
      </c>
      <c r="AB78" s="60">
        <v>3620</v>
      </c>
      <c r="AC78" s="60">
        <v>2310</v>
      </c>
      <c r="AD78" s="60">
        <v>21900</v>
      </c>
      <c r="AE78" s="60">
        <v>14550</v>
      </c>
      <c r="AF78" s="60">
        <v>891</v>
      </c>
      <c r="AG78" s="60">
        <v>6459</v>
      </c>
      <c r="AH78" s="61">
        <v>0.2949</v>
      </c>
      <c r="AL78" s="55" t="s">
        <v>402</v>
      </c>
      <c r="AN78" s="55" t="s">
        <v>834</v>
      </c>
      <c r="AP78" s="62">
        <f>IFERROR(IF(출고표[[#This Row],[클레임]]="반품",출고표[[#This Row],[배송비]],출고표[[#This Row],[결제액]]+출고표[[#This Row],[배송비]]+출고표[[#This Row],[제주/도서추가배송비]]),0)</f>
        <v>21900</v>
      </c>
      <c r="AQ7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14550</v>
      </c>
      <c r="AR7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891</v>
      </c>
      <c r="AS7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6459</v>
      </c>
      <c r="AT7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0.2949</v>
      </c>
      <c r="AU7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8" s="60">
        <f>IFERROR(IF(D78="스마트스토어",COUNTIFS(출고표[구입일자],"&lt;&gt;"&amp;H78,출고표[구매자명],E78,출고표[구매자연락처],F78),COUNTIFS(출고표[구입일자],"&lt;&gt;"&amp;H78,출고표[구매자명],E78,출고표[구매자연락처],G78)),0)</f>
        <v>0</v>
      </c>
    </row>
    <row r="79" spans="1:48" ht="20.100000000000001" customHeight="1">
      <c r="A79" s="55">
        <v>78</v>
      </c>
      <c r="B79" s="55" t="s">
        <v>562</v>
      </c>
      <c r="C79" s="64" t="s">
        <v>1470</v>
      </c>
      <c r="D79" s="55" t="s">
        <v>561</v>
      </c>
      <c r="E79" s="55" t="s">
        <v>1467</v>
      </c>
      <c r="F79" s="55" t="s">
        <v>1471</v>
      </c>
      <c r="G79" s="55" t="s">
        <v>1472</v>
      </c>
      <c r="H79" s="63">
        <v>45450</v>
      </c>
      <c r="I79" s="63">
        <v>45450</v>
      </c>
      <c r="J79" s="55" t="s">
        <v>563</v>
      </c>
      <c r="K79" s="64" t="s">
        <v>1468</v>
      </c>
      <c r="M79" s="55" t="s">
        <v>1467</v>
      </c>
      <c r="N79" s="55" t="s">
        <v>1472</v>
      </c>
      <c r="P79" s="55" t="s">
        <v>1473</v>
      </c>
      <c r="R79" s="55" t="s">
        <v>34</v>
      </c>
      <c r="S79" s="55" t="s">
        <v>353</v>
      </c>
      <c r="T79" s="60">
        <v>1</v>
      </c>
      <c r="U79" s="60">
        <v>28620</v>
      </c>
      <c r="V79" s="60">
        <v>3180</v>
      </c>
      <c r="W79" s="60">
        <v>3000</v>
      </c>
      <c r="X79" s="60">
        <v>0</v>
      </c>
      <c r="Y79" s="60">
        <v>3500</v>
      </c>
      <c r="Z79" s="60">
        <v>0</v>
      </c>
      <c r="AB79" s="60">
        <v>30600</v>
      </c>
      <c r="AC79" s="60">
        <v>19800</v>
      </c>
      <c r="AD79" s="60">
        <v>31620</v>
      </c>
      <c r="AE79" s="60">
        <v>23300</v>
      </c>
      <c r="AF79" s="60">
        <v>1278</v>
      </c>
      <c r="AG79" s="60">
        <v>7042</v>
      </c>
      <c r="AH79" s="61">
        <v>0.22270000000000001</v>
      </c>
      <c r="AL79" s="55" t="s">
        <v>33</v>
      </c>
      <c r="AN79" s="55" t="s">
        <v>834</v>
      </c>
      <c r="AP79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7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7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7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7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7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79" s="60">
        <f>IFERROR(IF(D79="스마트스토어",COUNTIFS(출고표[구입일자],"&lt;&gt;"&amp;H79,출고표[구매자명],E79,출고표[구매자연락처],F79),COUNTIFS(출고표[구입일자],"&lt;&gt;"&amp;H79,출고표[구매자명],E79,출고표[구매자연락처],G79)),0)</f>
        <v>0</v>
      </c>
    </row>
    <row r="80" spans="1:48" ht="20.100000000000001" customHeight="1">
      <c r="A80" s="55">
        <v>79</v>
      </c>
      <c r="B80" s="55" t="s">
        <v>562</v>
      </c>
      <c r="C80" s="64" t="s">
        <v>1480</v>
      </c>
      <c r="D80" s="55" t="s">
        <v>561</v>
      </c>
      <c r="E80" s="55" t="s">
        <v>1475</v>
      </c>
      <c r="F80" s="55" t="s">
        <v>1481</v>
      </c>
      <c r="G80" s="55" t="s">
        <v>1482</v>
      </c>
      <c r="H80" s="63">
        <v>45449</v>
      </c>
      <c r="I80" s="63">
        <v>45450</v>
      </c>
      <c r="J80" s="55" t="s">
        <v>563</v>
      </c>
      <c r="K80" s="64" t="s">
        <v>1478</v>
      </c>
      <c r="M80" s="55" t="s">
        <v>1475</v>
      </c>
      <c r="N80" s="55" t="s">
        <v>1482</v>
      </c>
      <c r="P80" s="55" t="s">
        <v>1483</v>
      </c>
      <c r="R80" s="55" t="s">
        <v>224</v>
      </c>
      <c r="S80" s="55" t="s">
        <v>368</v>
      </c>
      <c r="T80" s="60">
        <v>4</v>
      </c>
      <c r="U80" s="60">
        <v>8480</v>
      </c>
      <c r="V80" s="60">
        <v>0</v>
      </c>
      <c r="W80" s="60">
        <v>3000</v>
      </c>
      <c r="X80" s="60">
        <v>0</v>
      </c>
      <c r="Y80" s="60">
        <v>3000</v>
      </c>
      <c r="Z80" s="60">
        <v>0</v>
      </c>
      <c r="AB80" s="60">
        <v>2030</v>
      </c>
      <c r="AC80" s="60">
        <v>1293</v>
      </c>
      <c r="AD80" s="60">
        <v>11480</v>
      </c>
      <c r="AE80" s="60">
        <v>8172</v>
      </c>
      <c r="AF80" s="60">
        <v>477</v>
      </c>
      <c r="AG80" s="60">
        <v>2831</v>
      </c>
      <c r="AH80" s="61">
        <v>0.24660000000000001</v>
      </c>
      <c r="AL80" s="55" t="s">
        <v>1974</v>
      </c>
      <c r="AN80" s="55" t="s">
        <v>834</v>
      </c>
      <c r="AP80" s="62">
        <f>IFERROR(IF(출고표[[#This Row],[클레임]]="반품",출고표[[#This Row],[배송비]],출고표[[#This Row],[결제액]]+출고표[[#This Row],[배송비]]+출고표[[#This Row],[제주/도서추가배송비]]),0)</f>
        <v>11480</v>
      </c>
      <c r="AQ8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8172</v>
      </c>
      <c r="AR8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477</v>
      </c>
      <c r="AS8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2831</v>
      </c>
      <c r="AT8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0.24660000000000001</v>
      </c>
      <c r="AU8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0" s="60">
        <f>IFERROR(IF(D80="스마트스토어",COUNTIFS(출고표[구입일자],"&lt;&gt;"&amp;H80,출고표[구매자명],E80,출고표[구매자연락처],F80),COUNTIFS(출고표[구입일자],"&lt;&gt;"&amp;H80,출고표[구매자명],E80,출고표[구매자연락처],G80)),0)</f>
        <v>0</v>
      </c>
    </row>
    <row r="81" spans="1:48" ht="20.100000000000001" customHeight="1">
      <c r="A81" s="55">
        <v>80</v>
      </c>
      <c r="B81" s="55" t="s">
        <v>562</v>
      </c>
      <c r="C81" s="64" t="s">
        <v>1489</v>
      </c>
      <c r="D81" s="55" t="s">
        <v>561</v>
      </c>
      <c r="E81" s="55" t="s">
        <v>1486</v>
      </c>
      <c r="F81" s="55" t="s">
        <v>1490</v>
      </c>
      <c r="G81" s="55" t="s">
        <v>1491</v>
      </c>
      <c r="H81" s="63">
        <v>45448</v>
      </c>
      <c r="I81" s="63">
        <v>45450</v>
      </c>
      <c r="J81" s="55" t="s">
        <v>563</v>
      </c>
      <c r="K81" s="64" t="s">
        <v>1487</v>
      </c>
      <c r="M81" s="55" t="s">
        <v>1486</v>
      </c>
      <c r="N81" s="55" t="s">
        <v>1492</v>
      </c>
      <c r="P81" s="55" t="s">
        <v>1493</v>
      </c>
      <c r="R81" s="55" t="s">
        <v>118</v>
      </c>
      <c r="S81" s="55" t="s">
        <v>353</v>
      </c>
      <c r="T81" s="60">
        <v>1</v>
      </c>
      <c r="U81" s="60">
        <v>2780</v>
      </c>
      <c r="V81" s="60">
        <v>0</v>
      </c>
      <c r="W81" s="60">
        <v>3000</v>
      </c>
      <c r="X81" s="60">
        <v>0</v>
      </c>
      <c r="Y81" s="60">
        <v>3000</v>
      </c>
      <c r="Z81" s="60">
        <v>0</v>
      </c>
      <c r="AB81" s="60">
        <v>2550</v>
      </c>
      <c r="AC81" s="60">
        <v>1650</v>
      </c>
      <c r="AD81" s="60">
        <v>5780</v>
      </c>
      <c r="AE81" s="60">
        <v>4650</v>
      </c>
      <c r="AF81" s="60">
        <v>250</v>
      </c>
      <c r="AG81" s="60">
        <v>-2120</v>
      </c>
      <c r="AH81" s="61">
        <v>-0.36680000000000001</v>
      </c>
      <c r="AL81" s="55" t="s">
        <v>117</v>
      </c>
      <c r="AN81" s="55" t="s">
        <v>834</v>
      </c>
      <c r="AP81" s="62">
        <f>IFERROR(IF(출고표[[#This Row],[클레임]]="반품",출고표[[#This Row],[배송비]],출고표[[#This Row],[결제액]]+출고표[[#This Row],[배송비]]+출고표[[#This Row],[제주/도서추가배송비]]),0)</f>
        <v>5780</v>
      </c>
      <c r="AQ8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4650</v>
      </c>
      <c r="AR8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250</v>
      </c>
      <c r="AS8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880</v>
      </c>
      <c r="AT8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0.1522</v>
      </c>
      <c r="AU8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1" s="60">
        <f>IFERROR(IF(D81="스마트스토어",COUNTIFS(출고표[구입일자],"&lt;&gt;"&amp;H81,출고표[구매자명],E81,출고표[구매자연락처],F81),COUNTIFS(출고표[구입일자],"&lt;&gt;"&amp;H81,출고표[구매자명],E81,출고표[구매자연락처],G81)),0)</f>
        <v>0</v>
      </c>
    </row>
    <row r="82" spans="1:48" ht="20.100000000000001" customHeight="1">
      <c r="A82" s="55">
        <v>81</v>
      </c>
      <c r="B82" s="55" t="s">
        <v>562</v>
      </c>
      <c r="C82" s="64" t="s">
        <v>1496</v>
      </c>
      <c r="D82" s="55" t="s">
        <v>561</v>
      </c>
      <c r="E82" s="55" t="s">
        <v>1486</v>
      </c>
      <c r="F82" s="55" t="s">
        <v>1490</v>
      </c>
      <c r="G82" s="55" t="s">
        <v>1491</v>
      </c>
      <c r="H82" s="63">
        <v>45448</v>
      </c>
      <c r="I82" s="63">
        <v>45450</v>
      </c>
      <c r="J82" s="55" t="s">
        <v>563</v>
      </c>
      <c r="K82" s="64" t="s">
        <v>1487</v>
      </c>
      <c r="M82" s="55" t="s">
        <v>1486</v>
      </c>
      <c r="N82" s="55" t="s">
        <v>1492</v>
      </c>
      <c r="P82" s="55" t="s">
        <v>1493</v>
      </c>
      <c r="R82" s="55" t="s">
        <v>112</v>
      </c>
      <c r="S82" s="55" t="s">
        <v>353</v>
      </c>
      <c r="T82" s="60">
        <v>1</v>
      </c>
      <c r="U82" s="60">
        <v>3330</v>
      </c>
      <c r="V82" s="60">
        <v>0</v>
      </c>
      <c r="W82" s="60">
        <v>0</v>
      </c>
      <c r="X82" s="60">
        <v>0</v>
      </c>
      <c r="Y82" s="60">
        <v>0</v>
      </c>
      <c r="Z82" s="60">
        <v>0</v>
      </c>
      <c r="AB82" s="60">
        <v>3340</v>
      </c>
      <c r="AC82" s="60">
        <v>2156</v>
      </c>
      <c r="AD82" s="60">
        <v>3330</v>
      </c>
      <c r="AE82" s="60">
        <v>2156</v>
      </c>
      <c r="AF82" s="60">
        <v>213</v>
      </c>
      <c r="AG82" s="60">
        <v>961</v>
      </c>
      <c r="AH82" s="61">
        <v>0.28860000000000002</v>
      </c>
      <c r="AL82" s="55" t="s">
        <v>111</v>
      </c>
      <c r="AM82" s="55" t="s">
        <v>822</v>
      </c>
      <c r="AN82" s="55" t="s">
        <v>834</v>
      </c>
      <c r="AP82" s="62">
        <f>IFERROR(IF(출고표[[#This Row],[클레임]]="반품",출고표[[#This Row],[배송비]],출고표[[#This Row],[결제액]]+출고표[[#This Row],[배송비]]+출고표[[#This Row],[제주/도서추가배송비]]),0)</f>
        <v>3330</v>
      </c>
      <c r="AQ8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2156</v>
      </c>
      <c r="AR8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213</v>
      </c>
      <c r="AS8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961</v>
      </c>
      <c r="AT8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0.28860000000000002</v>
      </c>
      <c r="AU8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2" s="60">
        <f>IFERROR(IF(D82="스마트스토어",COUNTIFS(출고표[구입일자],"&lt;&gt;"&amp;H82,출고표[구매자명],E82,출고표[구매자연락처],F82),COUNTIFS(출고표[구입일자],"&lt;&gt;"&amp;H82,출고표[구매자명],E82,출고표[구매자연락처],G82)),0)</f>
        <v>0</v>
      </c>
    </row>
    <row r="83" spans="1:48" ht="20.100000000000001" customHeight="1">
      <c r="A83" s="55">
        <v>82</v>
      </c>
      <c r="B83" s="55" t="s">
        <v>562</v>
      </c>
      <c r="C83" s="64" t="s">
        <v>1499</v>
      </c>
      <c r="D83" s="55" t="s">
        <v>561</v>
      </c>
      <c r="E83" s="55" t="s">
        <v>1486</v>
      </c>
      <c r="F83" s="55" t="s">
        <v>1490</v>
      </c>
      <c r="G83" s="55" t="s">
        <v>1491</v>
      </c>
      <c r="H83" s="63">
        <v>45448</v>
      </c>
      <c r="I83" s="63">
        <v>45450</v>
      </c>
      <c r="J83" s="55" t="s">
        <v>563</v>
      </c>
      <c r="K83" s="64" t="s">
        <v>1487</v>
      </c>
      <c r="M83" s="55" t="s">
        <v>1486</v>
      </c>
      <c r="N83" s="55" t="s">
        <v>1492</v>
      </c>
      <c r="P83" s="55" t="s">
        <v>1493</v>
      </c>
      <c r="R83" s="55" t="s">
        <v>110</v>
      </c>
      <c r="S83" s="55" t="s">
        <v>353</v>
      </c>
      <c r="T83" s="60">
        <v>1</v>
      </c>
      <c r="U83" s="60">
        <v>1640</v>
      </c>
      <c r="V83" s="60">
        <v>0</v>
      </c>
      <c r="W83" s="60">
        <v>0</v>
      </c>
      <c r="X83" s="60">
        <v>0</v>
      </c>
      <c r="Y83" s="60">
        <v>0</v>
      </c>
      <c r="Z83" s="60">
        <v>0</v>
      </c>
      <c r="AB83" s="60">
        <v>1110</v>
      </c>
      <c r="AC83" s="60">
        <v>715</v>
      </c>
      <c r="AD83" s="60">
        <v>1640</v>
      </c>
      <c r="AE83" s="60">
        <v>715</v>
      </c>
      <c r="AF83" s="60">
        <v>145</v>
      </c>
      <c r="AG83" s="60">
        <v>780</v>
      </c>
      <c r="AH83" s="61">
        <v>0.47560000000000002</v>
      </c>
      <c r="AL83" s="55" t="s">
        <v>1975</v>
      </c>
      <c r="AM83" s="55" t="s">
        <v>822</v>
      </c>
      <c r="AN83" s="55" t="s">
        <v>834</v>
      </c>
      <c r="AP83" s="62">
        <f>IFERROR(IF(출고표[[#This Row],[클레임]]="반품",출고표[[#This Row],[배송비]],출고표[[#This Row],[결제액]]+출고표[[#This Row],[배송비]]+출고표[[#This Row],[제주/도서추가배송비]]),0)</f>
        <v>1640</v>
      </c>
      <c r="AQ8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715</v>
      </c>
      <c r="AR8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</v>
      </c>
      <c r="AS8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780</v>
      </c>
      <c r="AT8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0.47560000000000002</v>
      </c>
      <c r="AU8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3" s="60">
        <f>IFERROR(IF(D83="스마트스토어",COUNTIFS(출고표[구입일자],"&lt;&gt;"&amp;H83,출고표[구매자명],E83,출고표[구매자연락처],F83),COUNTIFS(출고표[구입일자],"&lt;&gt;"&amp;H83,출고표[구매자명],E83,출고표[구매자연락처],G83)),0)</f>
        <v>0</v>
      </c>
    </row>
    <row r="84" spans="1:48" ht="20.100000000000001" customHeight="1">
      <c r="A84" s="55">
        <v>83</v>
      </c>
      <c r="B84" s="55" t="s">
        <v>562</v>
      </c>
      <c r="C84" s="64" t="s">
        <v>1502</v>
      </c>
      <c r="D84" s="55" t="s">
        <v>561</v>
      </c>
      <c r="E84" s="55" t="s">
        <v>1486</v>
      </c>
      <c r="F84" s="55" t="s">
        <v>1490</v>
      </c>
      <c r="G84" s="55" t="s">
        <v>1491</v>
      </c>
      <c r="H84" s="63">
        <v>45448</v>
      </c>
      <c r="I84" s="63">
        <v>45450</v>
      </c>
      <c r="J84" s="55" t="s">
        <v>563</v>
      </c>
      <c r="K84" s="64" t="s">
        <v>1487</v>
      </c>
      <c r="M84" s="55" t="s">
        <v>1486</v>
      </c>
      <c r="N84" s="55" t="s">
        <v>1492</v>
      </c>
      <c r="P84" s="55" t="s">
        <v>1493</v>
      </c>
      <c r="R84" s="55" t="s">
        <v>125</v>
      </c>
      <c r="S84" s="55" t="s">
        <v>353</v>
      </c>
      <c r="T84" s="60">
        <v>1</v>
      </c>
      <c r="U84" s="60">
        <v>1800</v>
      </c>
      <c r="V84" s="60">
        <v>0</v>
      </c>
      <c r="W84" s="60">
        <v>0</v>
      </c>
      <c r="X84" s="60">
        <v>0</v>
      </c>
      <c r="Y84" s="60">
        <v>0</v>
      </c>
      <c r="Z84" s="60">
        <v>0</v>
      </c>
      <c r="AB84" s="60">
        <v>1700</v>
      </c>
      <c r="AC84" s="60">
        <v>1100</v>
      </c>
      <c r="AD84" s="60">
        <v>1800</v>
      </c>
      <c r="AE84" s="60">
        <v>1100</v>
      </c>
      <c r="AF84" s="60">
        <v>152</v>
      </c>
      <c r="AG84" s="60">
        <v>3548</v>
      </c>
      <c r="AH84" s="61">
        <v>1.9711000000000001</v>
      </c>
      <c r="AL84" s="55" t="s">
        <v>124</v>
      </c>
      <c r="AM84" s="55" t="s">
        <v>822</v>
      </c>
      <c r="AN84" s="55" t="s">
        <v>834</v>
      </c>
      <c r="AP84" s="62">
        <f>IFERROR(IF(출고표[[#This Row],[클레임]]="반품",출고표[[#This Row],[배송비]],출고표[[#This Row],[결제액]]+출고표[[#This Row],[배송비]]+출고표[[#This Row],[제주/도서추가배송비]]),0)</f>
        <v>1800</v>
      </c>
      <c r="AQ8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1100</v>
      </c>
      <c r="AR8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152</v>
      </c>
      <c r="AS8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548</v>
      </c>
      <c r="AT8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0.3044</v>
      </c>
      <c r="AU8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84" s="60">
        <f>IFERROR(IF(D84="스마트스토어",COUNTIFS(출고표[구입일자],"&lt;&gt;"&amp;H84,출고표[구매자명],E84,출고표[구매자연락처],F84),COUNTIFS(출고표[구입일자],"&lt;&gt;"&amp;H84,출고표[구매자명],E84,출고표[구매자연락처],G84)),0)</f>
        <v>0</v>
      </c>
    </row>
    <row r="85" spans="1:48" ht="20.100000000000001" customHeight="1">
      <c r="A85" s="55">
        <v>84</v>
      </c>
      <c r="B85" s="55" t="s">
        <v>673</v>
      </c>
      <c r="C85" s="64" t="s">
        <v>1507</v>
      </c>
      <c r="D85" s="55" t="s">
        <v>568</v>
      </c>
      <c r="E85" s="55" t="s">
        <v>1504</v>
      </c>
      <c r="F85" s="55" t="s">
        <v>1508</v>
      </c>
      <c r="G85" s="55" t="s">
        <v>1509</v>
      </c>
      <c r="H85" s="63">
        <v>45448</v>
      </c>
      <c r="I85" s="63">
        <v>45450</v>
      </c>
      <c r="J85" s="55" t="s">
        <v>563</v>
      </c>
      <c r="K85" s="64" t="s">
        <v>1506</v>
      </c>
      <c r="M85" s="55" t="s">
        <v>1504</v>
      </c>
      <c r="N85" s="55" t="s">
        <v>1509</v>
      </c>
      <c r="P85" s="55" t="s">
        <v>1510</v>
      </c>
      <c r="Q85" s="55" t="s">
        <v>569</v>
      </c>
      <c r="R85" s="55" t="s">
        <v>36</v>
      </c>
      <c r="S85" s="55" t="s">
        <v>353</v>
      </c>
      <c r="T85" s="60">
        <v>1</v>
      </c>
      <c r="U85" s="60">
        <v>25200</v>
      </c>
      <c r="V85" s="60">
        <v>0</v>
      </c>
      <c r="W85" s="60">
        <v>3000</v>
      </c>
      <c r="X85" s="60">
        <v>0</v>
      </c>
      <c r="Y85" s="60">
        <v>3500</v>
      </c>
      <c r="Z85" s="60">
        <v>0</v>
      </c>
      <c r="AB85" s="60">
        <v>25200</v>
      </c>
      <c r="AC85" s="60">
        <v>16500</v>
      </c>
      <c r="AD85" s="60">
        <v>28200</v>
      </c>
      <c r="AE85" s="60">
        <v>0</v>
      </c>
      <c r="AF85" s="60">
        <v>3093</v>
      </c>
      <c r="AG85" s="60">
        <v>0</v>
      </c>
      <c r="AL85" s="55" t="s">
        <v>35</v>
      </c>
      <c r="AN85" s="55" t="s">
        <v>834</v>
      </c>
      <c r="AP85" s="62">
        <f>IFERROR(IF(출고표[[#This Row],[클레임]]="반품",출고표[[#This Row],[배송비]],출고표[[#This Row],[결제액]]+출고표[[#This Row],[배송비]]+출고표[[#This Row],[제주/도서추가배송비]]),0)</f>
        <v>28200</v>
      </c>
      <c r="AQ8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3093</v>
      </c>
      <c r="AS8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5" s="60">
        <f>IFERROR(IF(D85="스마트스토어",COUNTIFS(출고표[구입일자],"&lt;&gt;"&amp;H85,출고표[구매자명],E85,출고표[구매자연락처],F85),COUNTIFS(출고표[구입일자],"&lt;&gt;"&amp;H85,출고표[구매자명],E85,출고표[구매자연락처],G85)),0)</f>
        <v>0</v>
      </c>
    </row>
    <row r="86" spans="1:48" ht="20.100000000000001" customHeight="1">
      <c r="A86" s="55">
        <v>85</v>
      </c>
      <c r="B86" s="55" t="s">
        <v>673</v>
      </c>
      <c r="C86" s="64" t="s">
        <v>1514</v>
      </c>
      <c r="D86" s="55" t="s">
        <v>568</v>
      </c>
      <c r="E86" s="55" t="s">
        <v>1512</v>
      </c>
      <c r="F86" s="55" t="s">
        <v>1005</v>
      </c>
      <c r="G86" s="55" t="s">
        <v>1515</v>
      </c>
      <c r="H86" s="63">
        <v>45449</v>
      </c>
      <c r="I86" s="63">
        <v>45450</v>
      </c>
      <c r="J86" s="55" t="s">
        <v>563</v>
      </c>
      <c r="K86" s="64" t="s">
        <v>1513</v>
      </c>
      <c r="M86" s="55" t="s">
        <v>1512</v>
      </c>
      <c r="N86" s="55" t="s">
        <v>1515</v>
      </c>
      <c r="P86" s="55" t="s">
        <v>1516</v>
      </c>
      <c r="Q86" s="55" t="s">
        <v>571</v>
      </c>
      <c r="R86" s="55" t="s">
        <v>34</v>
      </c>
      <c r="S86" s="55" t="s">
        <v>353</v>
      </c>
      <c r="T86" s="60">
        <v>1</v>
      </c>
      <c r="U86" s="60">
        <v>30240</v>
      </c>
      <c r="V86" s="60">
        <v>0</v>
      </c>
      <c r="W86" s="60">
        <v>3000</v>
      </c>
      <c r="X86" s="60">
        <v>0</v>
      </c>
      <c r="Y86" s="60">
        <v>3500</v>
      </c>
      <c r="Z86" s="60">
        <v>0</v>
      </c>
      <c r="AB86" s="60">
        <v>30240</v>
      </c>
      <c r="AC86" s="60">
        <v>19800</v>
      </c>
      <c r="AD86" s="60">
        <v>33240</v>
      </c>
      <c r="AE86" s="60">
        <v>0</v>
      </c>
      <c r="AF86" s="60">
        <v>3692</v>
      </c>
      <c r="AG86" s="60">
        <v>0</v>
      </c>
      <c r="AL86" s="55" t="s">
        <v>33</v>
      </c>
      <c r="AN86" s="55" t="s">
        <v>834</v>
      </c>
      <c r="AP86" s="62">
        <f>IFERROR(IF(출고표[[#This Row],[클레임]]="반품",출고표[[#This Row],[배송비]],출고표[[#This Row],[결제액]]+출고표[[#This Row],[배송비]]+출고표[[#This Row],[제주/도서추가배송비]]),0)</f>
        <v>33240</v>
      </c>
      <c r="AQ8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8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6" s="60">
        <f>IFERROR(IF(D86="스마트스토어",COUNTIFS(출고표[구입일자],"&lt;&gt;"&amp;H86,출고표[구매자명],E86,출고표[구매자연락처],F86),COUNTIFS(출고표[구입일자],"&lt;&gt;"&amp;H86,출고표[구매자명],E86,출고표[구매자연락처],G86)),0)</f>
        <v>0</v>
      </c>
    </row>
    <row r="87" spans="1:48" ht="20.100000000000001" customHeight="1">
      <c r="A87" s="55">
        <v>86</v>
      </c>
      <c r="B87" s="55" t="s">
        <v>562</v>
      </c>
      <c r="C87" s="64" t="s">
        <v>1520</v>
      </c>
      <c r="D87" s="55" t="s">
        <v>568</v>
      </c>
      <c r="E87" s="55" t="s">
        <v>1521</v>
      </c>
      <c r="F87" s="55" t="s">
        <v>1522</v>
      </c>
      <c r="G87" s="55" t="s">
        <v>1523</v>
      </c>
      <c r="H87" s="63">
        <v>45448</v>
      </c>
      <c r="I87" s="63">
        <v>45450</v>
      </c>
      <c r="J87" s="55" t="s">
        <v>563</v>
      </c>
      <c r="K87" s="64" t="s">
        <v>1519</v>
      </c>
      <c r="M87" s="55" t="s">
        <v>1518</v>
      </c>
      <c r="N87" s="55" t="s">
        <v>1523</v>
      </c>
      <c r="P87" s="55" t="s">
        <v>1524</v>
      </c>
      <c r="Q87" s="55" t="s">
        <v>1525</v>
      </c>
      <c r="R87" s="55" t="s">
        <v>34</v>
      </c>
      <c r="S87" s="55" t="s">
        <v>353</v>
      </c>
      <c r="T87" s="60">
        <v>1</v>
      </c>
      <c r="U87" s="60">
        <v>34020</v>
      </c>
      <c r="V87" s="60">
        <v>0</v>
      </c>
      <c r="W87" s="60">
        <v>3000</v>
      </c>
      <c r="X87" s="60">
        <v>0</v>
      </c>
      <c r="Y87" s="60">
        <v>3500</v>
      </c>
      <c r="Z87" s="60">
        <v>0</v>
      </c>
      <c r="AB87" s="60">
        <v>32130</v>
      </c>
      <c r="AC87" s="60">
        <v>19800</v>
      </c>
      <c r="AD87" s="60">
        <v>37020</v>
      </c>
      <c r="AE87" s="60">
        <v>23300</v>
      </c>
      <c r="AF87" s="60">
        <v>4141</v>
      </c>
      <c r="AG87" s="60">
        <v>9579</v>
      </c>
      <c r="AH87" s="61">
        <v>0.25879999999999997</v>
      </c>
      <c r="AL87" s="55" t="s">
        <v>33</v>
      </c>
      <c r="AN87" s="55" t="s">
        <v>834</v>
      </c>
      <c r="AP87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8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8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8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8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8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7" s="60">
        <f>IFERROR(IF(D87="스마트스토어",COUNTIFS(출고표[구입일자],"&lt;&gt;"&amp;H87,출고표[구매자명],E87,출고표[구매자연락처],F87),COUNTIFS(출고표[구입일자],"&lt;&gt;"&amp;H87,출고표[구매자명],E87,출고표[구매자연락처],G87)),0)</f>
        <v>0</v>
      </c>
    </row>
    <row r="88" spans="1:48" ht="20.100000000000001" customHeight="1">
      <c r="A88" s="55">
        <v>87</v>
      </c>
      <c r="B88" s="55" t="s">
        <v>562</v>
      </c>
      <c r="C88" s="64" t="s">
        <v>1530</v>
      </c>
      <c r="D88" s="55" t="s">
        <v>568</v>
      </c>
      <c r="E88" s="55" t="s">
        <v>1527</v>
      </c>
      <c r="F88" s="55" t="s">
        <v>1531</v>
      </c>
      <c r="G88" s="55" t="s">
        <v>1532</v>
      </c>
      <c r="H88" s="63">
        <v>45448</v>
      </c>
      <c r="I88" s="63">
        <v>45450</v>
      </c>
      <c r="J88" s="55" t="s">
        <v>563</v>
      </c>
      <c r="K88" s="64" t="s">
        <v>1529</v>
      </c>
      <c r="M88" s="55" t="s">
        <v>1527</v>
      </c>
      <c r="N88" s="55" t="s">
        <v>1532</v>
      </c>
      <c r="P88" s="55" t="s">
        <v>1533</v>
      </c>
      <c r="Q88" s="55" t="s">
        <v>571</v>
      </c>
      <c r="R88" s="55" t="s">
        <v>22</v>
      </c>
      <c r="S88" s="55" t="s">
        <v>353</v>
      </c>
      <c r="T88" s="60">
        <v>2</v>
      </c>
      <c r="U88" s="60">
        <v>43480</v>
      </c>
      <c r="V88" s="60">
        <v>0</v>
      </c>
      <c r="W88" s="60">
        <v>0</v>
      </c>
      <c r="X88" s="60">
        <v>0</v>
      </c>
      <c r="Y88" s="60">
        <v>3500</v>
      </c>
      <c r="Z88" s="60">
        <v>0</v>
      </c>
      <c r="AB88" s="60">
        <v>20530</v>
      </c>
      <c r="AC88" s="60">
        <v>12650</v>
      </c>
      <c r="AD88" s="60">
        <v>43480</v>
      </c>
      <c r="AE88" s="60">
        <v>28800</v>
      </c>
      <c r="AF88" s="60">
        <v>5165</v>
      </c>
      <c r="AG88" s="60">
        <v>9515</v>
      </c>
      <c r="AH88" s="61">
        <v>0.21879999999999999</v>
      </c>
      <c r="AL88" s="55" t="s">
        <v>21</v>
      </c>
      <c r="AN88" s="55" t="s">
        <v>834</v>
      </c>
      <c r="AP88" s="62">
        <f>IFERROR(IF(출고표[[#This Row],[클레임]]="반품",출고표[[#This Row],[배송비]],출고표[[#This Row],[결제액]]+출고표[[#This Row],[배송비]]+출고표[[#This Row],[제주/도서추가배송비]]),0)</f>
        <v>43480</v>
      </c>
      <c r="AQ8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28800</v>
      </c>
      <c r="AR8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5165</v>
      </c>
      <c r="AS8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9515</v>
      </c>
      <c r="AT8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0.21879999999999999</v>
      </c>
      <c r="AU8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8" s="60">
        <f>IFERROR(IF(D88="스마트스토어",COUNTIFS(출고표[구입일자],"&lt;&gt;"&amp;H88,출고표[구매자명],E88,출고표[구매자연락처],F88),COUNTIFS(출고표[구입일자],"&lt;&gt;"&amp;H88,출고표[구매자명],E88,출고표[구매자연락처],G88)),0)</f>
        <v>0</v>
      </c>
    </row>
    <row r="89" spans="1:48" ht="20.100000000000001" customHeight="1">
      <c r="A89" s="55">
        <v>88</v>
      </c>
      <c r="B89" s="55" t="s">
        <v>673</v>
      </c>
      <c r="C89" s="64" t="s">
        <v>2091</v>
      </c>
      <c r="D89" s="55" t="s">
        <v>532</v>
      </c>
      <c r="H89" s="63">
        <v>45453</v>
      </c>
      <c r="I89" s="63">
        <v>45453</v>
      </c>
      <c r="J89" s="55" t="s">
        <v>563</v>
      </c>
      <c r="K89" s="64" t="s">
        <v>1536</v>
      </c>
      <c r="M89" s="55" t="s">
        <v>1535</v>
      </c>
      <c r="N89" s="55" t="s">
        <v>1538</v>
      </c>
      <c r="P89" s="55" t="s">
        <v>1539</v>
      </c>
      <c r="R89" s="55" t="s">
        <v>531</v>
      </c>
      <c r="S89" s="55" t="s">
        <v>353</v>
      </c>
      <c r="T89" s="60">
        <v>1</v>
      </c>
      <c r="U89" s="60">
        <v>0</v>
      </c>
      <c r="V89" s="60">
        <v>0</v>
      </c>
      <c r="W89" s="60">
        <v>0</v>
      </c>
      <c r="X89" s="60">
        <v>0</v>
      </c>
      <c r="Y89" s="60">
        <v>5500</v>
      </c>
      <c r="Z89" s="60">
        <v>0</v>
      </c>
      <c r="AB89" s="60" t="s">
        <v>529</v>
      </c>
      <c r="AC89" s="60" t="s">
        <v>349</v>
      </c>
      <c r="AD89" s="60">
        <v>0</v>
      </c>
      <c r="AE89" s="60">
        <v>0</v>
      </c>
      <c r="AF89" s="60">
        <v>0</v>
      </c>
      <c r="AG89" s="60">
        <v>0</v>
      </c>
      <c r="AL89" s="55" t="s">
        <v>532</v>
      </c>
      <c r="AM89" s="55" t="s">
        <v>822</v>
      </c>
      <c r="AN89" s="55" t="s">
        <v>834</v>
      </c>
      <c r="AP8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8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8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8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8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8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89" s="60">
        <f>IFERROR(IF(D89="스마트스토어",COUNTIFS(출고표[구입일자],"&lt;&gt;"&amp;H89,출고표[구매자명],E89,출고표[구매자연락처],F89),COUNTIFS(출고표[구입일자],"&lt;&gt;"&amp;H89,출고표[구매자명],E89,출고표[구매자연락처],G89)),0)</f>
        <v>0</v>
      </c>
    </row>
    <row r="90" spans="1:48" ht="20.100000000000001" customHeight="1">
      <c r="A90" s="55">
        <v>89</v>
      </c>
      <c r="B90" s="55" t="s">
        <v>673</v>
      </c>
      <c r="C90" s="64" t="s">
        <v>2092</v>
      </c>
      <c r="D90" s="55" t="s">
        <v>532</v>
      </c>
      <c r="H90" s="63">
        <v>45453</v>
      </c>
      <c r="I90" s="63">
        <v>45453</v>
      </c>
      <c r="J90" s="55" t="s">
        <v>563</v>
      </c>
      <c r="K90" s="64" t="s">
        <v>1540</v>
      </c>
      <c r="M90" s="55" t="s">
        <v>1535</v>
      </c>
      <c r="N90" s="55" t="s">
        <v>1538</v>
      </c>
      <c r="P90" s="55" t="s">
        <v>1539</v>
      </c>
      <c r="R90" s="55" t="s">
        <v>531</v>
      </c>
      <c r="S90" s="55" t="s">
        <v>353</v>
      </c>
      <c r="T90" s="60">
        <v>1</v>
      </c>
      <c r="U90" s="60">
        <v>0</v>
      </c>
      <c r="V90" s="60">
        <v>0</v>
      </c>
      <c r="W90" s="60">
        <v>0</v>
      </c>
      <c r="X90" s="60">
        <v>0</v>
      </c>
      <c r="Y90" s="60">
        <v>5500</v>
      </c>
      <c r="Z90" s="60">
        <v>0</v>
      </c>
      <c r="AB90" s="60" t="s">
        <v>529</v>
      </c>
      <c r="AC90" s="60" t="s">
        <v>349</v>
      </c>
      <c r="AD90" s="60">
        <v>0</v>
      </c>
      <c r="AE90" s="60">
        <v>0</v>
      </c>
      <c r="AF90" s="60">
        <v>0</v>
      </c>
      <c r="AG90" s="60">
        <v>0</v>
      </c>
      <c r="AL90" s="55" t="s">
        <v>532</v>
      </c>
      <c r="AM90" s="55" t="s">
        <v>822</v>
      </c>
      <c r="AN90" s="55" t="s">
        <v>834</v>
      </c>
      <c r="AP9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9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9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9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9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9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0" s="60">
        <f>IFERROR(IF(D90="스마트스토어",COUNTIFS(출고표[구입일자],"&lt;&gt;"&amp;H90,출고표[구매자명],E90,출고표[구매자연락처],F90),COUNTIFS(출고표[구입일자],"&lt;&gt;"&amp;H90,출고표[구매자명],E90,출고표[구매자연락처],G90)),0)</f>
        <v>0</v>
      </c>
    </row>
    <row r="91" spans="1:48" ht="20.100000000000001" customHeight="1">
      <c r="A91" s="55">
        <v>90</v>
      </c>
      <c r="B91" s="55" t="s">
        <v>562</v>
      </c>
      <c r="C91" s="64" t="s">
        <v>1546</v>
      </c>
      <c r="D91" s="55" t="s">
        <v>568</v>
      </c>
      <c r="E91" s="55" t="s">
        <v>1542</v>
      </c>
      <c r="F91" s="55" t="s">
        <v>1547</v>
      </c>
      <c r="G91" s="55" t="s">
        <v>1548</v>
      </c>
      <c r="H91" s="63">
        <v>45450</v>
      </c>
      <c r="I91" s="63">
        <v>45453</v>
      </c>
      <c r="J91" s="55" t="s">
        <v>563</v>
      </c>
      <c r="K91" s="64" t="s">
        <v>1545</v>
      </c>
      <c r="M91" s="55" t="s">
        <v>1542</v>
      </c>
      <c r="N91" s="55" t="s">
        <v>1548</v>
      </c>
      <c r="P91" s="55" t="s">
        <v>1549</v>
      </c>
      <c r="Q91" s="55" t="s">
        <v>1550</v>
      </c>
      <c r="R91" s="55" t="s">
        <v>38</v>
      </c>
      <c r="S91" s="55" t="s">
        <v>353</v>
      </c>
      <c r="T91" s="60">
        <v>1</v>
      </c>
      <c r="U91" s="60">
        <v>24570</v>
      </c>
      <c r="V91" s="60">
        <v>0</v>
      </c>
      <c r="W91" s="60">
        <v>0</v>
      </c>
      <c r="X91" s="60">
        <v>0</v>
      </c>
      <c r="Y91" s="60">
        <v>4400</v>
      </c>
      <c r="Z91" s="60">
        <v>0</v>
      </c>
      <c r="AB91" s="60">
        <v>23210</v>
      </c>
      <c r="AC91" s="60">
        <v>14300</v>
      </c>
      <c r="AD91" s="60">
        <v>24570</v>
      </c>
      <c r="AE91" s="60">
        <v>18700</v>
      </c>
      <c r="AF91" s="60">
        <v>2919</v>
      </c>
      <c r="AG91" s="60">
        <v>2951</v>
      </c>
      <c r="AH91" s="61">
        <v>0.1201</v>
      </c>
      <c r="AL91" s="55" t="s">
        <v>37</v>
      </c>
      <c r="AN91" s="55" t="s">
        <v>834</v>
      </c>
      <c r="AP91" s="62">
        <f>IFERROR(IF(출고표[[#This Row],[클레임]]="반품",출고표[[#This Row],[배송비]],출고표[[#This Row],[결제액]]+출고표[[#This Row],[배송비]]+출고표[[#This Row],[제주/도서추가배송비]]),0)</f>
        <v>24570</v>
      </c>
      <c r="AQ9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18700</v>
      </c>
      <c r="AR9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2919</v>
      </c>
      <c r="AS9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2951</v>
      </c>
      <c r="AT9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0.1201</v>
      </c>
      <c r="AU9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1" s="60">
        <f>IFERROR(IF(D91="스마트스토어",COUNTIFS(출고표[구입일자],"&lt;&gt;"&amp;H91,출고표[구매자명],E91,출고표[구매자연락처],F91),COUNTIFS(출고표[구입일자],"&lt;&gt;"&amp;H91,출고표[구매자명],E91,출고표[구매자연락처],G91)),0)</f>
        <v>0</v>
      </c>
    </row>
    <row r="92" spans="1:48" ht="20.100000000000001" customHeight="1">
      <c r="A92" s="55">
        <v>91</v>
      </c>
      <c r="B92" s="55" t="s">
        <v>562</v>
      </c>
      <c r="C92" s="64" t="s">
        <v>1546</v>
      </c>
      <c r="D92" s="55" t="s">
        <v>568</v>
      </c>
      <c r="E92" s="55" t="s">
        <v>1542</v>
      </c>
      <c r="F92" s="55" t="s">
        <v>1547</v>
      </c>
      <c r="G92" s="55" t="s">
        <v>1548</v>
      </c>
      <c r="H92" s="63">
        <v>45450</v>
      </c>
      <c r="I92" s="63">
        <v>45453</v>
      </c>
      <c r="J92" s="55" t="s">
        <v>563</v>
      </c>
      <c r="K92" s="64" t="s">
        <v>1545</v>
      </c>
      <c r="M92" s="55" t="s">
        <v>1542</v>
      </c>
      <c r="N92" s="55" t="s">
        <v>1548</v>
      </c>
      <c r="P92" s="55" t="s">
        <v>1549</v>
      </c>
      <c r="Q92" s="55" t="s">
        <v>1550</v>
      </c>
      <c r="R92" s="55" t="s">
        <v>36</v>
      </c>
      <c r="S92" s="55" t="s">
        <v>353</v>
      </c>
      <c r="T92" s="60">
        <v>1</v>
      </c>
      <c r="U92" s="60">
        <v>28350</v>
      </c>
      <c r="V92" s="60">
        <v>0</v>
      </c>
      <c r="W92" s="60">
        <v>0</v>
      </c>
      <c r="X92" s="60">
        <v>0</v>
      </c>
      <c r="Y92" s="60">
        <v>0</v>
      </c>
      <c r="Z92" s="60">
        <v>0</v>
      </c>
      <c r="AB92" s="60">
        <v>26780</v>
      </c>
      <c r="AC92" s="60">
        <v>16500</v>
      </c>
      <c r="AD92" s="60">
        <v>28350</v>
      </c>
      <c r="AE92" s="60">
        <v>16500</v>
      </c>
      <c r="AF92" s="60">
        <v>3368</v>
      </c>
      <c r="AG92" s="60">
        <v>8482</v>
      </c>
      <c r="AH92" s="61">
        <v>0.29920000000000002</v>
      </c>
      <c r="AL92" s="55" t="s">
        <v>35</v>
      </c>
      <c r="AM92" s="55" t="s">
        <v>822</v>
      </c>
      <c r="AN92" s="55" t="s">
        <v>834</v>
      </c>
      <c r="AP92" s="62">
        <f>IFERROR(IF(출고표[[#This Row],[클레임]]="반품",출고표[[#This Row],[배송비]],출고표[[#This Row],[결제액]]+출고표[[#This Row],[배송비]]+출고표[[#This Row],[제주/도서추가배송비]]),0)</f>
        <v>28350</v>
      </c>
      <c r="AQ9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16500</v>
      </c>
      <c r="AR9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3368</v>
      </c>
      <c r="AS9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8482</v>
      </c>
      <c r="AT9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0.29920000000000002</v>
      </c>
      <c r="AU9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2" s="60">
        <f>IFERROR(IF(D92="스마트스토어",COUNTIFS(출고표[구입일자],"&lt;&gt;"&amp;H92,출고표[구매자명],E92,출고표[구매자연락처],F92),COUNTIFS(출고표[구입일자],"&lt;&gt;"&amp;H92,출고표[구매자명],E92,출고표[구매자연락처],G92)),0)</f>
        <v>0</v>
      </c>
    </row>
    <row r="93" spans="1:48" ht="20.100000000000001" customHeight="1">
      <c r="A93" s="55">
        <v>92</v>
      </c>
      <c r="B93" s="55" t="s">
        <v>562</v>
      </c>
      <c r="C93" s="64" t="s">
        <v>1556</v>
      </c>
      <c r="D93" s="55" t="s">
        <v>568</v>
      </c>
      <c r="E93" s="55" t="s">
        <v>1554</v>
      </c>
      <c r="F93" s="55" t="s">
        <v>1557</v>
      </c>
      <c r="G93" s="55" t="s">
        <v>1558</v>
      </c>
      <c r="H93" s="63">
        <v>45450</v>
      </c>
      <c r="I93" s="63">
        <v>45453</v>
      </c>
      <c r="J93" s="55" t="s">
        <v>563</v>
      </c>
      <c r="K93" s="64" t="s">
        <v>1555</v>
      </c>
      <c r="M93" s="55" t="s">
        <v>1554</v>
      </c>
      <c r="N93" s="55" t="s">
        <v>1558</v>
      </c>
      <c r="P93" s="55" t="s">
        <v>1559</v>
      </c>
      <c r="Q93" s="55" t="s">
        <v>569</v>
      </c>
      <c r="R93" s="55" t="s">
        <v>34</v>
      </c>
      <c r="S93" s="55" t="s">
        <v>353</v>
      </c>
      <c r="T93" s="60">
        <v>1</v>
      </c>
      <c r="U93" s="60">
        <v>34020</v>
      </c>
      <c r="V93" s="60">
        <v>0</v>
      </c>
      <c r="W93" s="60">
        <v>3000</v>
      </c>
      <c r="X93" s="60">
        <v>0</v>
      </c>
      <c r="Y93" s="60">
        <v>3500</v>
      </c>
      <c r="Z93" s="60">
        <v>0</v>
      </c>
      <c r="AB93" s="60">
        <v>32130</v>
      </c>
      <c r="AC93" s="60">
        <v>19800</v>
      </c>
      <c r="AD93" s="60">
        <v>37020</v>
      </c>
      <c r="AE93" s="60">
        <v>23300</v>
      </c>
      <c r="AF93" s="60">
        <v>4141</v>
      </c>
      <c r="AG93" s="60">
        <v>9579</v>
      </c>
      <c r="AH93" s="61">
        <v>0.25879999999999997</v>
      </c>
      <c r="AL93" s="55" t="s">
        <v>33</v>
      </c>
      <c r="AN93" s="55" t="s">
        <v>834</v>
      </c>
      <c r="AP9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9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9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9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9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9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3" s="60">
        <f>IFERROR(IF(D93="스마트스토어",COUNTIFS(출고표[구입일자],"&lt;&gt;"&amp;H93,출고표[구매자명],E93,출고표[구매자연락처],F93),COUNTIFS(출고표[구입일자],"&lt;&gt;"&amp;H93,출고표[구매자명],E93,출고표[구매자연락처],G93)),0)</f>
        <v>0</v>
      </c>
    </row>
    <row r="94" spans="1:48" ht="20.100000000000001" customHeight="1">
      <c r="A94" s="55">
        <v>93</v>
      </c>
      <c r="B94" s="55" t="s">
        <v>562</v>
      </c>
      <c r="C94" s="64" t="s">
        <v>1563</v>
      </c>
      <c r="D94" s="55" t="s">
        <v>568</v>
      </c>
      <c r="E94" s="55" t="s">
        <v>1564</v>
      </c>
      <c r="F94" s="55" t="s">
        <v>1565</v>
      </c>
      <c r="G94" s="55" t="s">
        <v>1566</v>
      </c>
      <c r="H94" s="63">
        <v>45450</v>
      </c>
      <c r="I94" s="63">
        <v>45453</v>
      </c>
      <c r="J94" s="55" t="s">
        <v>563</v>
      </c>
      <c r="K94" s="64" t="s">
        <v>1562</v>
      </c>
      <c r="M94" s="55" t="s">
        <v>1561</v>
      </c>
      <c r="N94" s="55" t="s">
        <v>1566</v>
      </c>
      <c r="P94" s="55" t="s">
        <v>1567</v>
      </c>
      <c r="Q94" s="55" t="s">
        <v>571</v>
      </c>
      <c r="R94" s="55" t="s">
        <v>18</v>
      </c>
      <c r="S94" s="55" t="s">
        <v>353</v>
      </c>
      <c r="T94" s="60">
        <v>1</v>
      </c>
      <c r="U94" s="60">
        <v>12470</v>
      </c>
      <c r="V94" s="60">
        <v>0</v>
      </c>
      <c r="W94" s="60">
        <v>3000</v>
      </c>
      <c r="X94" s="60">
        <v>0</v>
      </c>
      <c r="Y94" s="60">
        <v>3000</v>
      </c>
      <c r="Z94" s="60">
        <v>0</v>
      </c>
      <c r="AB94" s="60">
        <v>11780</v>
      </c>
      <c r="AC94" s="60">
        <v>7260</v>
      </c>
      <c r="AD94" s="60">
        <v>15470</v>
      </c>
      <c r="AE94" s="60">
        <v>10260</v>
      </c>
      <c r="AF94" s="60">
        <v>1580</v>
      </c>
      <c r="AG94" s="60">
        <v>3630</v>
      </c>
      <c r="AH94" s="61">
        <v>0.2346</v>
      </c>
      <c r="AL94" s="55" t="s">
        <v>17</v>
      </c>
      <c r="AN94" s="55" t="s">
        <v>834</v>
      </c>
      <c r="AP94" s="62">
        <f>IFERROR(IF(출고표[[#This Row],[클레임]]="반품",출고표[[#This Row],[배송비]],출고표[[#This Row],[결제액]]+출고표[[#This Row],[배송비]]+출고표[[#This Row],[제주/도서추가배송비]]),0)</f>
        <v>15470</v>
      </c>
      <c r="AQ9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9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1580</v>
      </c>
      <c r="AS9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3630</v>
      </c>
      <c r="AT9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0.2346</v>
      </c>
      <c r="AU9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4" s="60">
        <f>IFERROR(IF(D94="스마트스토어",COUNTIFS(출고표[구입일자],"&lt;&gt;"&amp;H94,출고표[구매자명],E94,출고표[구매자연락처],F94),COUNTIFS(출고표[구입일자],"&lt;&gt;"&amp;H94,출고표[구매자명],E94,출고표[구매자연락처],G94)),0)</f>
        <v>0</v>
      </c>
    </row>
    <row r="95" spans="1:48" ht="20.100000000000001" customHeight="1">
      <c r="A95" s="55">
        <v>94</v>
      </c>
      <c r="B95" s="55" t="s">
        <v>562</v>
      </c>
      <c r="C95" s="64" t="s">
        <v>1571</v>
      </c>
      <c r="D95" s="55" t="s">
        <v>568</v>
      </c>
      <c r="E95" s="55" t="s">
        <v>1572</v>
      </c>
      <c r="F95" s="55" t="s">
        <v>1573</v>
      </c>
      <c r="G95" s="55" t="s">
        <v>1574</v>
      </c>
      <c r="H95" s="63">
        <v>45451</v>
      </c>
      <c r="I95" s="63">
        <v>45453</v>
      </c>
      <c r="J95" s="55" t="s">
        <v>563</v>
      </c>
      <c r="K95" s="64" t="s">
        <v>1570</v>
      </c>
      <c r="M95" s="55" t="s">
        <v>1569</v>
      </c>
      <c r="N95" s="55" t="s">
        <v>1574</v>
      </c>
      <c r="P95" s="55" t="s">
        <v>1575</v>
      </c>
      <c r="Q95" s="55" t="s">
        <v>571</v>
      </c>
      <c r="R95" s="55" t="s">
        <v>129</v>
      </c>
      <c r="S95" s="55" t="s">
        <v>353</v>
      </c>
      <c r="T95" s="60">
        <v>1</v>
      </c>
      <c r="U95" s="60">
        <v>1150</v>
      </c>
      <c r="V95" s="60">
        <v>0</v>
      </c>
      <c r="W95" s="60">
        <v>3000</v>
      </c>
      <c r="X95" s="60">
        <v>0</v>
      </c>
      <c r="Y95" s="60">
        <v>3000</v>
      </c>
      <c r="Z95" s="60">
        <v>0</v>
      </c>
      <c r="AB95" s="60">
        <v>1070</v>
      </c>
      <c r="AC95" s="60">
        <v>660</v>
      </c>
      <c r="AD95" s="60">
        <v>4150</v>
      </c>
      <c r="AE95" s="60">
        <v>3660</v>
      </c>
      <c r="AF95" s="60">
        <v>236</v>
      </c>
      <c r="AG95" s="60">
        <v>254</v>
      </c>
      <c r="AH95" s="61">
        <v>6.1199999999999997E-2</v>
      </c>
      <c r="AL95" s="55" t="s">
        <v>128</v>
      </c>
      <c r="AN95" s="55" t="s">
        <v>834</v>
      </c>
      <c r="AP95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9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9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9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9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9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5" s="60">
        <f>IFERROR(IF(D95="스마트스토어",COUNTIFS(출고표[구입일자],"&lt;&gt;"&amp;H95,출고표[구매자명],E95,출고표[구매자연락처],F95),COUNTIFS(출고표[구입일자],"&lt;&gt;"&amp;H95,출고표[구매자명],E95,출고표[구매자연락처],G95)),0)</f>
        <v>0</v>
      </c>
    </row>
    <row r="96" spans="1:48" ht="20.100000000000001" customHeight="1">
      <c r="A96" s="55">
        <v>95</v>
      </c>
      <c r="B96" s="55" t="s">
        <v>562</v>
      </c>
      <c r="C96" s="64" t="s">
        <v>1580</v>
      </c>
      <c r="D96" s="55" t="s">
        <v>568</v>
      </c>
      <c r="E96" s="55" t="s">
        <v>1577</v>
      </c>
      <c r="F96" s="55" t="s">
        <v>1581</v>
      </c>
      <c r="G96" s="55" t="s">
        <v>1582</v>
      </c>
      <c r="H96" s="63">
        <v>45451</v>
      </c>
      <c r="I96" s="63">
        <v>45453</v>
      </c>
      <c r="J96" s="55" t="s">
        <v>563</v>
      </c>
      <c r="K96" s="64" t="s">
        <v>1579</v>
      </c>
      <c r="M96" s="55" t="s">
        <v>1577</v>
      </c>
      <c r="N96" s="55" t="s">
        <v>1582</v>
      </c>
      <c r="P96" s="55" t="s">
        <v>1583</v>
      </c>
      <c r="Q96" s="55" t="s">
        <v>569</v>
      </c>
      <c r="R96" s="55" t="s">
        <v>20</v>
      </c>
      <c r="S96" s="55" t="s">
        <v>353</v>
      </c>
      <c r="T96" s="60">
        <v>1</v>
      </c>
      <c r="U96" s="60">
        <v>16630</v>
      </c>
      <c r="V96" s="60">
        <v>0</v>
      </c>
      <c r="W96" s="60">
        <v>3000</v>
      </c>
      <c r="X96" s="60">
        <v>0</v>
      </c>
      <c r="Y96" s="60">
        <v>3000</v>
      </c>
      <c r="Z96" s="60">
        <v>0</v>
      </c>
      <c r="AB96" s="60">
        <v>15710</v>
      </c>
      <c r="AC96" s="60">
        <v>9680</v>
      </c>
      <c r="AD96" s="60">
        <v>19630</v>
      </c>
      <c r="AE96" s="60">
        <v>12680</v>
      </c>
      <c r="AF96" s="60">
        <v>2075</v>
      </c>
      <c r="AG96" s="60">
        <v>4875</v>
      </c>
      <c r="AH96" s="61">
        <v>0.24829999999999999</v>
      </c>
      <c r="AL96" s="55" t="s">
        <v>19</v>
      </c>
      <c r="AN96" s="55" t="s">
        <v>834</v>
      </c>
      <c r="AP96" s="62">
        <f>IFERROR(IF(출고표[[#This Row],[클레임]]="반품",출고표[[#This Row],[배송비]],출고표[[#This Row],[결제액]]+출고표[[#This Row],[배송비]]+출고표[[#This Row],[제주/도서추가배송비]]),0)</f>
        <v>19630</v>
      </c>
      <c r="AQ9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12680</v>
      </c>
      <c r="AR9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2075</v>
      </c>
      <c r="AS9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4875</v>
      </c>
      <c r="AT9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0.24829999999999999</v>
      </c>
      <c r="AU9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6" s="60">
        <f>IFERROR(IF(D96="스마트스토어",COUNTIFS(출고표[구입일자],"&lt;&gt;"&amp;H96,출고표[구매자명],E96,출고표[구매자연락처],F96),COUNTIFS(출고표[구입일자],"&lt;&gt;"&amp;H96,출고표[구매자명],E96,출고표[구매자연락처],G96)),0)</f>
        <v>0</v>
      </c>
    </row>
    <row r="97" spans="1:48" ht="20.100000000000001" customHeight="1">
      <c r="A97" s="55">
        <v>96</v>
      </c>
      <c r="B97" s="55" t="s">
        <v>562</v>
      </c>
      <c r="C97" s="64" t="s">
        <v>1588</v>
      </c>
      <c r="D97" s="55" t="s">
        <v>568</v>
      </c>
      <c r="E97" s="55" t="s">
        <v>1585</v>
      </c>
      <c r="F97" s="55" t="s">
        <v>1399</v>
      </c>
      <c r="G97" s="55" t="s">
        <v>1589</v>
      </c>
      <c r="H97" s="63">
        <v>45451</v>
      </c>
      <c r="I97" s="63">
        <v>45453</v>
      </c>
      <c r="J97" s="55" t="s">
        <v>563</v>
      </c>
      <c r="K97" s="64" t="s">
        <v>1587</v>
      </c>
      <c r="M97" s="55" t="s">
        <v>1585</v>
      </c>
      <c r="N97" s="55" t="s">
        <v>1589</v>
      </c>
      <c r="P97" s="55" t="s">
        <v>1590</v>
      </c>
      <c r="Q97" s="55" t="s">
        <v>571</v>
      </c>
      <c r="R97" s="55" t="s">
        <v>104</v>
      </c>
      <c r="S97" s="55" t="s">
        <v>353</v>
      </c>
      <c r="T97" s="60">
        <v>2</v>
      </c>
      <c r="U97" s="60">
        <v>7700</v>
      </c>
      <c r="V97" s="60">
        <v>0</v>
      </c>
      <c r="W97" s="60">
        <v>0</v>
      </c>
      <c r="X97" s="60">
        <v>0</v>
      </c>
      <c r="Y97" s="60">
        <v>3500</v>
      </c>
      <c r="Z97" s="60">
        <v>0</v>
      </c>
      <c r="AB97" s="60">
        <v>3570</v>
      </c>
      <c r="AC97" s="60">
        <v>2200</v>
      </c>
      <c r="AD97" s="60">
        <v>7700</v>
      </c>
      <c r="AE97" s="60">
        <v>7900</v>
      </c>
      <c r="AF97" s="60">
        <v>915</v>
      </c>
      <c r="AG97" s="60">
        <v>-1115</v>
      </c>
      <c r="AH97" s="61">
        <v>-0.14480000000000001</v>
      </c>
      <c r="AL97" s="55" t="s">
        <v>1979</v>
      </c>
      <c r="AN97" s="55" t="s">
        <v>834</v>
      </c>
      <c r="AP97" s="62">
        <f>IFERROR(IF(출고표[[#This Row],[클레임]]="반품",출고표[[#This Row],[배송비]],출고표[[#This Row],[결제액]]+출고표[[#This Row],[배송비]]+출고표[[#This Row],[제주/도서추가배송비]]),0)</f>
        <v>7700</v>
      </c>
      <c r="AQ9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7900</v>
      </c>
      <c r="AR9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915</v>
      </c>
      <c r="AS9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-1115</v>
      </c>
      <c r="AT9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-0.14480000000000001</v>
      </c>
      <c r="AU9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7" s="60">
        <f>IFERROR(IF(D97="스마트스토어",COUNTIFS(출고표[구입일자],"&lt;&gt;"&amp;H97,출고표[구매자명],E97,출고표[구매자연락처],F97),COUNTIFS(출고표[구입일자],"&lt;&gt;"&amp;H97,출고표[구매자명],E97,출고표[구매자연락처],G97)),0)</f>
        <v>0</v>
      </c>
    </row>
    <row r="98" spans="1:48" ht="20.100000000000001" customHeight="1">
      <c r="A98" s="55">
        <v>97</v>
      </c>
      <c r="B98" s="55" t="s">
        <v>562</v>
      </c>
      <c r="C98" s="64" t="s">
        <v>1588</v>
      </c>
      <c r="D98" s="55" t="s">
        <v>568</v>
      </c>
      <c r="E98" s="55" t="s">
        <v>1585</v>
      </c>
      <c r="F98" s="55" t="s">
        <v>1399</v>
      </c>
      <c r="G98" s="55" t="s">
        <v>1589</v>
      </c>
      <c r="H98" s="63">
        <v>45451</v>
      </c>
      <c r="I98" s="63">
        <v>45453</v>
      </c>
      <c r="J98" s="55" t="s">
        <v>563</v>
      </c>
      <c r="K98" s="64" t="s">
        <v>1587</v>
      </c>
      <c r="M98" s="55" t="s">
        <v>1585</v>
      </c>
      <c r="N98" s="55" t="s">
        <v>1589</v>
      </c>
      <c r="P98" s="55" t="s">
        <v>1590</v>
      </c>
      <c r="Q98" s="55" t="s">
        <v>571</v>
      </c>
      <c r="R98" s="55" t="s">
        <v>98</v>
      </c>
      <c r="S98" s="55" t="s">
        <v>353</v>
      </c>
      <c r="T98" s="60">
        <v>2</v>
      </c>
      <c r="U98" s="60">
        <v>12240</v>
      </c>
      <c r="V98" s="60">
        <v>1360</v>
      </c>
      <c r="W98" s="60">
        <v>0</v>
      </c>
      <c r="X98" s="60">
        <v>0</v>
      </c>
      <c r="Y98" s="60">
        <v>0</v>
      </c>
      <c r="Z98" s="60">
        <v>0</v>
      </c>
      <c r="AB98" s="60">
        <v>6430</v>
      </c>
      <c r="AC98" s="60">
        <v>3960</v>
      </c>
      <c r="AD98" s="60">
        <v>12240</v>
      </c>
      <c r="AE98" s="60">
        <v>7920</v>
      </c>
      <c r="AF98" s="60">
        <v>1454</v>
      </c>
      <c r="AG98" s="60">
        <v>2866</v>
      </c>
      <c r="AH98" s="61">
        <v>0.23419999999999999</v>
      </c>
      <c r="AL98" s="55" t="s">
        <v>1980</v>
      </c>
      <c r="AM98" s="55" t="s">
        <v>822</v>
      </c>
      <c r="AN98" s="55" t="s">
        <v>834</v>
      </c>
      <c r="AP98" s="62">
        <f>IFERROR(IF(출고표[[#This Row],[클레임]]="반품",출고표[[#This Row],[배송비]],출고표[[#This Row],[결제액]]+출고표[[#This Row],[배송비]]+출고표[[#This Row],[제주/도서추가배송비]]),0)</f>
        <v>12240</v>
      </c>
      <c r="AQ9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7920</v>
      </c>
      <c r="AR9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1454</v>
      </c>
      <c r="AS9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9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0.23419999999999999</v>
      </c>
      <c r="AU9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8" s="60">
        <f>IFERROR(IF(D98="스마트스토어",COUNTIFS(출고표[구입일자],"&lt;&gt;"&amp;H98,출고표[구매자명],E98,출고표[구매자연락처],F98),COUNTIFS(출고표[구입일자],"&lt;&gt;"&amp;H98,출고표[구매자명],E98,출고표[구매자연락처],G98)),0)</f>
        <v>0</v>
      </c>
    </row>
    <row r="99" spans="1:48" ht="20.100000000000001" customHeight="1">
      <c r="A99" s="55">
        <v>98</v>
      </c>
      <c r="B99" s="55" t="s">
        <v>562</v>
      </c>
      <c r="C99" s="64" t="s">
        <v>1588</v>
      </c>
      <c r="D99" s="55" t="s">
        <v>568</v>
      </c>
      <c r="E99" s="55" t="s">
        <v>1585</v>
      </c>
      <c r="F99" s="55" t="s">
        <v>1399</v>
      </c>
      <c r="G99" s="55" t="s">
        <v>1589</v>
      </c>
      <c r="H99" s="63">
        <v>45451</v>
      </c>
      <c r="I99" s="63">
        <v>45453</v>
      </c>
      <c r="J99" s="55" t="s">
        <v>563</v>
      </c>
      <c r="K99" s="64" t="s">
        <v>1587</v>
      </c>
      <c r="M99" s="55" t="s">
        <v>1585</v>
      </c>
      <c r="N99" s="55" t="s">
        <v>1589</v>
      </c>
      <c r="P99" s="55" t="s">
        <v>1590</v>
      </c>
      <c r="Q99" s="55" t="s">
        <v>571</v>
      </c>
      <c r="R99" s="55" t="s">
        <v>96</v>
      </c>
      <c r="S99" s="55" t="s">
        <v>353</v>
      </c>
      <c r="T99" s="60">
        <v>1</v>
      </c>
      <c r="U99" s="60">
        <v>5320</v>
      </c>
      <c r="V99" s="60">
        <v>0</v>
      </c>
      <c r="W99" s="60">
        <v>0</v>
      </c>
      <c r="X99" s="60">
        <v>0</v>
      </c>
      <c r="Y99" s="60">
        <v>0</v>
      </c>
      <c r="Z99" s="60">
        <v>0</v>
      </c>
      <c r="AB99" s="60">
        <v>4910</v>
      </c>
      <c r="AC99" s="60">
        <v>3025</v>
      </c>
      <c r="AD99" s="60">
        <v>5320</v>
      </c>
      <c r="AE99" s="60">
        <v>3025</v>
      </c>
      <c r="AF99" s="60">
        <v>632</v>
      </c>
      <c r="AG99" s="60">
        <v>1663</v>
      </c>
      <c r="AH99" s="61">
        <v>0.31259999999999999</v>
      </c>
      <c r="AL99" s="55" t="s">
        <v>1981</v>
      </c>
      <c r="AM99" s="55" t="s">
        <v>822</v>
      </c>
      <c r="AN99" s="55" t="s">
        <v>834</v>
      </c>
      <c r="AP99" s="62">
        <f>IFERROR(IF(출고표[[#This Row],[클레임]]="반품",출고표[[#This Row],[배송비]],출고표[[#This Row],[결제액]]+출고표[[#This Row],[배송비]]+출고표[[#This Row],[제주/도서추가배송비]]),0)</f>
        <v>5320</v>
      </c>
      <c r="AQ9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3025</v>
      </c>
      <c r="AR9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632</v>
      </c>
      <c r="AS9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1663</v>
      </c>
      <c r="AT9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0.31259999999999999</v>
      </c>
      <c r="AU9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99" s="60">
        <f>IFERROR(IF(D99="스마트스토어",COUNTIFS(출고표[구입일자],"&lt;&gt;"&amp;H99,출고표[구매자명],E99,출고표[구매자연락처],F99),COUNTIFS(출고표[구입일자],"&lt;&gt;"&amp;H99,출고표[구매자명],E99,출고표[구매자연락처],G99)),0)</f>
        <v>0</v>
      </c>
    </row>
    <row r="100" spans="1:48" ht="20.100000000000001" customHeight="1">
      <c r="A100" s="55">
        <v>99</v>
      </c>
      <c r="B100" s="55" t="s">
        <v>562</v>
      </c>
      <c r="C100" s="64" t="s">
        <v>1595</v>
      </c>
      <c r="D100" s="55" t="s">
        <v>568</v>
      </c>
      <c r="E100" s="55" t="s">
        <v>1237</v>
      </c>
      <c r="F100" s="55" t="s">
        <v>1240</v>
      </c>
      <c r="G100" s="55" t="s">
        <v>1596</v>
      </c>
      <c r="H100" s="63">
        <v>45451</v>
      </c>
      <c r="I100" s="63">
        <v>45453</v>
      </c>
      <c r="J100" s="55" t="s">
        <v>563</v>
      </c>
      <c r="K100" s="64" t="s">
        <v>1594</v>
      </c>
      <c r="M100" s="55" t="s">
        <v>1237</v>
      </c>
      <c r="N100" s="55" t="s">
        <v>1596</v>
      </c>
      <c r="P100" s="55" t="s">
        <v>1242</v>
      </c>
      <c r="Q100" s="55" t="s">
        <v>571</v>
      </c>
      <c r="R100" s="55" t="s">
        <v>129</v>
      </c>
      <c r="S100" s="55" t="s">
        <v>353</v>
      </c>
      <c r="T100" s="60">
        <v>20</v>
      </c>
      <c r="U100" s="60">
        <v>23000</v>
      </c>
      <c r="V100" s="60">
        <v>0</v>
      </c>
      <c r="W100" s="60">
        <v>3000</v>
      </c>
      <c r="X100" s="60">
        <v>0</v>
      </c>
      <c r="Y100" s="60">
        <v>3500</v>
      </c>
      <c r="Z100" s="60">
        <v>0</v>
      </c>
      <c r="AB100" s="60">
        <v>1070</v>
      </c>
      <c r="AC100" s="60">
        <v>660</v>
      </c>
      <c r="AD100" s="60">
        <v>26000</v>
      </c>
      <c r="AE100" s="60">
        <v>16700</v>
      </c>
      <c r="AF100" s="60">
        <v>2831</v>
      </c>
      <c r="AG100" s="60">
        <v>6469</v>
      </c>
      <c r="AH100" s="61">
        <v>0.24879999999999999</v>
      </c>
      <c r="AL100" s="55" t="s">
        <v>128</v>
      </c>
      <c r="AM100" s="55" t="s">
        <v>822</v>
      </c>
      <c r="AN100" s="55" t="s">
        <v>834</v>
      </c>
      <c r="AP100" s="62">
        <f>IFERROR(IF(출고표[[#This Row],[클레임]]="반품",출고표[[#This Row],[배송비]],출고표[[#This Row],[결제액]]+출고표[[#This Row],[배송비]]+출고표[[#This Row],[제주/도서추가배송비]]),0)</f>
        <v>26000</v>
      </c>
      <c r="AQ10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16700</v>
      </c>
      <c r="AR10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0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6469</v>
      </c>
      <c r="AT10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0.24879999999999999</v>
      </c>
      <c r="AU10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0" s="60">
        <f>IFERROR(IF(D100="스마트스토어",COUNTIFS(출고표[구입일자],"&lt;&gt;"&amp;H100,출고표[구매자명],E100,출고표[구매자연락처],F100),COUNTIFS(출고표[구입일자],"&lt;&gt;"&amp;H100,출고표[구매자명],E100,출고표[구매자연락처],G100)),0)</f>
        <v>0</v>
      </c>
    </row>
    <row r="101" spans="1:48" ht="20.100000000000001" customHeight="1">
      <c r="A101" s="55">
        <v>100</v>
      </c>
      <c r="B101" s="55" t="s">
        <v>562</v>
      </c>
      <c r="C101" s="64" t="s">
        <v>1602</v>
      </c>
      <c r="D101" s="55" t="s">
        <v>568</v>
      </c>
      <c r="E101" s="55" t="s">
        <v>1598</v>
      </c>
      <c r="F101" s="55" t="s">
        <v>1603</v>
      </c>
      <c r="G101" s="55" t="s">
        <v>1604</v>
      </c>
      <c r="H101" s="63">
        <v>45452</v>
      </c>
      <c r="I101" s="63">
        <v>45453</v>
      </c>
      <c r="J101" s="55" t="s">
        <v>563</v>
      </c>
      <c r="K101" s="64" t="s">
        <v>1601</v>
      </c>
      <c r="M101" s="55" t="s">
        <v>1598</v>
      </c>
      <c r="N101" s="55" t="s">
        <v>1604</v>
      </c>
      <c r="P101" s="55" t="s">
        <v>1605</v>
      </c>
      <c r="Q101" s="55" t="s">
        <v>571</v>
      </c>
      <c r="R101" s="55" t="s">
        <v>44</v>
      </c>
      <c r="S101" s="55" t="s">
        <v>353</v>
      </c>
      <c r="T101" s="60">
        <v>1</v>
      </c>
      <c r="U101" s="60">
        <v>17010</v>
      </c>
      <c r="V101" s="60">
        <v>0</v>
      </c>
      <c r="W101" s="60">
        <v>3000</v>
      </c>
      <c r="X101" s="60">
        <v>0</v>
      </c>
      <c r="Y101" s="60">
        <v>3000</v>
      </c>
      <c r="Z101" s="60">
        <v>0</v>
      </c>
      <c r="AB101" s="60">
        <v>16070</v>
      </c>
      <c r="AC101" s="60">
        <v>9900</v>
      </c>
      <c r="AD101" s="60">
        <v>20010</v>
      </c>
      <c r="AE101" s="60">
        <v>12900</v>
      </c>
      <c r="AF101" s="60">
        <v>2120</v>
      </c>
      <c r="AG101" s="60">
        <v>4990</v>
      </c>
      <c r="AH101" s="61">
        <v>0.24940000000000001</v>
      </c>
      <c r="AL101" s="55" t="s">
        <v>43</v>
      </c>
      <c r="AN101" s="55" t="s">
        <v>834</v>
      </c>
      <c r="AP101" s="62">
        <f>IFERROR(IF(출고표[[#This Row],[클레임]]="반품",출고표[[#This Row],[배송비]],출고표[[#This Row],[결제액]]+출고표[[#This Row],[배송비]]+출고표[[#This Row],[제주/도서추가배송비]]),0)</f>
        <v>20010</v>
      </c>
      <c r="AQ10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12900</v>
      </c>
      <c r="AR10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2120</v>
      </c>
      <c r="AS10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4990</v>
      </c>
      <c r="AT10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0.24940000000000001</v>
      </c>
      <c r="AU10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1" s="60">
        <f>IFERROR(IF(D101="스마트스토어",COUNTIFS(출고표[구입일자],"&lt;&gt;"&amp;H101,출고표[구매자명],E101,출고표[구매자연락처],F101),COUNTIFS(출고표[구입일자],"&lt;&gt;"&amp;H101,출고표[구매자명],E101,출고표[구매자연락처],G101)),0)</f>
        <v>0</v>
      </c>
    </row>
    <row r="102" spans="1:48" ht="20.100000000000001" customHeight="1">
      <c r="A102" s="55">
        <v>101</v>
      </c>
      <c r="B102" s="55" t="s">
        <v>562</v>
      </c>
      <c r="C102" s="64" t="s">
        <v>1611</v>
      </c>
      <c r="D102" s="55" t="s">
        <v>568</v>
      </c>
      <c r="E102" s="55" t="s">
        <v>1612</v>
      </c>
      <c r="F102" s="55" t="s">
        <v>1613</v>
      </c>
      <c r="G102" s="55" t="s">
        <v>1614</v>
      </c>
      <c r="H102" s="63">
        <v>45452</v>
      </c>
      <c r="I102" s="63">
        <v>45453</v>
      </c>
      <c r="J102" s="55" t="s">
        <v>563</v>
      </c>
      <c r="K102" s="64" t="s">
        <v>1610</v>
      </c>
      <c r="M102" s="55" t="s">
        <v>1607</v>
      </c>
      <c r="N102" s="55" t="s">
        <v>1614</v>
      </c>
      <c r="P102" s="55" t="s">
        <v>1615</v>
      </c>
      <c r="Q102" s="55" t="s">
        <v>571</v>
      </c>
      <c r="R102" s="55" t="s">
        <v>82</v>
      </c>
      <c r="S102" s="55" t="s">
        <v>387</v>
      </c>
      <c r="T102" s="60">
        <v>2</v>
      </c>
      <c r="U102" s="60">
        <v>12560</v>
      </c>
      <c r="V102" s="60">
        <v>680</v>
      </c>
      <c r="W102" s="60">
        <v>0</v>
      </c>
      <c r="X102" s="60">
        <v>0</v>
      </c>
      <c r="Y102" s="60">
        <v>3500</v>
      </c>
      <c r="Z102" s="60">
        <v>0</v>
      </c>
      <c r="AB102" s="60">
        <v>5890</v>
      </c>
      <c r="AC102" s="60">
        <v>3740</v>
      </c>
      <c r="AD102" s="60">
        <v>12560</v>
      </c>
      <c r="AE102" s="60">
        <v>10980</v>
      </c>
      <c r="AF102" s="60">
        <v>1492</v>
      </c>
      <c r="AG102" s="60">
        <v>88</v>
      </c>
      <c r="AH102" s="61">
        <v>7.0000000000000001E-3</v>
      </c>
      <c r="AL102" s="55" t="s">
        <v>81</v>
      </c>
      <c r="AN102" s="55" t="s">
        <v>834</v>
      </c>
      <c r="AP102" s="62">
        <f>IFERROR(IF(출고표[[#This Row],[클레임]]="반품",출고표[[#This Row],[배송비]],출고표[[#This Row],[결제액]]+출고표[[#This Row],[배송비]]+출고표[[#This Row],[제주/도서추가배송비]]),0)</f>
        <v>12560</v>
      </c>
      <c r="AQ10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10980</v>
      </c>
      <c r="AR10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1492</v>
      </c>
      <c r="AS10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88</v>
      </c>
      <c r="AT10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7.0000000000000001E-3</v>
      </c>
      <c r="AU10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2" s="60">
        <f>IFERROR(IF(D102="스마트스토어",COUNTIFS(출고표[구입일자],"&lt;&gt;"&amp;H102,출고표[구매자명],E102,출고표[구매자연락처],F102),COUNTIFS(출고표[구입일자],"&lt;&gt;"&amp;H102,출고표[구매자명],E102,출고표[구매자연락처],G102)),0)</f>
        <v>0</v>
      </c>
    </row>
    <row r="103" spans="1:48" ht="20.100000000000001" customHeight="1">
      <c r="A103" s="55">
        <v>102</v>
      </c>
      <c r="B103" s="55" t="s">
        <v>562</v>
      </c>
      <c r="C103" s="64" t="s">
        <v>1619</v>
      </c>
      <c r="D103" s="55" t="s">
        <v>568</v>
      </c>
      <c r="E103" s="55" t="s">
        <v>1617</v>
      </c>
      <c r="F103" s="55" t="s">
        <v>1620</v>
      </c>
      <c r="G103" s="55" t="s">
        <v>1621</v>
      </c>
      <c r="H103" s="63">
        <v>45452</v>
      </c>
      <c r="I103" s="63">
        <v>45453</v>
      </c>
      <c r="J103" s="55" t="s">
        <v>563</v>
      </c>
      <c r="K103" s="64" t="s">
        <v>1618</v>
      </c>
      <c r="M103" s="55" t="s">
        <v>1617</v>
      </c>
      <c r="N103" s="55" t="s">
        <v>1621</v>
      </c>
      <c r="P103" s="55" t="s">
        <v>1622</v>
      </c>
      <c r="Q103" s="55" t="s">
        <v>571</v>
      </c>
      <c r="R103" s="55" t="s">
        <v>34</v>
      </c>
      <c r="S103" s="55" t="s">
        <v>353</v>
      </c>
      <c r="T103" s="60">
        <v>1</v>
      </c>
      <c r="U103" s="60">
        <v>34020</v>
      </c>
      <c r="V103" s="60">
        <v>0</v>
      </c>
      <c r="W103" s="60">
        <v>3000</v>
      </c>
      <c r="X103" s="60">
        <v>0</v>
      </c>
      <c r="Y103" s="60">
        <v>3500</v>
      </c>
      <c r="Z103" s="60">
        <v>0</v>
      </c>
      <c r="AB103" s="60">
        <v>32130</v>
      </c>
      <c r="AC103" s="60">
        <v>19800</v>
      </c>
      <c r="AD103" s="60">
        <v>37020</v>
      </c>
      <c r="AE103" s="60">
        <v>23300</v>
      </c>
      <c r="AF103" s="60">
        <v>4141</v>
      </c>
      <c r="AG103" s="60">
        <v>9579</v>
      </c>
      <c r="AH103" s="61">
        <v>0.25879999999999997</v>
      </c>
      <c r="AL103" s="55" t="s">
        <v>33</v>
      </c>
      <c r="AN103" s="55" t="s">
        <v>834</v>
      </c>
      <c r="AP10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0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0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0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0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0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3" s="60">
        <f>IFERROR(IF(D103="스마트스토어",COUNTIFS(출고표[구입일자],"&lt;&gt;"&amp;H103,출고표[구매자명],E103,출고표[구매자연락처],F103),COUNTIFS(출고표[구입일자],"&lt;&gt;"&amp;H103,출고표[구매자명],E103,출고표[구매자연락처],G103)),0)</f>
        <v>0</v>
      </c>
    </row>
    <row r="104" spans="1:48" ht="20.100000000000001" customHeight="1">
      <c r="A104" s="55">
        <v>103</v>
      </c>
      <c r="B104" s="55" t="s">
        <v>562</v>
      </c>
      <c r="C104" s="64" t="s">
        <v>1626</v>
      </c>
      <c r="D104" s="55" t="s">
        <v>568</v>
      </c>
      <c r="E104" s="55" t="s">
        <v>1624</v>
      </c>
      <c r="F104" s="55" t="s">
        <v>707</v>
      </c>
      <c r="G104" s="55" t="s">
        <v>1627</v>
      </c>
      <c r="H104" s="63">
        <v>45453</v>
      </c>
      <c r="I104" s="63">
        <v>45453</v>
      </c>
      <c r="J104" s="55" t="s">
        <v>563</v>
      </c>
      <c r="K104" s="64" t="s">
        <v>1625</v>
      </c>
      <c r="M104" s="55" t="s">
        <v>1624</v>
      </c>
      <c r="N104" s="55" t="s">
        <v>1627</v>
      </c>
      <c r="P104" s="55" t="s">
        <v>1628</v>
      </c>
      <c r="Q104" s="55" t="s">
        <v>1629</v>
      </c>
      <c r="R104" s="55" t="s">
        <v>133</v>
      </c>
      <c r="S104" s="55" t="s">
        <v>353</v>
      </c>
      <c r="T104" s="60">
        <v>40</v>
      </c>
      <c r="U104" s="60">
        <v>37600</v>
      </c>
      <c r="V104" s="60">
        <v>0</v>
      </c>
      <c r="W104" s="60">
        <v>0</v>
      </c>
      <c r="X104" s="60">
        <v>0</v>
      </c>
      <c r="Y104" s="60">
        <v>3500</v>
      </c>
      <c r="Z104" s="60">
        <v>0</v>
      </c>
      <c r="AB104" s="60">
        <v>890</v>
      </c>
      <c r="AC104" s="60">
        <v>550</v>
      </c>
      <c r="AD104" s="60">
        <v>37600</v>
      </c>
      <c r="AE104" s="60">
        <v>25500</v>
      </c>
      <c r="AF104" s="60">
        <v>4467</v>
      </c>
      <c r="AG104" s="60">
        <v>7633</v>
      </c>
      <c r="AH104" s="61">
        <v>0.20300000000000001</v>
      </c>
      <c r="AL104" s="55" t="s">
        <v>132</v>
      </c>
      <c r="AN104" s="55" t="s">
        <v>834</v>
      </c>
      <c r="AP104" s="62">
        <f>IFERROR(IF(출고표[[#This Row],[클레임]]="반품",출고표[[#This Row],[배송비]],출고표[[#This Row],[결제액]]+출고표[[#This Row],[배송비]]+출고표[[#This Row],[제주/도서추가배송비]]),0)</f>
        <v>37600</v>
      </c>
      <c r="AQ10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25500</v>
      </c>
      <c r="AR10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4467</v>
      </c>
      <c r="AS10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7633</v>
      </c>
      <c r="AT10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0.20300000000000001</v>
      </c>
      <c r="AU10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4" s="60">
        <f>IFERROR(IF(D104="스마트스토어",COUNTIFS(출고표[구입일자],"&lt;&gt;"&amp;H104,출고표[구매자명],E104,출고표[구매자연락처],F104),COUNTIFS(출고표[구입일자],"&lt;&gt;"&amp;H104,출고표[구매자명],E104,출고표[구매자연락처],G104)),0)</f>
        <v>0</v>
      </c>
    </row>
    <row r="105" spans="1:48" ht="20.100000000000001" customHeight="1">
      <c r="A105" s="55">
        <v>104</v>
      </c>
      <c r="B105" s="55" t="s">
        <v>673</v>
      </c>
      <c r="C105" s="64" t="s">
        <v>1633</v>
      </c>
      <c r="D105" s="55" t="s">
        <v>568</v>
      </c>
      <c r="E105" s="55" t="s">
        <v>1634</v>
      </c>
      <c r="F105" s="55" t="s">
        <v>1635</v>
      </c>
      <c r="G105" s="55" t="s">
        <v>1636</v>
      </c>
      <c r="H105" s="63">
        <v>45453</v>
      </c>
      <c r="I105" s="63">
        <v>45453</v>
      </c>
      <c r="J105" s="55" t="s">
        <v>563</v>
      </c>
      <c r="K105" s="64" t="s">
        <v>1632</v>
      </c>
      <c r="M105" s="55" t="s">
        <v>1631</v>
      </c>
      <c r="N105" s="55" t="s">
        <v>1636</v>
      </c>
      <c r="P105" s="55" t="s">
        <v>1637</v>
      </c>
      <c r="Q105" s="55" t="s">
        <v>571</v>
      </c>
      <c r="R105" s="55" t="s">
        <v>26</v>
      </c>
      <c r="S105" s="55" t="s">
        <v>353</v>
      </c>
      <c r="T105" s="60">
        <v>10</v>
      </c>
      <c r="U105" s="60">
        <v>230200</v>
      </c>
      <c r="V105" s="60">
        <v>0</v>
      </c>
      <c r="W105" s="60">
        <v>0</v>
      </c>
      <c r="X105" s="60">
        <v>0</v>
      </c>
      <c r="Y105" s="60">
        <v>5500</v>
      </c>
      <c r="Z105" s="60">
        <v>0</v>
      </c>
      <c r="AB105" s="60">
        <v>23020</v>
      </c>
      <c r="AC105" s="60">
        <v>15070</v>
      </c>
      <c r="AD105" s="60">
        <v>230200</v>
      </c>
      <c r="AE105" s="60">
        <v>0</v>
      </c>
      <c r="AF105" s="60">
        <v>27348</v>
      </c>
      <c r="AG105" s="60">
        <v>0</v>
      </c>
      <c r="AL105" s="55" t="s">
        <v>25</v>
      </c>
      <c r="AN105" s="55" t="s">
        <v>834</v>
      </c>
      <c r="AP105" s="62">
        <f>IFERROR(IF(출고표[[#This Row],[클레임]]="반품",출고표[[#This Row],[배송비]],출고표[[#This Row],[결제액]]+출고표[[#This Row],[배송비]]+출고표[[#This Row],[제주/도서추가배송비]]),0)</f>
        <v>230200</v>
      </c>
      <c r="AQ10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5" s="60">
        <f>IFERROR(IF(D105="스마트스토어",COUNTIFS(출고표[구입일자],"&lt;&gt;"&amp;H105,출고표[구매자명],E105,출고표[구매자연락처],F105),COUNTIFS(출고표[구입일자],"&lt;&gt;"&amp;H105,출고표[구매자명],E105,출고표[구매자연락처],G105)),0)</f>
        <v>1</v>
      </c>
    </row>
    <row r="106" spans="1:48" ht="20.100000000000001" customHeight="1">
      <c r="A106" s="55">
        <v>105</v>
      </c>
      <c r="B106" s="55" t="s">
        <v>673</v>
      </c>
      <c r="C106" s="64" t="s">
        <v>1641</v>
      </c>
      <c r="D106" s="55" t="s">
        <v>568</v>
      </c>
      <c r="E106" s="55" t="s">
        <v>1642</v>
      </c>
      <c r="F106" s="55" t="s">
        <v>1643</v>
      </c>
      <c r="G106" s="55" t="s">
        <v>1644</v>
      </c>
      <c r="H106" s="63">
        <v>45451</v>
      </c>
      <c r="I106" s="63">
        <v>45453</v>
      </c>
      <c r="J106" s="55" t="s">
        <v>563</v>
      </c>
      <c r="K106" s="64" t="s">
        <v>1640</v>
      </c>
      <c r="M106" s="55" t="s">
        <v>1638</v>
      </c>
      <c r="N106" s="55" t="s">
        <v>1644</v>
      </c>
      <c r="P106" s="55" t="s">
        <v>1645</v>
      </c>
      <c r="Q106" s="55" t="s">
        <v>571</v>
      </c>
      <c r="R106" s="55" t="s">
        <v>22</v>
      </c>
      <c r="S106" s="55" t="s">
        <v>353</v>
      </c>
      <c r="T106" s="60">
        <v>1</v>
      </c>
      <c r="U106" s="60">
        <v>19320</v>
      </c>
      <c r="V106" s="60">
        <v>0</v>
      </c>
      <c r="W106" s="60">
        <v>3000</v>
      </c>
      <c r="X106" s="60">
        <v>0</v>
      </c>
      <c r="Y106" s="60">
        <v>3000</v>
      </c>
      <c r="Z106" s="60">
        <v>0</v>
      </c>
      <c r="AB106" s="60">
        <v>19320</v>
      </c>
      <c r="AC106" s="60">
        <v>12650</v>
      </c>
      <c r="AD106" s="60">
        <v>22320</v>
      </c>
      <c r="AE106" s="60">
        <v>0</v>
      </c>
      <c r="AF106" s="60">
        <v>2394</v>
      </c>
      <c r="AG106" s="60">
        <v>0</v>
      </c>
      <c r="AL106" s="55" t="s">
        <v>21</v>
      </c>
      <c r="AN106" s="55" t="s">
        <v>834</v>
      </c>
      <c r="AP106" s="62">
        <f>IFERROR(IF(출고표[[#This Row],[클레임]]="반품",출고표[[#This Row],[배송비]],출고표[[#This Row],[결제액]]+출고표[[#This Row],[배송비]]+출고표[[#This Row],[제주/도서추가배송비]]),0)</f>
        <v>22320</v>
      </c>
      <c r="AQ10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2394</v>
      </c>
      <c r="AS10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6" s="60">
        <f>IFERROR(IF(D106="스마트스토어",COUNTIFS(출고표[구입일자],"&lt;&gt;"&amp;H106,출고표[구매자명],E106,출고표[구매자연락처],F106),COUNTIFS(출고표[구입일자],"&lt;&gt;"&amp;H106,출고표[구매자명],E106,출고표[구매자연락처],G106)),0)</f>
        <v>0</v>
      </c>
    </row>
    <row r="107" spans="1:48" ht="20.100000000000001" customHeight="1">
      <c r="A107" s="55">
        <v>106</v>
      </c>
      <c r="B107" s="55" t="s">
        <v>673</v>
      </c>
      <c r="C107" s="64" t="s">
        <v>1648</v>
      </c>
      <c r="D107" s="55" t="s">
        <v>568</v>
      </c>
      <c r="E107" s="55" t="s">
        <v>1634</v>
      </c>
      <c r="F107" s="55" t="s">
        <v>1635</v>
      </c>
      <c r="G107" s="55" t="s">
        <v>1636</v>
      </c>
      <c r="H107" s="63">
        <v>45452</v>
      </c>
      <c r="I107" s="63">
        <v>45453</v>
      </c>
      <c r="J107" s="55" t="s">
        <v>563</v>
      </c>
      <c r="K107" s="64" t="s">
        <v>1647</v>
      </c>
      <c r="M107" s="55" t="s">
        <v>1631</v>
      </c>
      <c r="N107" s="55" t="s">
        <v>1636</v>
      </c>
      <c r="P107" s="55" t="s">
        <v>1637</v>
      </c>
      <c r="Q107" s="55" t="s">
        <v>571</v>
      </c>
      <c r="R107" s="55" t="s">
        <v>26</v>
      </c>
      <c r="S107" s="55" t="s">
        <v>353</v>
      </c>
      <c r="T107" s="60">
        <v>10</v>
      </c>
      <c r="U107" s="60">
        <v>230200</v>
      </c>
      <c r="V107" s="60">
        <v>0</v>
      </c>
      <c r="W107" s="60">
        <v>0</v>
      </c>
      <c r="X107" s="60">
        <v>0</v>
      </c>
      <c r="Y107" s="60">
        <v>0</v>
      </c>
      <c r="Z107" s="60">
        <v>0</v>
      </c>
      <c r="AB107" s="60">
        <v>23020</v>
      </c>
      <c r="AC107" s="60">
        <v>15070</v>
      </c>
      <c r="AD107" s="60">
        <v>230200</v>
      </c>
      <c r="AE107" s="60">
        <v>0</v>
      </c>
      <c r="AF107" s="60">
        <v>27348</v>
      </c>
      <c r="AG107" s="60">
        <v>0</v>
      </c>
      <c r="AL107" s="55" t="s">
        <v>25</v>
      </c>
      <c r="AM107" s="55" t="s">
        <v>822</v>
      </c>
      <c r="AN107" s="55" t="s">
        <v>834</v>
      </c>
      <c r="AP107" s="62">
        <f>IFERROR(IF(출고표[[#This Row],[클레임]]="반품",출고표[[#This Row],[배송비]],출고표[[#This Row],[결제액]]+출고표[[#This Row],[배송비]]+출고표[[#This Row],[제주/도서추가배송비]]),0)</f>
        <v>230200</v>
      </c>
      <c r="AQ10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0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27348</v>
      </c>
      <c r="AS10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0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0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7" s="60">
        <f>IFERROR(IF(D107="스마트스토어",COUNTIFS(출고표[구입일자],"&lt;&gt;"&amp;H107,출고표[구매자명],E107,출고표[구매자연락처],F107),COUNTIFS(출고표[구입일자],"&lt;&gt;"&amp;H107,출고표[구매자명],E107,출고표[구매자연락처],G107)),0)</f>
        <v>1</v>
      </c>
    </row>
    <row r="108" spans="1:48" ht="20.100000000000001" customHeight="1">
      <c r="A108" s="55">
        <v>107</v>
      </c>
      <c r="B108" s="55" t="s">
        <v>562</v>
      </c>
      <c r="C108" s="64" t="s">
        <v>1653</v>
      </c>
      <c r="D108" s="55" t="s">
        <v>561</v>
      </c>
      <c r="E108" s="55" t="s">
        <v>1650</v>
      </c>
      <c r="F108" s="55" t="s">
        <v>1654</v>
      </c>
      <c r="G108" s="55" t="s">
        <v>1655</v>
      </c>
      <c r="H108" s="63">
        <v>45452</v>
      </c>
      <c r="I108" s="63">
        <v>45453</v>
      </c>
      <c r="J108" s="55" t="s">
        <v>563</v>
      </c>
      <c r="K108" s="64" t="s">
        <v>1651</v>
      </c>
      <c r="M108" s="55" t="s">
        <v>1650</v>
      </c>
      <c r="N108" s="55" t="s">
        <v>1655</v>
      </c>
      <c r="P108" s="55" t="s">
        <v>1656</v>
      </c>
      <c r="R108" s="55" t="s">
        <v>24</v>
      </c>
      <c r="S108" s="55" t="s">
        <v>353</v>
      </c>
      <c r="T108" s="60">
        <v>2</v>
      </c>
      <c r="U108" s="60">
        <v>27540</v>
      </c>
      <c r="V108" s="60">
        <v>3060</v>
      </c>
      <c r="W108" s="60">
        <v>0</v>
      </c>
      <c r="X108" s="60">
        <v>0</v>
      </c>
      <c r="Y108" s="60">
        <v>3500</v>
      </c>
      <c r="Z108" s="60">
        <v>0</v>
      </c>
      <c r="AB108" s="60">
        <v>14450</v>
      </c>
      <c r="AC108" s="60">
        <v>9350</v>
      </c>
      <c r="AD108" s="60">
        <v>27540</v>
      </c>
      <c r="AE108" s="60">
        <v>22200</v>
      </c>
      <c r="AF108" s="60">
        <v>1176</v>
      </c>
      <c r="AG108" s="60">
        <v>4164</v>
      </c>
      <c r="AH108" s="61">
        <v>0.1512</v>
      </c>
      <c r="AL108" s="55" t="s">
        <v>23</v>
      </c>
      <c r="AN108" s="55" t="s">
        <v>834</v>
      </c>
      <c r="AP108" s="62">
        <f>IFERROR(IF(출고표[[#This Row],[클레임]]="반품",출고표[[#This Row],[배송비]],출고표[[#This Row],[결제액]]+출고표[[#This Row],[배송비]]+출고표[[#This Row],[제주/도서추가배송비]]),0)</f>
        <v>27540</v>
      </c>
      <c r="AQ10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22200</v>
      </c>
      <c r="AR10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1176</v>
      </c>
      <c r="AS10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4164</v>
      </c>
      <c r="AT10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0.1512</v>
      </c>
      <c r="AU10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8" s="60">
        <f>IFERROR(IF(D108="스마트스토어",COUNTIFS(출고표[구입일자],"&lt;&gt;"&amp;H108,출고표[구매자명],E108,출고표[구매자연락처],F108),COUNTIFS(출고표[구입일자],"&lt;&gt;"&amp;H108,출고표[구매자명],E108,출고표[구매자연락처],G108)),0)</f>
        <v>0</v>
      </c>
    </row>
    <row r="109" spans="1:48" ht="20.100000000000001" customHeight="1">
      <c r="A109" s="55">
        <v>108</v>
      </c>
      <c r="B109" s="55" t="s">
        <v>562</v>
      </c>
      <c r="C109" s="64" t="s">
        <v>1658</v>
      </c>
      <c r="D109" s="55" t="s">
        <v>561</v>
      </c>
      <c r="E109" s="55" t="s">
        <v>1650</v>
      </c>
      <c r="F109" s="55" t="s">
        <v>1654</v>
      </c>
      <c r="G109" s="55" t="s">
        <v>1655</v>
      </c>
      <c r="H109" s="63">
        <v>45452</v>
      </c>
      <c r="I109" s="63">
        <v>45453</v>
      </c>
      <c r="J109" s="55" t="s">
        <v>563</v>
      </c>
      <c r="K109" s="64" t="s">
        <v>1651</v>
      </c>
      <c r="M109" s="55" t="s">
        <v>1650</v>
      </c>
      <c r="N109" s="55" t="s">
        <v>1655</v>
      </c>
      <c r="P109" s="55" t="s">
        <v>1656</v>
      </c>
      <c r="R109" s="55" t="s">
        <v>18</v>
      </c>
      <c r="S109" s="55" t="s">
        <v>353</v>
      </c>
      <c r="T109" s="60">
        <v>1</v>
      </c>
      <c r="U109" s="60">
        <v>10690</v>
      </c>
      <c r="V109" s="60">
        <v>1190</v>
      </c>
      <c r="W109" s="60">
        <v>0</v>
      </c>
      <c r="X109" s="60">
        <v>0</v>
      </c>
      <c r="Y109" s="60">
        <v>0</v>
      </c>
      <c r="Z109" s="60">
        <v>0</v>
      </c>
      <c r="AB109" s="60">
        <v>11220</v>
      </c>
      <c r="AC109" s="60">
        <v>7260</v>
      </c>
      <c r="AD109" s="60">
        <v>10690</v>
      </c>
      <c r="AE109" s="60">
        <v>7260</v>
      </c>
      <c r="AF109" s="60">
        <v>505</v>
      </c>
      <c r="AG109" s="60">
        <v>2925</v>
      </c>
      <c r="AH109" s="61">
        <v>0.27360000000000001</v>
      </c>
      <c r="AL109" s="55" t="s">
        <v>17</v>
      </c>
      <c r="AM109" s="55" t="s">
        <v>822</v>
      </c>
      <c r="AN109" s="55" t="s">
        <v>834</v>
      </c>
      <c r="AP109" s="62">
        <f>IFERROR(IF(출고표[[#This Row],[클레임]]="반품",출고표[[#This Row],[배송비]],출고표[[#This Row],[결제액]]+출고표[[#This Row],[배송비]]+출고표[[#This Row],[제주/도서추가배송비]]),0)</f>
        <v>10690</v>
      </c>
      <c r="AQ10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7260</v>
      </c>
      <c r="AR10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505</v>
      </c>
      <c r="AS10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2925</v>
      </c>
      <c r="AT10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0.27360000000000001</v>
      </c>
      <c r="AU10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09" s="60">
        <f>IFERROR(IF(D109="스마트스토어",COUNTIFS(출고표[구입일자],"&lt;&gt;"&amp;H109,출고표[구매자명],E109,출고표[구매자연락처],F109),COUNTIFS(출고표[구입일자],"&lt;&gt;"&amp;H109,출고표[구매자명],E109,출고표[구매자연락처],G109)),0)</f>
        <v>0</v>
      </c>
    </row>
    <row r="110" spans="1:48" ht="20.100000000000001" customHeight="1">
      <c r="A110" s="55">
        <v>109</v>
      </c>
      <c r="B110" s="55" t="s">
        <v>562</v>
      </c>
      <c r="C110" s="64" t="s">
        <v>1662</v>
      </c>
      <c r="D110" s="55" t="s">
        <v>561</v>
      </c>
      <c r="E110" s="55" t="s">
        <v>1659</v>
      </c>
      <c r="F110" s="55" t="s">
        <v>1663</v>
      </c>
      <c r="G110" s="55" t="s">
        <v>1664</v>
      </c>
      <c r="H110" s="63">
        <v>45452</v>
      </c>
      <c r="I110" s="63">
        <v>45453</v>
      </c>
      <c r="J110" s="55" t="s">
        <v>563</v>
      </c>
      <c r="K110" s="64" t="s">
        <v>1660</v>
      </c>
      <c r="M110" s="55" t="s">
        <v>1659</v>
      </c>
      <c r="N110" s="55" t="s">
        <v>1664</v>
      </c>
      <c r="O110" s="55" t="s">
        <v>1664</v>
      </c>
      <c r="P110" s="55" t="s">
        <v>1665</v>
      </c>
      <c r="Q110" s="55" t="s">
        <v>1261</v>
      </c>
      <c r="R110" s="55" t="s">
        <v>34</v>
      </c>
      <c r="S110" s="55" t="s">
        <v>353</v>
      </c>
      <c r="T110" s="60">
        <v>1</v>
      </c>
      <c r="U110" s="60">
        <v>28620</v>
      </c>
      <c r="V110" s="60">
        <v>3180</v>
      </c>
      <c r="W110" s="60">
        <v>3000</v>
      </c>
      <c r="X110" s="60">
        <v>0</v>
      </c>
      <c r="Y110" s="60">
        <v>3500</v>
      </c>
      <c r="Z110" s="60">
        <v>0</v>
      </c>
      <c r="AB110" s="60">
        <v>30600</v>
      </c>
      <c r="AC110" s="60">
        <v>19800</v>
      </c>
      <c r="AD110" s="60">
        <v>31620</v>
      </c>
      <c r="AE110" s="60">
        <v>23300</v>
      </c>
      <c r="AF110" s="60">
        <v>1278</v>
      </c>
      <c r="AG110" s="60">
        <v>7042</v>
      </c>
      <c r="AH110" s="61">
        <v>0.22270000000000001</v>
      </c>
      <c r="AL110" s="55" t="s">
        <v>33</v>
      </c>
      <c r="AN110" s="55" t="s">
        <v>834</v>
      </c>
      <c r="AP110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1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1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1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1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0" s="60">
        <f>IFERROR(IF(D110="스마트스토어",COUNTIFS(출고표[구입일자],"&lt;&gt;"&amp;H110,출고표[구매자명],E110,출고표[구매자연락처],F110),COUNTIFS(출고표[구입일자],"&lt;&gt;"&amp;H110,출고표[구매자명],E110,출고표[구매자연락처],G110)),0)</f>
        <v>0</v>
      </c>
    </row>
    <row r="111" spans="1:48" ht="20.100000000000001" customHeight="1">
      <c r="A111" s="55">
        <v>110</v>
      </c>
      <c r="B111" s="55" t="s">
        <v>562</v>
      </c>
      <c r="C111" s="64" t="s">
        <v>1670</v>
      </c>
      <c r="D111" s="55" t="s">
        <v>561</v>
      </c>
      <c r="E111" s="55" t="s">
        <v>1667</v>
      </c>
      <c r="F111" s="55" t="s">
        <v>1671</v>
      </c>
      <c r="G111" s="55" t="s">
        <v>1672</v>
      </c>
      <c r="H111" s="63">
        <v>45452</v>
      </c>
      <c r="I111" s="63">
        <v>45453</v>
      </c>
      <c r="J111" s="55" t="s">
        <v>563</v>
      </c>
      <c r="K111" s="64" t="s">
        <v>1668</v>
      </c>
      <c r="M111" s="55" t="s">
        <v>1667</v>
      </c>
      <c r="N111" s="55" t="s">
        <v>1672</v>
      </c>
      <c r="P111" s="55" t="s">
        <v>1673</v>
      </c>
      <c r="R111" s="55" t="s">
        <v>20</v>
      </c>
      <c r="S111" s="55" t="s">
        <v>353</v>
      </c>
      <c r="T111" s="60">
        <v>4</v>
      </c>
      <c r="U111" s="60">
        <v>57000</v>
      </c>
      <c r="V111" s="60">
        <v>6360</v>
      </c>
      <c r="W111" s="60">
        <v>0</v>
      </c>
      <c r="X111" s="60">
        <v>0</v>
      </c>
      <c r="Y111" s="60">
        <v>4400</v>
      </c>
      <c r="Z111" s="60">
        <v>0</v>
      </c>
      <c r="AB111" s="60">
        <v>14960</v>
      </c>
      <c r="AC111" s="60">
        <v>9680</v>
      </c>
      <c r="AD111" s="60">
        <v>57000</v>
      </c>
      <c r="AE111" s="60">
        <v>43120</v>
      </c>
      <c r="AF111" s="60">
        <v>2349</v>
      </c>
      <c r="AG111" s="60">
        <v>11531</v>
      </c>
      <c r="AH111" s="61">
        <v>0.20230000000000001</v>
      </c>
      <c r="AL111" s="55" t="s">
        <v>19</v>
      </c>
      <c r="AN111" s="55" t="s">
        <v>834</v>
      </c>
      <c r="AP111" s="62">
        <f>IFERROR(IF(출고표[[#This Row],[클레임]]="반품",출고표[[#This Row],[배송비]],출고표[[#This Row],[결제액]]+출고표[[#This Row],[배송비]]+출고표[[#This Row],[제주/도서추가배송비]]),0)</f>
        <v>57000</v>
      </c>
      <c r="AQ11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43120</v>
      </c>
      <c r="AR11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2349</v>
      </c>
      <c r="AS11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11531</v>
      </c>
      <c r="AT11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0.20230000000000001</v>
      </c>
      <c r="AU11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1" s="60">
        <f>IFERROR(IF(D111="스마트스토어",COUNTIFS(출고표[구입일자],"&lt;&gt;"&amp;H111,출고표[구매자명],E111,출고표[구매자연락처],F111),COUNTIFS(출고표[구입일자],"&lt;&gt;"&amp;H111,출고표[구매자명],E111,출고표[구매자연락처],G111)),0)</f>
        <v>0</v>
      </c>
    </row>
    <row r="112" spans="1:48" ht="20.100000000000001" customHeight="1">
      <c r="A112" s="55">
        <v>111</v>
      </c>
      <c r="B112" s="55" t="s">
        <v>562</v>
      </c>
      <c r="C112" s="64" t="s">
        <v>1678</v>
      </c>
      <c r="D112" s="55" t="s">
        <v>561</v>
      </c>
      <c r="E112" s="55" t="s">
        <v>1679</v>
      </c>
      <c r="F112" s="55" t="s">
        <v>1680</v>
      </c>
      <c r="G112" s="55" t="s">
        <v>1681</v>
      </c>
      <c r="H112" s="63">
        <v>45451</v>
      </c>
      <c r="I112" s="63">
        <v>45453</v>
      </c>
      <c r="J112" s="55" t="s">
        <v>563</v>
      </c>
      <c r="K112" s="64" t="s">
        <v>1676</v>
      </c>
      <c r="M112" s="55" t="s">
        <v>1675</v>
      </c>
      <c r="N112" s="55" t="s">
        <v>1681</v>
      </c>
      <c r="P112" s="55" t="s">
        <v>1682</v>
      </c>
      <c r="R112" s="55" t="s">
        <v>34</v>
      </c>
      <c r="S112" s="55" t="s">
        <v>353</v>
      </c>
      <c r="T112" s="60">
        <v>1</v>
      </c>
      <c r="U112" s="60">
        <v>28620</v>
      </c>
      <c r="V112" s="60">
        <v>3180</v>
      </c>
      <c r="W112" s="60">
        <v>3000</v>
      </c>
      <c r="X112" s="60">
        <v>0</v>
      </c>
      <c r="Y112" s="60">
        <v>3500</v>
      </c>
      <c r="Z112" s="60">
        <v>0</v>
      </c>
      <c r="AB112" s="60">
        <v>30600</v>
      </c>
      <c r="AC112" s="60">
        <v>19800</v>
      </c>
      <c r="AD112" s="60">
        <v>31620</v>
      </c>
      <c r="AE112" s="60">
        <v>23300</v>
      </c>
      <c r="AF112" s="60">
        <v>1278</v>
      </c>
      <c r="AG112" s="60">
        <v>7042</v>
      </c>
      <c r="AH112" s="61">
        <v>0.22270000000000001</v>
      </c>
      <c r="AL112" s="55" t="s">
        <v>33</v>
      </c>
      <c r="AN112" s="55" t="s">
        <v>834</v>
      </c>
      <c r="AP112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1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1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1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1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1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2" s="60">
        <f>IFERROR(IF(D112="스마트스토어",COUNTIFS(출고표[구입일자],"&lt;&gt;"&amp;H112,출고표[구매자명],E112,출고표[구매자연락처],F112),COUNTIFS(출고표[구입일자],"&lt;&gt;"&amp;H112,출고표[구매자명],E112,출고표[구매자연락처],G112)),0)</f>
        <v>0</v>
      </c>
    </row>
    <row r="113" spans="1:48" ht="20.100000000000001" customHeight="1">
      <c r="A113" s="55">
        <v>112</v>
      </c>
      <c r="B113" s="55" t="s">
        <v>673</v>
      </c>
      <c r="C113" s="64" t="s">
        <v>1688</v>
      </c>
      <c r="D113" s="55" t="s">
        <v>561</v>
      </c>
      <c r="E113" s="55" t="s">
        <v>1684</v>
      </c>
      <c r="F113" s="55" t="s">
        <v>1689</v>
      </c>
      <c r="G113" s="55" t="s">
        <v>1690</v>
      </c>
      <c r="H113" s="63">
        <v>45452</v>
      </c>
      <c r="I113" s="63">
        <v>45453</v>
      </c>
      <c r="J113" s="55" t="s">
        <v>563</v>
      </c>
      <c r="K113" s="64" t="s">
        <v>1686</v>
      </c>
      <c r="M113" s="55" t="s">
        <v>1684</v>
      </c>
      <c r="N113" s="55" t="s">
        <v>1690</v>
      </c>
      <c r="O113" s="55" t="s">
        <v>1690</v>
      </c>
      <c r="P113" s="55" t="s">
        <v>1691</v>
      </c>
      <c r="R113" s="55" t="s">
        <v>18</v>
      </c>
      <c r="S113" s="55" t="s">
        <v>353</v>
      </c>
      <c r="T113" s="60">
        <v>1</v>
      </c>
      <c r="U113" s="60">
        <v>10560</v>
      </c>
      <c r="V113" s="60">
        <v>0</v>
      </c>
      <c r="W113" s="60">
        <v>3000</v>
      </c>
      <c r="X113" s="60">
        <v>0</v>
      </c>
      <c r="Y113" s="60">
        <v>3000</v>
      </c>
      <c r="Z113" s="60">
        <v>0</v>
      </c>
      <c r="AB113" s="60">
        <v>10560</v>
      </c>
      <c r="AC113" s="60">
        <v>7260</v>
      </c>
      <c r="AD113" s="60">
        <v>13560</v>
      </c>
      <c r="AE113" s="60">
        <v>0</v>
      </c>
      <c r="AF113" s="60">
        <v>700</v>
      </c>
      <c r="AG113" s="60">
        <v>0</v>
      </c>
      <c r="AL113" s="55" t="s">
        <v>17</v>
      </c>
      <c r="AN113" s="55" t="s">
        <v>834</v>
      </c>
      <c r="AP113" s="62">
        <f>IFERROR(IF(출고표[[#This Row],[클레임]]="반품",출고표[[#This Row],[배송비]],출고표[[#This Row],[결제액]]+출고표[[#This Row],[배송비]]+출고표[[#This Row],[제주/도서추가배송비]]),0)</f>
        <v>13560</v>
      </c>
      <c r="AQ11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1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3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3" s="60">
        <f>IFERROR(IF(D113="스마트스토어",COUNTIFS(출고표[구입일자],"&lt;&gt;"&amp;H113,출고표[구매자명],E113,출고표[구매자연락처],F113),COUNTIFS(출고표[구입일자],"&lt;&gt;"&amp;H113,출고표[구매자명],E113,출고표[구매자연락처],G113)),0)</f>
        <v>0</v>
      </c>
    </row>
    <row r="114" spans="1:48" ht="20.100000000000001" customHeight="1">
      <c r="A114" s="55">
        <v>113</v>
      </c>
      <c r="B114" s="55" t="s">
        <v>673</v>
      </c>
      <c r="C114" s="64" t="s">
        <v>1697</v>
      </c>
      <c r="D114" s="55" t="s">
        <v>561</v>
      </c>
      <c r="E114" s="55" t="s">
        <v>1693</v>
      </c>
      <c r="F114" s="55" t="s">
        <v>1698</v>
      </c>
      <c r="G114" s="55" t="s">
        <v>1699</v>
      </c>
      <c r="H114" s="63">
        <v>45450</v>
      </c>
      <c r="I114" s="63">
        <v>45453</v>
      </c>
      <c r="J114" s="55" t="s">
        <v>563</v>
      </c>
      <c r="K114" s="64" t="s">
        <v>1695</v>
      </c>
      <c r="M114" s="55" t="s">
        <v>1693</v>
      </c>
      <c r="N114" s="55" t="s">
        <v>1699</v>
      </c>
      <c r="P114" s="55" t="s">
        <v>1700</v>
      </c>
      <c r="R114" s="55" t="s">
        <v>20</v>
      </c>
      <c r="S114" s="55" t="s">
        <v>353</v>
      </c>
      <c r="T114" s="60">
        <v>1</v>
      </c>
      <c r="U114" s="60">
        <v>14080</v>
      </c>
      <c r="V114" s="60">
        <v>0</v>
      </c>
      <c r="W114" s="60">
        <v>3000</v>
      </c>
      <c r="X114" s="60">
        <v>0</v>
      </c>
      <c r="Y114" s="60">
        <v>3000</v>
      </c>
      <c r="Z114" s="60">
        <v>0</v>
      </c>
      <c r="AB114" s="60">
        <v>14080</v>
      </c>
      <c r="AC114" s="60">
        <v>9680</v>
      </c>
      <c r="AD114" s="60">
        <v>17080</v>
      </c>
      <c r="AE114" s="60">
        <v>0</v>
      </c>
      <c r="AF114" s="60">
        <v>877</v>
      </c>
      <c r="AG114" s="60">
        <v>0</v>
      </c>
      <c r="AL114" s="55" t="s">
        <v>19</v>
      </c>
      <c r="AN114" s="55" t="s">
        <v>834</v>
      </c>
      <c r="AP114" s="62">
        <f>IFERROR(IF(출고표[[#This Row],[클레임]]="반품",출고표[[#This Row],[배송비]],출고표[[#This Row],[결제액]]+출고표[[#This Row],[배송비]]+출고표[[#This Row],[제주/도서추가배송비]]),0)</f>
        <v>17080</v>
      </c>
      <c r="AQ11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877</v>
      </c>
      <c r="AS11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4" s="60">
        <f>IFERROR(IF(D114="스마트스토어",COUNTIFS(출고표[구입일자],"&lt;&gt;"&amp;H114,출고표[구매자명],E114,출고표[구매자연락처],F114),COUNTIFS(출고표[구입일자],"&lt;&gt;"&amp;H114,출고표[구매자명],E114,출고표[구매자연락처],G114)),0)</f>
        <v>0</v>
      </c>
    </row>
    <row r="115" spans="1:48" ht="20.100000000000001" customHeight="1">
      <c r="A115" s="55">
        <v>114</v>
      </c>
      <c r="B115" s="55" t="s">
        <v>673</v>
      </c>
      <c r="C115" s="64" t="s">
        <v>2093</v>
      </c>
      <c r="D115" s="55" t="s">
        <v>532</v>
      </c>
      <c r="H115" s="63">
        <v>45454</v>
      </c>
      <c r="I115" s="63">
        <v>45454</v>
      </c>
      <c r="J115" s="55" t="s">
        <v>563</v>
      </c>
      <c r="K115" s="64" t="s">
        <v>1703</v>
      </c>
      <c r="M115" s="55" t="s">
        <v>1702</v>
      </c>
      <c r="N115" s="55" t="s">
        <v>1705</v>
      </c>
      <c r="P115" s="55" t="s">
        <v>1706</v>
      </c>
      <c r="R115" s="55" t="s">
        <v>531</v>
      </c>
      <c r="S115" s="55" t="s">
        <v>353</v>
      </c>
      <c r="T115" s="60">
        <v>1</v>
      </c>
      <c r="U115" s="60">
        <v>0</v>
      </c>
      <c r="V115" s="60">
        <v>0</v>
      </c>
      <c r="W115" s="60">
        <v>0</v>
      </c>
      <c r="X115" s="60">
        <v>0</v>
      </c>
      <c r="Y115" s="60">
        <v>3500</v>
      </c>
      <c r="Z115" s="60">
        <v>0</v>
      </c>
      <c r="AB115" s="60" t="s">
        <v>529</v>
      </c>
      <c r="AC115" s="60" t="s">
        <v>349</v>
      </c>
      <c r="AD115" s="60">
        <v>0</v>
      </c>
      <c r="AE115" s="60">
        <v>0</v>
      </c>
      <c r="AF115" s="60">
        <v>0</v>
      </c>
      <c r="AG115" s="60">
        <v>0</v>
      </c>
      <c r="AL115" s="55" t="s">
        <v>532</v>
      </c>
      <c r="AM115" s="55" t="s">
        <v>822</v>
      </c>
      <c r="AN115" s="55" t="s">
        <v>834</v>
      </c>
      <c r="AP115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5" s="60">
        <f>IFERROR(IF(D115="스마트스토어",COUNTIFS(출고표[구입일자],"&lt;&gt;"&amp;H115,출고표[구매자명],E115,출고표[구매자연락처],F115),COUNTIFS(출고표[구입일자],"&lt;&gt;"&amp;H115,출고표[구매자명],E115,출고표[구매자연락처],G115)),0)</f>
        <v>0</v>
      </c>
    </row>
    <row r="116" spans="1:48" ht="20.100000000000001" customHeight="1">
      <c r="A116" s="55">
        <v>115</v>
      </c>
      <c r="B116" s="55" t="s">
        <v>673</v>
      </c>
      <c r="C116" s="64" t="s">
        <v>2094</v>
      </c>
      <c r="D116" s="55" t="s">
        <v>532</v>
      </c>
      <c r="H116" s="63">
        <v>45454</v>
      </c>
      <c r="I116" s="63">
        <v>45454</v>
      </c>
      <c r="J116" s="55" t="s">
        <v>563</v>
      </c>
      <c r="K116" s="64" t="s">
        <v>1708</v>
      </c>
      <c r="M116" s="55" t="s">
        <v>1707</v>
      </c>
      <c r="N116" s="55" t="s">
        <v>1710</v>
      </c>
      <c r="P116" s="55" t="s">
        <v>1711</v>
      </c>
      <c r="R116" s="55" t="s">
        <v>531</v>
      </c>
      <c r="S116" s="55" t="s">
        <v>353</v>
      </c>
      <c r="T116" s="60">
        <v>1</v>
      </c>
      <c r="U116" s="60">
        <v>0</v>
      </c>
      <c r="V116" s="60">
        <v>0</v>
      </c>
      <c r="W116" s="60">
        <v>0</v>
      </c>
      <c r="X116" s="60">
        <v>0</v>
      </c>
      <c r="Y116" s="60">
        <v>0</v>
      </c>
      <c r="Z116" s="60">
        <v>0</v>
      </c>
      <c r="AB116" s="60" t="s">
        <v>529</v>
      </c>
      <c r="AC116" s="60" t="s">
        <v>349</v>
      </c>
      <c r="AD116" s="60">
        <v>0</v>
      </c>
      <c r="AE116" s="60">
        <v>0</v>
      </c>
      <c r="AF116" s="60">
        <v>0</v>
      </c>
      <c r="AG116" s="60">
        <v>0</v>
      </c>
      <c r="AL116" s="55" t="s">
        <v>532</v>
      </c>
      <c r="AM116" s="55" t="s">
        <v>822</v>
      </c>
      <c r="AN116" s="55" t="s">
        <v>834</v>
      </c>
      <c r="AP116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6" s="60">
        <f>IFERROR(IF(D116="스마트스토어",COUNTIFS(출고표[구입일자],"&lt;&gt;"&amp;H116,출고표[구매자명],E116,출고표[구매자연락처],F116),COUNTIFS(출고표[구입일자],"&lt;&gt;"&amp;H116,출고표[구매자명],E116,출고표[구매자연락처],G116)),0)</f>
        <v>0</v>
      </c>
    </row>
    <row r="117" spans="1:48" ht="20.100000000000001" customHeight="1">
      <c r="A117" s="55">
        <v>116</v>
      </c>
      <c r="B117" s="55" t="s">
        <v>673</v>
      </c>
      <c r="C117" s="64" t="s">
        <v>2095</v>
      </c>
      <c r="D117" s="55" t="s">
        <v>532</v>
      </c>
      <c r="H117" s="63">
        <v>45454</v>
      </c>
      <c r="I117" s="63">
        <v>45454</v>
      </c>
      <c r="J117" s="55" t="s">
        <v>563</v>
      </c>
      <c r="K117" s="64" t="s">
        <v>1713</v>
      </c>
      <c r="M117" s="55" t="s">
        <v>1712</v>
      </c>
      <c r="N117" s="55" t="s">
        <v>1715</v>
      </c>
      <c r="P117" s="55" t="s">
        <v>1716</v>
      </c>
      <c r="R117" s="55" t="s">
        <v>531</v>
      </c>
      <c r="S117" s="55" t="s">
        <v>353</v>
      </c>
      <c r="T117" s="60">
        <v>1</v>
      </c>
      <c r="U117" s="60">
        <v>0</v>
      </c>
      <c r="V117" s="60">
        <v>0</v>
      </c>
      <c r="W117" s="60">
        <v>0</v>
      </c>
      <c r="X117" s="60">
        <v>0</v>
      </c>
      <c r="Y117" s="60">
        <v>0</v>
      </c>
      <c r="Z117" s="60">
        <v>0</v>
      </c>
      <c r="AB117" s="60" t="s">
        <v>529</v>
      </c>
      <c r="AC117" s="60" t="s">
        <v>349</v>
      </c>
      <c r="AD117" s="60">
        <v>0</v>
      </c>
      <c r="AE117" s="60">
        <v>0</v>
      </c>
      <c r="AF117" s="60">
        <v>0</v>
      </c>
      <c r="AG117" s="60">
        <v>0</v>
      </c>
      <c r="AL117" s="55" t="s">
        <v>532</v>
      </c>
      <c r="AM117" s="55" t="s">
        <v>822</v>
      </c>
      <c r="AN117" s="55" t="s">
        <v>834</v>
      </c>
      <c r="AP117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7" s="60">
        <f>IFERROR(IF(D117="스마트스토어",COUNTIFS(출고표[구입일자],"&lt;&gt;"&amp;H117,출고표[구매자명],E117,출고표[구매자연락처],F117),COUNTIFS(출고표[구입일자],"&lt;&gt;"&amp;H117,출고표[구매자명],E117,출고표[구매자연락처],G117)),0)</f>
        <v>0</v>
      </c>
    </row>
    <row r="118" spans="1:48" ht="20.100000000000001" customHeight="1">
      <c r="A118" s="55">
        <v>117</v>
      </c>
      <c r="B118" s="55" t="s">
        <v>673</v>
      </c>
      <c r="C118" s="64" t="s">
        <v>2096</v>
      </c>
      <c r="D118" s="55" t="s">
        <v>532</v>
      </c>
      <c r="H118" s="63">
        <v>45454</v>
      </c>
      <c r="I118" s="63">
        <v>45454</v>
      </c>
      <c r="J118" s="55" t="s">
        <v>563</v>
      </c>
      <c r="K118" s="64" t="s">
        <v>1717</v>
      </c>
      <c r="M118" s="55" t="s">
        <v>1707</v>
      </c>
      <c r="N118" s="55" t="s">
        <v>1710</v>
      </c>
      <c r="P118" s="55" t="s">
        <v>1711</v>
      </c>
      <c r="R118" s="55" t="s">
        <v>531</v>
      </c>
      <c r="S118" s="55" t="s">
        <v>353</v>
      </c>
      <c r="T118" s="60">
        <v>1</v>
      </c>
      <c r="U118" s="60">
        <v>0</v>
      </c>
      <c r="V118" s="60">
        <v>0</v>
      </c>
      <c r="W118" s="60">
        <v>0</v>
      </c>
      <c r="X118" s="60">
        <v>0</v>
      </c>
      <c r="Y118" s="60">
        <v>0</v>
      </c>
      <c r="Z118" s="60">
        <v>0</v>
      </c>
      <c r="AB118" s="60" t="s">
        <v>529</v>
      </c>
      <c r="AC118" s="60" t="s">
        <v>349</v>
      </c>
      <c r="AD118" s="60">
        <v>0</v>
      </c>
      <c r="AE118" s="60">
        <v>0</v>
      </c>
      <c r="AF118" s="60">
        <v>0</v>
      </c>
      <c r="AG118" s="60">
        <v>0</v>
      </c>
      <c r="AL118" s="55" t="s">
        <v>532</v>
      </c>
      <c r="AM118" s="55" t="s">
        <v>822</v>
      </c>
      <c r="AN118" s="55" t="s">
        <v>834</v>
      </c>
      <c r="AP118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8" s="60">
        <f>IFERROR(IF(D118="스마트스토어",COUNTIFS(출고표[구입일자],"&lt;&gt;"&amp;H118,출고표[구매자명],E118,출고표[구매자연락처],F118),COUNTIFS(출고표[구입일자],"&lt;&gt;"&amp;H118,출고표[구매자명],E118,출고표[구매자연락처],G118)),0)</f>
        <v>0</v>
      </c>
    </row>
    <row r="119" spans="1:48" ht="20.100000000000001" customHeight="1">
      <c r="A119" s="55">
        <v>118</v>
      </c>
      <c r="B119" s="55" t="s">
        <v>673</v>
      </c>
      <c r="C119" s="64" t="s">
        <v>2089</v>
      </c>
      <c r="D119" s="55" t="s">
        <v>532</v>
      </c>
      <c r="H119" s="63">
        <v>45454</v>
      </c>
      <c r="I119" s="63">
        <v>45454</v>
      </c>
      <c r="J119" s="55" t="s">
        <v>563</v>
      </c>
      <c r="K119" s="64" t="s">
        <v>1720</v>
      </c>
      <c r="M119" s="55" t="s">
        <v>1702</v>
      </c>
      <c r="N119" s="55" t="s">
        <v>1705</v>
      </c>
      <c r="P119" s="55" t="s">
        <v>1706</v>
      </c>
      <c r="R119" s="55" t="s">
        <v>531</v>
      </c>
      <c r="S119" s="55" t="s">
        <v>353</v>
      </c>
      <c r="T119" s="60">
        <v>1</v>
      </c>
      <c r="U119" s="60">
        <v>0</v>
      </c>
      <c r="V119" s="60">
        <v>0</v>
      </c>
      <c r="W119" s="60">
        <v>0</v>
      </c>
      <c r="X119" s="60">
        <v>0</v>
      </c>
      <c r="Y119" s="60">
        <v>0</v>
      </c>
      <c r="Z119" s="60">
        <v>0</v>
      </c>
      <c r="AB119" s="60" t="s">
        <v>1982</v>
      </c>
      <c r="AC119" s="60" t="s">
        <v>1982</v>
      </c>
      <c r="AD119" s="60">
        <v>0</v>
      </c>
      <c r="AE119" s="60">
        <v>0</v>
      </c>
      <c r="AF119" s="60">
        <v>0</v>
      </c>
      <c r="AG119" s="60">
        <v>0</v>
      </c>
      <c r="AL119" s="55" t="s">
        <v>532</v>
      </c>
      <c r="AM119" s="55" t="s">
        <v>822</v>
      </c>
      <c r="AN119" s="55" t="s">
        <v>834</v>
      </c>
      <c r="AO119" s="55">
        <v>1</v>
      </c>
      <c r="AP11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1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1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1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1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1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19" s="60">
        <f>IFERROR(IF(D119="스마트스토어",COUNTIFS(출고표[구입일자],"&lt;&gt;"&amp;H119,출고표[구매자명],E119,출고표[구매자연락처],F119),COUNTIFS(출고표[구입일자],"&lt;&gt;"&amp;H119,출고표[구매자명],E119,출고표[구매자연락처],G119)),0)</f>
        <v>0</v>
      </c>
    </row>
    <row r="120" spans="1:48" ht="20.100000000000001" customHeight="1">
      <c r="A120" s="55">
        <v>119</v>
      </c>
      <c r="B120" s="55" t="s">
        <v>673</v>
      </c>
      <c r="C120" s="64" t="s">
        <v>2097</v>
      </c>
      <c r="D120" s="55" t="s">
        <v>532</v>
      </c>
      <c r="H120" s="63">
        <v>45454</v>
      </c>
      <c r="I120" s="63">
        <v>45454</v>
      </c>
      <c r="J120" s="55" t="s">
        <v>563</v>
      </c>
      <c r="K120" s="64" t="s">
        <v>1723</v>
      </c>
      <c r="M120" s="55" t="s">
        <v>1722</v>
      </c>
      <c r="N120" s="55" t="s">
        <v>1725</v>
      </c>
      <c r="P120" s="55" t="s">
        <v>1726</v>
      </c>
      <c r="R120" s="55" t="s">
        <v>531</v>
      </c>
      <c r="S120" s="55" t="s">
        <v>353</v>
      </c>
      <c r="T120" s="60">
        <v>1</v>
      </c>
      <c r="U120" s="60">
        <v>0</v>
      </c>
      <c r="V120" s="60">
        <v>0</v>
      </c>
      <c r="W120" s="60">
        <v>0</v>
      </c>
      <c r="X120" s="60">
        <v>0</v>
      </c>
      <c r="Y120" s="60">
        <v>0</v>
      </c>
      <c r="Z120" s="60">
        <v>0</v>
      </c>
      <c r="AB120" s="60" t="s">
        <v>529</v>
      </c>
      <c r="AC120" s="60" t="s">
        <v>349</v>
      </c>
      <c r="AD120" s="60">
        <v>0</v>
      </c>
      <c r="AE120" s="60">
        <v>0</v>
      </c>
      <c r="AF120" s="60">
        <v>0</v>
      </c>
      <c r="AG120" s="60">
        <v>0</v>
      </c>
      <c r="AL120" s="55" t="s">
        <v>532</v>
      </c>
      <c r="AM120" s="55" t="s">
        <v>822</v>
      </c>
      <c r="AN120" s="55" t="s">
        <v>834</v>
      </c>
      <c r="AP120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0" s="60">
        <f>IFERROR(IF(D120="스마트스토어",COUNTIFS(출고표[구입일자],"&lt;&gt;"&amp;H120,출고표[구매자명],E120,출고표[구매자연락처],F120),COUNTIFS(출고표[구입일자],"&lt;&gt;"&amp;H120,출고표[구매자명],E120,출고표[구매자연락처],G120)),0)</f>
        <v>0</v>
      </c>
    </row>
    <row r="121" spans="1:48" ht="20.100000000000001" customHeight="1">
      <c r="A121" s="55">
        <v>120</v>
      </c>
      <c r="B121" s="55" t="s">
        <v>673</v>
      </c>
      <c r="C121" s="64" t="s">
        <v>2098</v>
      </c>
      <c r="D121" s="55" t="s">
        <v>532</v>
      </c>
      <c r="H121" s="63">
        <v>45454</v>
      </c>
      <c r="I121" s="63">
        <v>45454</v>
      </c>
      <c r="J121" s="55" t="s">
        <v>563</v>
      </c>
      <c r="K121" s="64" t="s">
        <v>1727</v>
      </c>
      <c r="M121" s="55" t="s">
        <v>1722</v>
      </c>
      <c r="N121" s="55" t="s">
        <v>1725</v>
      </c>
      <c r="P121" s="55" t="s">
        <v>1726</v>
      </c>
      <c r="R121" s="55" t="s">
        <v>531</v>
      </c>
      <c r="S121" s="55" t="s">
        <v>353</v>
      </c>
      <c r="T121" s="60">
        <v>1</v>
      </c>
      <c r="U121" s="60">
        <v>0</v>
      </c>
      <c r="V121" s="60">
        <v>0</v>
      </c>
      <c r="W121" s="60">
        <v>0</v>
      </c>
      <c r="X121" s="60">
        <v>0</v>
      </c>
      <c r="Y121" s="60">
        <v>0</v>
      </c>
      <c r="Z121" s="60">
        <v>0</v>
      </c>
      <c r="AB121" s="60" t="s">
        <v>529</v>
      </c>
      <c r="AC121" s="60" t="s">
        <v>349</v>
      </c>
      <c r="AD121" s="60">
        <v>0</v>
      </c>
      <c r="AE121" s="60">
        <v>0</v>
      </c>
      <c r="AF121" s="60">
        <v>0</v>
      </c>
      <c r="AG121" s="60">
        <v>0</v>
      </c>
      <c r="AL121" s="55" t="s">
        <v>532</v>
      </c>
      <c r="AM121" s="55" t="s">
        <v>822</v>
      </c>
      <c r="AN121" s="55" t="s">
        <v>834</v>
      </c>
      <c r="AP121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1" s="60">
        <f>IFERROR(IF(D121="스마트스토어",COUNTIFS(출고표[구입일자],"&lt;&gt;"&amp;H121,출고표[구매자명],E121,출고표[구매자연락처],F121),COUNTIFS(출고표[구입일자],"&lt;&gt;"&amp;H121,출고표[구매자명],E121,출고표[구매자연락처],G121)),0)</f>
        <v>0</v>
      </c>
    </row>
    <row r="122" spans="1:48" ht="20.100000000000001" customHeight="1">
      <c r="A122" s="55">
        <v>121</v>
      </c>
      <c r="B122" s="55" t="s">
        <v>673</v>
      </c>
      <c r="C122" s="64" t="s">
        <v>2099</v>
      </c>
      <c r="D122" s="55" t="s">
        <v>532</v>
      </c>
      <c r="H122" s="63">
        <v>45454</v>
      </c>
      <c r="I122" s="63">
        <v>45454</v>
      </c>
      <c r="J122" s="55" t="s">
        <v>563</v>
      </c>
      <c r="K122" s="64" t="s">
        <v>1729</v>
      </c>
      <c r="M122" s="55" t="s">
        <v>1722</v>
      </c>
      <c r="N122" s="55" t="s">
        <v>1725</v>
      </c>
      <c r="P122" s="55" t="s">
        <v>1726</v>
      </c>
      <c r="R122" s="55" t="s">
        <v>531</v>
      </c>
      <c r="S122" s="55" t="s">
        <v>353</v>
      </c>
      <c r="T122" s="60">
        <v>1</v>
      </c>
      <c r="U122" s="60">
        <v>0</v>
      </c>
      <c r="V122" s="60">
        <v>0</v>
      </c>
      <c r="W122" s="60">
        <v>0</v>
      </c>
      <c r="X122" s="60">
        <v>0</v>
      </c>
      <c r="Y122" s="60">
        <v>0</v>
      </c>
      <c r="Z122" s="60">
        <v>0</v>
      </c>
      <c r="AB122" s="60" t="s">
        <v>529</v>
      </c>
      <c r="AC122" s="60" t="s">
        <v>349</v>
      </c>
      <c r="AD122" s="60">
        <v>0</v>
      </c>
      <c r="AE122" s="60">
        <v>0</v>
      </c>
      <c r="AF122" s="60">
        <v>0</v>
      </c>
      <c r="AG122" s="60">
        <v>0</v>
      </c>
      <c r="AL122" s="55" t="s">
        <v>532</v>
      </c>
      <c r="AM122" s="55" t="s">
        <v>822</v>
      </c>
      <c r="AN122" s="55" t="s">
        <v>834</v>
      </c>
      <c r="AP122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2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2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2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22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2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2" s="60">
        <f>IFERROR(IF(D122="스마트스토어",COUNTIFS(출고표[구입일자],"&lt;&gt;"&amp;H122,출고표[구매자명],E122,출고표[구매자연락처],F122),COUNTIFS(출고표[구입일자],"&lt;&gt;"&amp;H122,출고표[구매자명],E122,출고표[구매자연락처],G122)),0)</f>
        <v>0</v>
      </c>
    </row>
    <row r="123" spans="1:48" ht="20.100000000000001" customHeight="1">
      <c r="A123" s="55">
        <v>122</v>
      </c>
      <c r="B123" s="55" t="s">
        <v>562</v>
      </c>
      <c r="C123" s="64" t="s">
        <v>1735</v>
      </c>
      <c r="D123" s="55" t="s">
        <v>561</v>
      </c>
      <c r="E123" s="55" t="s">
        <v>1731</v>
      </c>
      <c r="F123" s="55" t="s">
        <v>1736</v>
      </c>
      <c r="G123" s="55" t="s">
        <v>1737</v>
      </c>
      <c r="H123" s="63">
        <v>45454</v>
      </c>
      <c r="I123" s="63">
        <v>45454</v>
      </c>
      <c r="J123" s="55" t="s">
        <v>563</v>
      </c>
      <c r="K123" s="64" t="s">
        <v>1733</v>
      </c>
      <c r="M123" s="55" t="s">
        <v>1731</v>
      </c>
      <c r="N123" s="55" t="s">
        <v>1738</v>
      </c>
      <c r="P123" s="55" t="s">
        <v>1739</v>
      </c>
      <c r="R123" s="55" t="s">
        <v>52</v>
      </c>
      <c r="S123" s="55" t="s">
        <v>353</v>
      </c>
      <c r="T123" s="60">
        <v>100</v>
      </c>
      <c r="U123" s="60">
        <v>131000</v>
      </c>
      <c r="V123" s="60">
        <v>35000</v>
      </c>
      <c r="W123" s="60">
        <v>0</v>
      </c>
      <c r="X123" s="60">
        <v>0</v>
      </c>
      <c r="Y123" s="60">
        <v>4400</v>
      </c>
      <c r="Z123" s="60">
        <v>0</v>
      </c>
      <c r="AB123" s="60">
        <v>1240</v>
      </c>
      <c r="AC123" s="60">
        <v>880</v>
      </c>
      <c r="AD123" s="60">
        <v>131000</v>
      </c>
      <c r="AE123" s="60">
        <v>92400</v>
      </c>
      <c r="AF123" s="60">
        <v>5294</v>
      </c>
      <c r="AG123" s="60">
        <v>33306</v>
      </c>
      <c r="AH123" s="61">
        <v>0.25419999999999998</v>
      </c>
      <c r="AL123" s="55" t="s">
        <v>51</v>
      </c>
      <c r="AN123" s="55" t="s">
        <v>834</v>
      </c>
      <c r="AP123" s="62">
        <f>IFERROR(IF(출고표[[#This Row],[클레임]]="반품",출고표[[#This Row],[배송비]],출고표[[#This Row],[결제액]]+출고표[[#This Row],[배송비]]+출고표[[#This Row],[제주/도서추가배송비]]),0)</f>
        <v>131000</v>
      </c>
      <c r="AQ12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92400</v>
      </c>
      <c r="AR12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5294</v>
      </c>
      <c r="AS12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33306</v>
      </c>
      <c r="AT12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0.25419999999999998</v>
      </c>
      <c r="AU12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3" s="60">
        <f>IFERROR(IF(D123="스마트스토어",COUNTIFS(출고표[구입일자],"&lt;&gt;"&amp;H123,출고표[구매자명],E123,출고표[구매자연락처],F123),COUNTIFS(출고표[구입일자],"&lt;&gt;"&amp;H123,출고표[구매자명],E123,출고표[구매자연락처],G123)),0)</f>
        <v>0</v>
      </c>
    </row>
    <row r="124" spans="1:48" ht="20.100000000000001" customHeight="1">
      <c r="A124" s="55">
        <v>123</v>
      </c>
      <c r="B124" s="55" t="s">
        <v>562</v>
      </c>
      <c r="C124" s="64" t="s">
        <v>1744</v>
      </c>
      <c r="D124" s="55" t="s">
        <v>561</v>
      </c>
      <c r="E124" s="55" t="s">
        <v>1745</v>
      </c>
      <c r="F124" s="55" t="s">
        <v>1746</v>
      </c>
      <c r="G124" s="55" t="s">
        <v>1747</v>
      </c>
      <c r="H124" s="63">
        <v>45454</v>
      </c>
      <c r="I124" s="63">
        <v>45454</v>
      </c>
      <c r="J124" s="55" t="s">
        <v>563</v>
      </c>
      <c r="K124" s="64" t="s">
        <v>1742</v>
      </c>
      <c r="M124" s="55" t="s">
        <v>1741</v>
      </c>
      <c r="N124" s="55" t="s">
        <v>1747</v>
      </c>
      <c r="P124" s="55" t="s">
        <v>1748</v>
      </c>
      <c r="R124" s="55" t="s">
        <v>34</v>
      </c>
      <c r="S124" s="55" t="s">
        <v>353</v>
      </c>
      <c r="T124" s="60">
        <v>1</v>
      </c>
      <c r="U124" s="60">
        <v>28620</v>
      </c>
      <c r="V124" s="60">
        <v>3180</v>
      </c>
      <c r="W124" s="60">
        <v>3000</v>
      </c>
      <c r="X124" s="60">
        <v>0</v>
      </c>
      <c r="Y124" s="60">
        <v>3500</v>
      </c>
      <c r="Z124" s="60">
        <v>0</v>
      </c>
      <c r="AB124" s="60">
        <v>30600</v>
      </c>
      <c r="AC124" s="60">
        <v>19800</v>
      </c>
      <c r="AD124" s="60">
        <v>31620</v>
      </c>
      <c r="AE124" s="60">
        <v>23300</v>
      </c>
      <c r="AF124" s="60">
        <v>1278</v>
      </c>
      <c r="AG124" s="60">
        <v>7042</v>
      </c>
      <c r="AH124" s="61">
        <v>0.22270000000000001</v>
      </c>
      <c r="AL124" s="55" t="s">
        <v>33</v>
      </c>
      <c r="AN124" s="55" t="s">
        <v>834</v>
      </c>
      <c r="AP124" s="62">
        <f>IFERROR(IF(출고표[[#This Row],[클레임]]="반품",출고표[[#This Row],[배송비]],출고표[[#This Row],[결제액]]+출고표[[#This Row],[배송비]]+출고표[[#This Row],[제주/도서추가배송비]]),0)</f>
        <v>31620</v>
      </c>
      <c r="AQ12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2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1278</v>
      </c>
      <c r="AS12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7042</v>
      </c>
      <c r="AT12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0.22270000000000001</v>
      </c>
      <c r="AU12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4" s="60">
        <f>IFERROR(IF(D124="스마트스토어",COUNTIFS(출고표[구입일자],"&lt;&gt;"&amp;H124,출고표[구매자명],E124,출고표[구매자연락처],F124),COUNTIFS(출고표[구입일자],"&lt;&gt;"&amp;H124,출고표[구매자명],E124,출고표[구매자연락처],G124)),0)</f>
        <v>0</v>
      </c>
    </row>
    <row r="125" spans="1:48" ht="20.100000000000001" customHeight="1">
      <c r="A125" s="55">
        <v>124</v>
      </c>
      <c r="B125" s="55" t="s">
        <v>562</v>
      </c>
      <c r="C125" s="64" t="s">
        <v>1753</v>
      </c>
      <c r="D125" s="55" t="s">
        <v>561</v>
      </c>
      <c r="E125" s="55" t="s">
        <v>1754</v>
      </c>
      <c r="F125" s="55" t="s">
        <v>1755</v>
      </c>
      <c r="G125" s="55" t="s">
        <v>1756</v>
      </c>
      <c r="H125" s="63">
        <v>45454</v>
      </c>
      <c r="I125" s="63">
        <v>45454</v>
      </c>
      <c r="J125" s="55" t="s">
        <v>563</v>
      </c>
      <c r="K125" s="64" t="s">
        <v>1751</v>
      </c>
      <c r="M125" s="55" t="s">
        <v>1750</v>
      </c>
      <c r="N125" s="55" t="s">
        <v>1757</v>
      </c>
      <c r="P125" s="55" t="s">
        <v>1758</v>
      </c>
      <c r="R125" s="55" t="s">
        <v>26</v>
      </c>
      <c r="S125" s="55" t="s">
        <v>353</v>
      </c>
      <c r="T125" s="60">
        <v>1</v>
      </c>
      <c r="U125" s="60">
        <v>22190</v>
      </c>
      <c r="V125" s="60">
        <v>2470</v>
      </c>
      <c r="W125" s="60">
        <v>0</v>
      </c>
      <c r="X125" s="60">
        <v>0</v>
      </c>
      <c r="Y125" s="60">
        <v>3500</v>
      </c>
      <c r="Z125" s="60">
        <v>0</v>
      </c>
      <c r="AB125" s="60">
        <v>23290</v>
      </c>
      <c r="AC125" s="60">
        <v>15070</v>
      </c>
      <c r="AD125" s="60">
        <v>22190</v>
      </c>
      <c r="AE125" s="60">
        <v>18570</v>
      </c>
      <c r="AF125" s="60">
        <v>963</v>
      </c>
      <c r="AG125" s="60">
        <v>2657</v>
      </c>
      <c r="AH125" s="61">
        <v>0.1197</v>
      </c>
      <c r="AL125" s="55" t="s">
        <v>25</v>
      </c>
      <c r="AN125" s="55" t="s">
        <v>834</v>
      </c>
      <c r="AP125" s="62">
        <f>IFERROR(IF(출고표[[#This Row],[클레임]]="반품",출고표[[#This Row],[배송비]],출고표[[#This Row],[결제액]]+출고표[[#This Row],[배송비]]+출고표[[#This Row],[제주/도서추가배송비]]),0)</f>
        <v>22190</v>
      </c>
      <c r="AQ12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18570</v>
      </c>
      <c r="AR12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963</v>
      </c>
      <c r="AS12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2657</v>
      </c>
      <c r="AT12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0.1197</v>
      </c>
      <c r="AU12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5" s="60">
        <f>IFERROR(IF(D125="스마트스토어",COUNTIFS(출고표[구입일자],"&lt;&gt;"&amp;H125,출고표[구매자명],E125,출고표[구매자연락처],F125),COUNTIFS(출고표[구입일자],"&lt;&gt;"&amp;H125,출고표[구매자명],E125,출고표[구매자연락처],G125)),0)</f>
        <v>0</v>
      </c>
    </row>
    <row r="126" spans="1:48" ht="20.100000000000001" customHeight="1">
      <c r="A126" s="55">
        <v>125</v>
      </c>
      <c r="B126" s="55" t="s">
        <v>562</v>
      </c>
      <c r="C126" s="64" t="s">
        <v>1761</v>
      </c>
      <c r="D126" s="55" t="s">
        <v>561</v>
      </c>
      <c r="E126" s="55" t="s">
        <v>1754</v>
      </c>
      <c r="F126" s="55" t="s">
        <v>1755</v>
      </c>
      <c r="G126" s="55" t="s">
        <v>1756</v>
      </c>
      <c r="H126" s="63">
        <v>45454</v>
      </c>
      <c r="I126" s="63">
        <v>45454</v>
      </c>
      <c r="J126" s="55" t="s">
        <v>563</v>
      </c>
      <c r="K126" s="64" t="s">
        <v>1751</v>
      </c>
      <c r="M126" s="55" t="s">
        <v>1750</v>
      </c>
      <c r="N126" s="55" t="s">
        <v>1757</v>
      </c>
      <c r="P126" s="55" t="s">
        <v>1758</v>
      </c>
      <c r="R126" s="55" t="s">
        <v>84</v>
      </c>
      <c r="S126" s="55" t="s">
        <v>354</v>
      </c>
      <c r="T126" s="60">
        <v>1</v>
      </c>
      <c r="U126" s="60">
        <v>5880</v>
      </c>
      <c r="V126" s="60">
        <v>0</v>
      </c>
      <c r="W126" s="60">
        <v>0</v>
      </c>
      <c r="X126" s="60">
        <v>0</v>
      </c>
      <c r="Y126" s="60">
        <v>0</v>
      </c>
      <c r="Z126" s="60">
        <v>0</v>
      </c>
      <c r="AB126" s="60">
        <v>5120</v>
      </c>
      <c r="AC126" s="60">
        <v>3410</v>
      </c>
      <c r="AD126" s="60">
        <v>5880</v>
      </c>
      <c r="AE126" s="60">
        <v>3410</v>
      </c>
      <c r="AF126" s="60">
        <v>314</v>
      </c>
      <c r="AG126" s="60">
        <v>2156</v>
      </c>
      <c r="AH126" s="61">
        <v>0.36670000000000003</v>
      </c>
      <c r="AL126" s="55" t="s">
        <v>83</v>
      </c>
      <c r="AM126" s="55" t="s">
        <v>822</v>
      </c>
      <c r="AN126" s="55" t="s">
        <v>834</v>
      </c>
      <c r="AP126" s="62">
        <f>IFERROR(IF(출고표[[#This Row],[클레임]]="반품",출고표[[#This Row],[배송비]],출고표[[#This Row],[결제액]]+출고표[[#This Row],[배송비]]+출고표[[#This Row],[제주/도서추가배송비]]),0)</f>
        <v>5880</v>
      </c>
      <c r="AQ12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3410</v>
      </c>
      <c r="AR12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314</v>
      </c>
      <c r="AS12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2156</v>
      </c>
      <c r="AT12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0.36670000000000003</v>
      </c>
      <c r="AU12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6" s="60">
        <f>IFERROR(IF(D126="스마트스토어",COUNTIFS(출고표[구입일자],"&lt;&gt;"&amp;H126,출고표[구매자명],E126,출고표[구매자연락처],F126),COUNTIFS(출고표[구입일자],"&lt;&gt;"&amp;H126,출고표[구매자명],E126,출고표[구매자연락처],G126)),0)</f>
        <v>0</v>
      </c>
    </row>
    <row r="127" spans="1:48" ht="20.100000000000001" customHeight="1">
      <c r="A127" s="55">
        <v>126</v>
      </c>
      <c r="B127" s="55" t="s">
        <v>562</v>
      </c>
      <c r="C127" s="64" t="s">
        <v>1763</v>
      </c>
      <c r="D127" s="55" t="s">
        <v>561</v>
      </c>
      <c r="E127" s="55" t="s">
        <v>1754</v>
      </c>
      <c r="F127" s="55" t="s">
        <v>1755</v>
      </c>
      <c r="G127" s="55" t="s">
        <v>1756</v>
      </c>
      <c r="H127" s="63">
        <v>45454</v>
      </c>
      <c r="I127" s="63">
        <v>45454</v>
      </c>
      <c r="J127" s="55" t="s">
        <v>563</v>
      </c>
      <c r="K127" s="64" t="s">
        <v>1751</v>
      </c>
      <c r="M127" s="55" t="s">
        <v>1750</v>
      </c>
      <c r="N127" s="55" t="s">
        <v>1757</v>
      </c>
      <c r="P127" s="55" t="s">
        <v>1758</v>
      </c>
      <c r="R127" s="55" t="s">
        <v>22</v>
      </c>
      <c r="S127" s="55" t="s">
        <v>353</v>
      </c>
      <c r="T127" s="60">
        <v>1</v>
      </c>
      <c r="U127" s="60">
        <v>18630</v>
      </c>
      <c r="V127" s="60">
        <v>2070</v>
      </c>
      <c r="W127" s="60">
        <v>0</v>
      </c>
      <c r="X127" s="60">
        <v>0</v>
      </c>
      <c r="Y127" s="60">
        <v>0</v>
      </c>
      <c r="Z127" s="60">
        <v>0</v>
      </c>
      <c r="AB127" s="60">
        <v>19550</v>
      </c>
      <c r="AC127" s="60">
        <v>12650</v>
      </c>
      <c r="AD127" s="60">
        <v>18630</v>
      </c>
      <c r="AE127" s="60">
        <v>12650</v>
      </c>
      <c r="AF127" s="60">
        <v>821</v>
      </c>
      <c r="AG127" s="60">
        <v>5159</v>
      </c>
      <c r="AH127" s="61">
        <v>0.27689999999999998</v>
      </c>
      <c r="AL127" s="55" t="s">
        <v>21</v>
      </c>
      <c r="AM127" s="55" t="s">
        <v>822</v>
      </c>
      <c r="AN127" s="55" t="s">
        <v>834</v>
      </c>
      <c r="AP127" s="62">
        <f>IFERROR(IF(출고표[[#This Row],[클레임]]="반품",출고표[[#This Row],[배송비]],출고표[[#This Row],[결제액]]+출고표[[#This Row],[배송비]]+출고표[[#This Row],[제주/도서추가배송비]]),0)</f>
        <v>18630</v>
      </c>
      <c r="AQ12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12650</v>
      </c>
      <c r="AR12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821</v>
      </c>
      <c r="AS12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5159</v>
      </c>
      <c r="AT12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0.27689999999999998</v>
      </c>
      <c r="AU12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27" s="60">
        <f>IFERROR(IF(D127="스마트스토어",COUNTIFS(출고표[구입일자],"&lt;&gt;"&amp;H127,출고표[구매자명],E127,출고표[구매자연락처],F127),COUNTIFS(출고표[구입일자],"&lt;&gt;"&amp;H127,출고표[구매자명],E127,출고표[구매자연락처],G127)),0)</f>
        <v>0</v>
      </c>
    </row>
    <row r="128" spans="1:48" ht="20.100000000000001" customHeight="1">
      <c r="A128" s="55">
        <v>127</v>
      </c>
      <c r="B128" s="55" t="s">
        <v>562</v>
      </c>
      <c r="C128" s="64" t="s">
        <v>1767</v>
      </c>
      <c r="D128" s="55" t="s">
        <v>561</v>
      </c>
      <c r="E128" s="55" t="s">
        <v>1768</v>
      </c>
      <c r="F128" s="55" t="s">
        <v>1769</v>
      </c>
      <c r="G128" s="55" t="s">
        <v>1770</v>
      </c>
      <c r="H128" s="63">
        <v>45453</v>
      </c>
      <c r="I128" s="63">
        <v>45454</v>
      </c>
      <c r="J128" s="55" t="s">
        <v>563</v>
      </c>
      <c r="K128" s="64" t="s">
        <v>1765</v>
      </c>
      <c r="M128" s="55" t="s">
        <v>1764</v>
      </c>
      <c r="N128" s="55" t="s">
        <v>1770</v>
      </c>
      <c r="P128" s="55" t="s">
        <v>1771</v>
      </c>
      <c r="Q128" s="55" t="s">
        <v>1772</v>
      </c>
      <c r="R128" s="55" t="s">
        <v>38</v>
      </c>
      <c r="S128" s="55" t="s">
        <v>353</v>
      </c>
      <c r="T128" s="60">
        <v>2</v>
      </c>
      <c r="U128" s="60">
        <v>42120</v>
      </c>
      <c r="V128" s="60">
        <v>4680</v>
      </c>
      <c r="W128" s="60">
        <v>0</v>
      </c>
      <c r="X128" s="60">
        <v>3000</v>
      </c>
      <c r="Y128" s="60">
        <v>4400</v>
      </c>
      <c r="Z128" s="60">
        <v>0</v>
      </c>
      <c r="AB128" s="60">
        <v>22100</v>
      </c>
      <c r="AC128" s="60">
        <v>14300</v>
      </c>
      <c r="AD128" s="60">
        <v>42120</v>
      </c>
      <c r="AE128" s="60">
        <v>33000</v>
      </c>
      <c r="AF128" s="60">
        <v>1756</v>
      </c>
      <c r="AG128" s="60">
        <v>7364</v>
      </c>
      <c r="AH128" s="61">
        <v>0.17480000000000001</v>
      </c>
      <c r="AL128" s="55" t="s">
        <v>37</v>
      </c>
      <c r="AN128" s="55" t="s">
        <v>834</v>
      </c>
      <c r="AP128" s="62">
        <f>IFERROR(IF(출고표[[#This Row],[클레임]]="반품",출고표[[#This Row],[배송비]],출고표[[#This Row],[결제액]]+출고표[[#This Row],[배송비]]+출고표[[#This Row],[제주/도서추가배송비]]),0)</f>
        <v>45120</v>
      </c>
      <c r="AQ12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36000</v>
      </c>
      <c r="AR12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1756</v>
      </c>
      <c r="AS12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7364</v>
      </c>
      <c r="AT12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0.16320000000000001</v>
      </c>
      <c r="AU12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8" s="60">
        <f>IFERROR(IF(D128="스마트스토어",COUNTIFS(출고표[구입일자],"&lt;&gt;"&amp;H128,출고표[구매자명],E128,출고표[구매자연락처],F128),COUNTIFS(출고표[구입일자],"&lt;&gt;"&amp;H128,출고표[구매자명],E128,출고표[구매자연락처],G128)),0)</f>
        <v>0</v>
      </c>
    </row>
    <row r="129" spans="1:48" ht="20.100000000000001" customHeight="1">
      <c r="A129" s="55">
        <v>128</v>
      </c>
      <c r="B129" s="55" t="s">
        <v>562</v>
      </c>
      <c r="C129" s="64" t="s">
        <v>1774</v>
      </c>
      <c r="D129" s="55" t="s">
        <v>561</v>
      </c>
      <c r="E129" s="55" t="s">
        <v>1768</v>
      </c>
      <c r="F129" s="55" t="s">
        <v>1769</v>
      </c>
      <c r="G129" s="55" t="s">
        <v>1770</v>
      </c>
      <c r="H129" s="63">
        <v>45453</v>
      </c>
      <c r="I129" s="63">
        <v>45454</v>
      </c>
      <c r="J129" s="55" t="s">
        <v>563</v>
      </c>
      <c r="K129" s="64" t="s">
        <v>1765</v>
      </c>
      <c r="M129" s="55" t="s">
        <v>1764</v>
      </c>
      <c r="N129" s="55" t="s">
        <v>1770</v>
      </c>
      <c r="P129" s="55" t="s">
        <v>1771</v>
      </c>
      <c r="Q129" s="55" t="s">
        <v>1772</v>
      </c>
      <c r="R129" s="55" t="s">
        <v>36</v>
      </c>
      <c r="S129" s="55" t="s">
        <v>353</v>
      </c>
      <c r="T129" s="60">
        <v>1</v>
      </c>
      <c r="U129" s="60">
        <v>24300</v>
      </c>
      <c r="V129" s="60">
        <v>2700</v>
      </c>
      <c r="W129" s="60">
        <v>0</v>
      </c>
      <c r="X129" s="60">
        <v>3000</v>
      </c>
      <c r="Y129" s="60">
        <v>0</v>
      </c>
      <c r="Z129" s="60">
        <v>0</v>
      </c>
      <c r="AB129" s="60">
        <v>25500</v>
      </c>
      <c r="AC129" s="60">
        <v>16500</v>
      </c>
      <c r="AD129" s="60">
        <v>24300</v>
      </c>
      <c r="AE129" s="60">
        <v>16500</v>
      </c>
      <c r="AF129" s="60">
        <v>1047</v>
      </c>
      <c r="AG129" s="60">
        <v>6753</v>
      </c>
      <c r="AH129" s="61">
        <v>0.27789999999999998</v>
      </c>
      <c r="AL129" s="55" t="s">
        <v>35</v>
      </c>
      <c r="AM129" s="55" t="s">
        <v>822</v>
      </c>
      <c r="AN129" s="55" t="s">
        <v>834</v>
      </c>
      <c r="AP129" s="62">
        <f>IFERROR(IF(출고표[[#This Row],[클레임]]="반품",출고표[[#This Row],[배송비]],출고표[[#This Row],[결제액]]+출고표[[#This Row],[배송비]]+출고표[[#This Row],[제주/도서추가배송비]]),0)</f>
        <v>27300</v>
      </c>
      <c r="AQ12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19500</v>
      </c>
      <c r="AR12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1047</v>
      </c>
      <c r="AS12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6753</v>
      </c>
      <c r="AT12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0.24740000000000001</v>
      </c>
      <c r="AU12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>Check</v>
      </c>
      <c r="AV129" s="60">
        <f>IFERROR(IF(D129="스마트스토어",COUNTIFS(출고표[구입일자],"&lt;&gt;"&amp;H129,출고표[구매자명],E129,출고표[구매자연락처],F129),COUNTIFS(출고표[구입일자],"&lt;&gt;"&amp;H129,출고표[구매자명],E129,출고표[구매자연락처],G129)),0)</f>
        <v>0</v>
      </c>
    </row>
    <row r="130" spans="1:48" ht="20.100000000000001" customHeight="1">
      <c r="A130" s="55">
        <v>129</v>
      </c>
      <c r="B130" s="55" t="s">
        <v>562</v>
      </c>
      <c r="C130" s="64" t="s">
        <v>1779</v>
      </c>
      <c r="D130" s="55" t="s">
        <v>561</v>
      </c>
      <c r="E130" s="55" t="s">
        <v>1775</v>
      </c>
      <c r="F130" s="55" t="s">
        <v>1780</v>
      </c>
      <c r="G130" s="55" t="s">
        <v>1781</v>
      </c>
      <c r="H130" s="63">
        <v>45449</v>
      </c>
      <c r="I130" s="63">
        <v>45454</v>
      </c>
      <c r="J130" s="55" t="s">
        <v>563</v>
      </c>
      <c r="K130" s="64" t="s">
        <v>1777</v>
      </c>
      <c r="M130" s="55" t="s">
        <v>1775</v>
      </c>
      <c r="N130" s="55" t="s">
        <v>1781</v>
      </c>
      <c r="P130" s="55" t="s">
        <v>1782</v>
      </c>
      <c r="R130" s="55" t="s">
        <v>243</v>
      </c>
      <c r="S130" s="55" t="s">
        <v>380</v>
      </c>
      <c r="T130" s="60">
        <v>30</v>
      </c>
      <c r="U130" s="60">
        <v>51000</v>
      </c>
      <c r="V130" s="60">
        <v>0</v>
      </c>
      <c r="W130" s="60">
        <v>0</v>
      </c>
      <c r="X130" s="60">
        <v>0</v>
      </c>
      <c r="Y130" s="60">
        <v>4400</v>
      </c>
      <c r="Z130" s="60">
        <v>0</v>
      </c>
      <c r="AB130" s="60">
        <v>1640</v>
      </c>
      <c r="AC130" s="60">
        <v>1045</v>
      </c>
      <c r="AD130" s="60">
        <v>51000</v>
      </c>
      <c r="AE130" s="60">
        <v>35750</v>
      </c>
      <c r="AF130" s="60">
        <v>2110</v>
      </c>
      <c r="AG130" s="60">
        <v>13140</v>
      </c>
      <c r="AH130" s="61">
        <v>0.2576</v>
      </c>
      <c r="AL130" s="55" t="s">
        <v>390</v>
      </c>
      <c r="AN130" s="55" t="s">
        <v>834</v>
      </c>
      <c r="AP130" s="62">
        <f>IFERROR(IF(출고표[[#This Row],[클레임]]="반품",출고표[[#This Row],[배송비]],출고표[[#This Row],[결제액]]+출고표[[#This Row],[배송비]]+출고표[[#This Row],[제주/도서추가배송비]]),0)</f>
        <v>51000</v>
      </c>
      <c r="AQ13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35750</v>
      </c>
      <c r="AR13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2110</v>
      </c>
      <c r="AS13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13140</v>
      </c>
      <c r="AT13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0.2576</v>
      </c>
      <c r="AU13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0" s="60">
        <f>IFERROR(IF(D130="스마트스토어",COUNTIFS(출고표[구입일자],"&lt;&gt;"&amp;H130,출고표[구매자명],E130,출고표[구매자연락처],F130),COUNTIFS(출고표[구입일자],"&lt;&gt;"&amp;H130,출고표[구매자명],E130,출고표[구매자연락처],G130)),0)</f>
        <v>0</v>
      </c>
    </row>
    <row r="131" spans="1:48" ht="20.100000000000001" customHeight="1">
      <c r="A131" s="55">
        <v>130</v>
      </c>
      <c r="B131" s="55" t="s">
        <v>562</v>
      </c>
      <c r="C131" s="64" t="s">
        <v>1785</v>
      </c>
      <c r="D131" s="55" t="s">
        <v>561</v>
      </c>
      <c r="E131" s="55" t="s">
        <v>1775</v>
      </c>
      <c r="F131" s="55" t="s">
        <v>1780</v>
      </c>
      <c r="G131" s="55" t="s">
        <v>1781</v>
      </c>
      <c r="H131" s="63">
        <v>45449</v>
      </c>
      <c r="I131" s="63">
        <v>45454</v>
      </c>
      <c r="J131" s="55" t="s">
        <v>563</v>
      </c>
      <c r="K131" s="64" t="s">
        <v>1777</v>
      </c>
      <c r="M131" s="55" t="s">
        <v>1775</v>
      </c>
      <c r="N131" s="55" t="s">
        <v>1781</v>
      </c>
      <c r="P131" s="55" t="s">
        <v>1782</v>
      </c>
      <c r="R131" s="55" t="s">
        <v>206</v>
      </c>
      <c r="S131" s="55" t="s">
        <v>380</v>
      </c>
      <c r="T131" s="60">
        <v>2</v>
      </c>
      <c r="U131" s="60">
        <v>7740</v>
      </c>
      <c r="V131" s="60">
        <v>0</v>
      </c>
      <c r="W131" s="60">
        <v>0</v>
      </c>
      <c r="X131" s="60">
        <v>0</v>
      </c>
      <c r="Y131" s="60">
        <v>0</v>
      </c>
      <c r="Z131" s="60">
        <v>0</v>
      </c>
      <c r="AB131" s="60">
        <v>3700</v>
      </c>
      <c r="AC131" s="60">
        <v>2365</v>
      </c>
      <c r="AD131" s="60">
        <v>7740</v>
      </c>
      <c r="AE131" s="60">
        <v>4730</v>
      </c>
      <c r="AF131" s="60">
        <v>388</v>
      </c>
      <c r="AG131" s="60">
        <v>2622</v>
      </c>
      <c r="AH131" s="61">
        <v>0.33879999999999999</v>
      </c>
      <c r="AL131" s="55" t="s">
        <v>1978</v>
      </c>
      <c r="AM131" s="55" t="s">
        <v>822</v>
      </c>
      <c r="AN131" s="55" t="s">
        <v>834</v>
      </c>
      <c r="AP131" s="62">
        <f>IFERROR(IF(출고표[[#This Row],[클레임]]="반품",출고표[[#This Row],[배송비]],출고표[[#This Row],[결제액]]+출고표[[#This Row],[배송비]]+출고표[[#This Row],[제주/도서추가배송비]]),0)</f>
        <v>7740</v>
      </c>
      <c r="AQ13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4730</v>
      </c>
      <c r="AR13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388</v>
      </c>
      <c r="AS13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2622</v>
      </c>
      <c r="AT13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0.33879999999999999</v>
      </c>
      <c r="AU13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1" s="60">
        <f>IFERROR(IF(D131="스마트스토어",COUNTIFS(출고표[구입일자],"&lt;&gt;"&amp;H131,출고표[구매자명],E131,출고표[구매자연락처],F131),COUNTIFS(출고표[구입일자],"&lt;&gt;"&amp;H131,출고표[구매자명],E131,출고표[구매자연락처],G131)),0)</f>
        <v>0</v>
      </c>
    </row>
    <row r="132" spans="1:48" ht="20.100000000000001" customHeight="1">
      <c r="A132" s="55">
        <v>131</v>
      </c>
      <c r="B132" s="55" t="s">
        <v>562</v>
      </c>
      <c r="C132" s="64" t="s">
        <v>1788</v>
      </c>
      <c r="D132" s="55" t="s">
        <v>568</v>
      </c>
      <c r="E132" s="55" t="s">
        <v>1786</v>
      </c>
      <c r="F132" s="55" t="s">
        <v>1789</v>
      </c>
      <c r="G132" s="55" t="s">
        <v>1790</v>
      </c>
      <c r="H132" s="63">
        <v>45453</v>
      </c>
      <c r="I132" s="63">
        <v>45454</v>
      </c>
      <c r="J132" s="55" t="s">
        <v>563</v>
      </c>
      <c r="K132" s="64" t="s">
        <v>1787</v>
      </c>
      <c r="M132" s="55" t="s">
        <v>1786</v>
      </c>
      <c r="N132" s="55" t="s">
        <v>1790</v>
      </c>
      <c r="P132" s="55" t="s">
        <v>1791</v>
      </c>
      <c r="Q132" s="55" t="s">
        <v>571</v>
      </c>
      <c r="R132" s="55" t="s">
        <v>133</v>
      </c>
      <c r="S132" s="55" t="s">
        <v>353</v>
      </c>
      <c r="T132" s="60">
        <v>35</v>
      </c>
      <c r="U132" s="60">
        <v>32900</v>
      </c>
      <c r="V132" s="60">
        <v>0</v>
      </c>
      <c r="W132" s="60">
        <v>3000</v>
      </c>
      <c r="X132" s="60">
        <v>0</v>
      </c>
      <c r="Y132" s="60">
        <v>3500</v>
      </c>
      <c r="Z132" s="60">
        <v>0</v>
      </c>
      <c r="AB132" s="60">
        <v>890</v>
      </c>
      <c r="AC132" s="60">
        <v>550</v>
      </c>
      <c r="AD132" s="60">
        <v>35900</v>
      </c>
      <c r="AE132" s="60">
        <v>22750</v>
      </c>
      <c r="AF132" s="60">
        <v>4008</v>
      </c>
      <c r="AG132" s="60">
        <v>9142</v>
      </c>
      <c r="AH132" s="61">
        <v>0.25469999999999998</v>
      </c>
      <c r="AL132" s="55" t="s">
        <v>132</v>
      </c>
      <c r="AN132" s="55" t="s">
        <v>834</v>
      </c>
      <c r="AP132" s="62">
        <f>IFERROR(IF(출고표[[#This Row],[클레임]]="반품",출고표[[#This Row],[배송비]],출고표[[#This Row],[결제액]]+출고표[[#This Row],[배송비]]+출고표[[#This Row],[제주/도서추가배송비]]),0)</f>
        <v>35900</v>
      </c>
      <c r="AQ13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22750</v>
      </c>
      <c r="AR13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4008</v>
      </c>
      <c r="AS13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9142</v>
      </c>
      <c r="AT13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0.25469999999999998</v>
      </c>
      <c r="AU13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2" s="60">
        <f>IFERROR(IF(D132="스마트스토어",COUNTIFS(출고표[구입일자],"&lt;&gt;"&amp;H132,출고표[구매자명],E132,출고표[구매자연락처],F132),COUNTIFS(출고표[구입일자],"&lt;&gt;"&amp;H132,출고표[구매자명],E132,출고표[구매자연락처],G132)),0)</f>
        <v>0</v>
      </c>
    </row>
    <row r="133" spans="1:48" ht="20.100000000000001" customHeight="1">
      <c r="A133" s="55">
        <v>132</v>
      </c>
      <c r="B133" s="55" t="s">
        <v>562</v>
      </c>
      <c r="C133" s="64" t="s">
        <v>1795</v>
      </c>
      <c r="D133" s="55" t="s">
        <v>568</v>
      </c>
      <c r="E133" s="55" t="s">
        <v>1793</v>
      </c>
      <c r="F133" s="55" t="s">
        <v>1796</v>
      </c>
      <c r="G133" s="55" t="s">
        <v>1797</v>
      </c>
      <c r="H133" s="63">
        <v>45453</v>
      </c>
      <c r="I133" s="63">
        <v>45454</v>
      </c>
      <c r="J133" s="55" t="s">
        <v>563</v>
      </c>
      <c r="K133" s="64" t="s">
        <v>1794</v>
      </c>
      <c r="M133" s="55" t="s">
        <v>1793</v>
      </c>
      <c r="N133" s="55" t="s">
        <v>1797</v>
      </c>
      <c r="P133" s="55" t="s">
        <v>1798</v>
      </c>
      <c r="Q133" s="55" t="s">
        <v>571</v>
      </c>
      <c r="R133" s="55" t="s">
        <v>18</v>
      </c>
      <c r="S133" s="55" t="s">
        <v>353</v>
      </c>
      <c r="T133" s="60">
        <v>3</v>
      </c>
      <c r="U133" s="60">
        <v>37410</v>
      </c>
      <c r="V133" s="60">
        <v>0</v>
      </c>
      <c r="W133" s="60">
        <v>0</v>
      </c>
      <c r="X133" s="60">
        <v>0</v>
      </c>
      <c r="Y133" s="60">
        <v>3500</v>
      </c>
      <c r="Z133" s="60">
        <v>0</v>
      </c>
      <c r="AB133" s="60">
        <v>11780</v>
      </c>
      <c r="AC133" s="60">
        <v>7260</v>
      </c>
      <c r="AD133" s="60">
        <v>37410</v>
      </c>
      <c r="AE133" s="60">
        <v>25280</v>
      </c>
      <c r="AF133" s="60">
        <v>4444</v>
      </c>
      <c r="AG133" s="60">
        <v>7686</v>
      </c>
      <c r="AH133" s="61">
        <v>0.20549999999999999</v>
      </c>
      <c r="AL133" s="55" t="s">
        <v>17</v>
      </c>
      <c r="AN133" s="55" t="s">
        <v>834</v>
      </c>
      <c r="AP133" s="62">
        <f>IFERROR(IF(출고표[[#This Row],[클레임]]="반품",출고표[[#This Row],[배송비]],출고표[[#This Row],[결제액]]+출고표[[#This Row],[배송비]]+출고표[[#This Row],[제주/도서추가배송비]]),0)</f>
        <v>37410</v>
      </c>
      <c r="AQ13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25280</v>
      </c>
      <c r="AR13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4444</v>
      </c>
      <c r="AS13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7686</v>
      </c>
      <c r="AT13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0.20549999999999999</v>
      </c>
      <c r="AU13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3" s="60">
        <f>IFERROR(IF(D133="스마트스토어",COUNTIFS(출고표[구입일자],"&lt;&gt;"&amp;H133,출고표[구매자명],E133,출고표[구매자연락처],F133),COUNTIFS(출고표[구입일자],"&lt;&gt;"&amp;H133,출고표[구매자명],E133,출고표[구매자연락처],G133)),0)</f>
        <v>0</v>
      </c>
    </row>
    <row r="134" spans="1:48" ht="20.100000000000001" customHeight="1">
      <c r="A134" s="55">
        <v>133</v>
      </c>
      <c r="B134" s="55" t="s">
        <v>562</v>
      </c>
      <c r="C134" s="64" t="s">
        <v>1802</v>
      </c>
      <c r="D134" s="55" t="s">
        <v>568</v>
      </c>
      <c r="E134" s="55" t="s">
        <v>1800</v>
      </c>
      <c r="F134" s="55" t="s">
        <v>1803</v>
      </c>
      <c r="G134" s="55" t="s">
        <v>1804</v>
      </c>
      <c r="H134" s="63">
        <v>45453</v>
      </c>
      <c r="I134" s="63">
        <v>45454</v>
      </c>
      <c r="J134" s="55" t="s">
        <v>563</v>
      </c>
      <c r="K134" s="64" t="s">
        <v>1801</v>
      </c>
      <c r="M134" s="55" t="s">
        <v>1800</v>
      </c>
      <c r="N134" s="55" t="s">
        <v>1804</v>
      </c>
      <c r="P134" s="55" t="s">
        <v>1805</v>
      </c>
      <c r="Q134" s="55" t="s">
        <v>571</v>
      </c>
      <c r="R134" s="55" t="s">
        <v>98</v>
      </c>
      <c r="S134" s="55" t="s">
        <v>353</v>
      </c>
      <c r="T134" s="60">
        <v>5</v>
      </c>
      <c r="U134" s="60">
        <v>30600</v>
      </c>
      <c r="V134" s="60">
        <v>3400</v>
      </c>
      <c r="W134" s="60">
        <v>0</v>
      </c>
      <c r="X134" s="60">
        <v>0</v>
      </c>
      <c r="Y134" s="60">
        <v>3500</v>
      </c>
      <c r="Z134" s="60">
        <v>0</v>
      </c>
      <c r="AB134" s="60">
        <v>6430</v>
      </c>
      <c r="AC134" s="60">
        <v>3960</v>
      </c>
      <c r="AD134" s="60">
        <v>30600</v>
      </c>
      <c r="AE134" s="60">
        <v>23300</v>
      </c>
      <c r="AF134" s="60">
        <v>3635</v>
      </c>
      <c r="AG134" s="60">
        <v>3665</v>
      </c>
      <c r="AH134" s="61">
        <v>0.1198</v>
      </c>
      <c r="AL134" s="55" t="s">
        <v>1980</v>
      </c>
      <c r="AN134" s="55" t="s">
        <v>834</v>
      </c>
      <c r="AP134" s="62">
        <f>IFERROR(IF(출고표[[#This Row],[클레임]]="반품",출고표[[#This Row],[배송비]],출고표[[#This Row],[결제액]]+출고표[[#This Row],[배송비]]+출고표[[#This Row],[제주/도서추가배송비]]),0)</f>
        <v>30600</v>
      </c>
      <c r="AQ13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3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3635</v>
      </c>
      <c r="AS13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3665</v>
      </c>
      <c r="AT13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0.1198</v>
      </c>
      <c r="AU13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4" s="60">
        <f>IFERROR(IF(D134="스마트스토어",COUNTIFS(출고표[구입일자],"&lt;&gt;"&amp;H134,출고표[구매자명],E134,출고표[구매자연락처],F134),COUNTIFS(출고표[구입일자],"&lt;&gt;"&amp;H134,출고표[구매자명],E134,출고표[구매자연락처],G134)),0)</f>
        <v>0</v>
      </c>
    </row>
    <row r="135" spans="1:48" ht="20.100000000000001" customHeight="1">
      <c r="A135" s="55">
        <v>134</v>
      </c>
      <c r="B135" s="55" t="s">
        <v>562</v>
      </c>
      <c r="C135" s="64" t="s">
        <v>1809</v>
      </c>
      <c r="D135" s="55" t="s">
        <v>568</v>
      </c>
      <c r="E135" s="55" t="s">
        <v>1807</v>
      </c>
      <c r="F135" s="55" t="s">
        <v>1810</v>
      </c>
      <c r="G135" s="55" t="s">
        <v>1811</v>
      </c>
      <c r="H135" s="63">
        <v>45453</v>
      </c>
      <c r="I135" s="63">
        <v>45454</v>
      </c>
      <c r="J135" s="55" t="s">
        <v>563</v>
      </c>
      <c r="K135" s="64" t="s">
        <v>1808</v>
      </c>
      <c r="M135" s="55" t="s">
        <v>1807</v>
      </c>
      <c r="N135" s="55" t="s">
        <v>1811</v>
      </c>
      <c r="P135" s="55" t="s">
        <v>1812</v>
      </c>
      <c r="Q135" s="55" t="s">
        <v>571</v>
      </c>
      <c r="R135" s="55" t="s">
        <v>129</v>
      </c>
      <c r="S135" s="55" t="s">
        <v>353</v>
      </c>
      <c r="T135" s="60">
        <v>1</v>
      </c>
      <c r="U135" s="60">
        <v>1150</v>
      </c>
      <c r="V135" s="60">
        <v>0</v>
      </c>
      <c r="W135" s="60">
        <v>3000</v>
      </c>
      <c r="X135" s="60">
        <v>0</v>
      </c>
      <c r="Y135" s="60">
        <v>3000</v>
      </c>
      <c r="Z135" s="60">
        <v>0</v>
      </c>
      <c r="AB135" s="60">
        <v>1070</v>
      </c>
      <c r="AC135" s="60">
        <v>660</v>
      </c>
      <c r="AD135" s="60">
        <v>4150</v>
      </c>
      <c r="AE135" s="60">
        <v>3660</v>
      </c>
      <c r="AF135" s="60">
        <v>236</v>
      </c>
      <c r="AG135" s="60">
        <v>254</v>
      </c>
      <c r="AH135" s="61">
        <v>6.1199999999999997E-2</v>
      </c>
      <c r="AL135" s="55" t="s">
        <v>128</v>
      </c>
      <c r="AN135" s="55" t="s">
        <v>834</v>
      </c>
      <c r="AP135" s="62">
        <f>IFERROR(IF(출고표[[#This Row],[클레임]]="반품",출고표[[#This Row],[배송비]],출고표[[#This Row],[결제액]]+출고표[[#This Row],[배송비]]+출고표[[#This Row],[제주/도서추가배송비]]),0)</f>
        <v>4150</v>
      </c>
      <c r="AQ13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3660</v>
      </c>
      <c r="AR13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236</v>
      </c>
      <c r="AS13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254</v>
      </c>
      <c r="AT13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6.1199999999999997E-2</v>
      </c>
      <c r="AU13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5" s="60">
        <f>IFERROR(IF(D135="스마트스토어",COUNTIFS(출고표[구입일자],"&lt;&gt;"&amp;H135,출고표[구매자명],E135,출고표[구매자연락처],F135),COUNTIFS(출고표[구입일자],"&lt;&gt;"&amp;H135,출고표[구매자명],E135,출고표[구매자연락처],G135)),0)</f>
        <v>0</v>
      </c>
    </row>
    <row r="136" spans="1:48" ht="20.100000000000001" customHeight="1">
      <c r="A136" s="55">
        <v>135</v>
      </c>
      <c r="B136" s="55" t="s">
        <v>673</v>
      </c>
      <c r="C136" s="64" t="s">
        <v>1818</v>
      </c>
      <c r="D136" s="55" t="s">
        <v>561</v>
      </c>
      <c r="E136" s="55" t="s">
        <v>1814</v>
      </c>
      <c r="F136" s="55" t="s">
        <v>1819</v>
      </c>
      <c r="G136" s="55" t="s">
        <v>1820</v>
      </c>
      <c r="H136" s="63">
        <v>45453</v>
      </c>
      <c r="I136" s="63">
        <v>45454</v>
      </c>
      <c r="J136" s="55" t="s">
        <v>563</v>
      </c>
      <c r="K136" s="64" t="s">
        <v>1816</v>
      </c>
      <c r="M136" s="55" t="s">
        <v>1814</v>
      </c>
      <c r="N136" s="55" t="s">
        <v>1820</v>
      </c>
      <c r="P136" s="55" t="s">
        <v>1821</v>
      </c>
      <c r="R136" s="55" t="s">
        <v>26</v>
      </c>
      <c r="S136" s="55" t="s">
        <v>353</v>
      </c>
      <c r="T136" s="60">
        <v>2</v>
      </c>
      <c r="U136" s="60">
        <v>43840</v>
      </c>
      <c r="V136" s="60">
        <v>0</v>
      </c>
      <c r="W136" s="60">
        <v>0</v>
      </c>
      <c r="X136" s="60">
        <v>0</v>
      </c>
      <c r="Y136" s="60">
        <v>4400</v>
      </c>
      <c r="Z136" s="60">
        <v>0</v>
      </c>
      <c r="AB136" s="60">
        <v>21920</v>
      </c>
      <c r="AC136" s="60">
        <v>15070</v>
      </c>
      <c r="AD136" s="60">
        <v>43840</v>
      </c>
      <c r="AE136" s="60">
        <v>0</v>
      </c>
      <c r="AF136" s="60">
        <v>2283</v>
      </c>
      <c r="AG136" s="60">
        <v>0</v>
      </c>
      <c r="AL136" s="55" t="s">
        <v>25</v>
      </c>
      <c r="AN136" s="55" t="s">
        <v>834</v>
      </c>
      <c r="AP136" s="62">
        <f>IFERROR(IF(출고표[[#This Row],[클레임]]="반품",출고표[[#This Row],[배송비]],출고표[[#This Row],[결제액]]+출고표[[#This Row],[배송비]]+출고표[[#This Row],[제주/도서추가배송비]]),0)</f>
        <v>43840</v>
      </c>
      <c r="AQ13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3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6" s="60">
        <f>IFERROR(IF(D136="스마트스토어",COUNTIFS(출고표[구입일자],"&lt;&gt;"&amp;H136,출고표[구매자명],E136,출고표[구매자연락처],F136),COUNTIFS(출고표[구입일자],"&lt;&gt;"&amp;H136,출고표[구매자명],E136,출고표[구매자연락처],G136)),0)</f>
        <v>0</v>
      </c>
    </row>
    <row r="137" spans="1:48" ht="20.100000000000001" customHeight="1">
      <c r="A137" s="55">
        <v>136</v>
      </c>
      <c r="B137" s="55" t="s">
        <v>673</v>
      </c>
      <c r="C137" s="64" t="s">
        <v>1827</v>
      </c>
      <c r="D137" s="55" t="s">
        <v>561</v>
      </c>
      <c r="E137" s="55" t="s">
        <v>1828</v>
      </c>
      <c r="F137" s="55" t="s">
        <v>1829</v>
      </c>
      <c r="G137" s="55" t="s">
        <v>1830</v>
      </c>
      <c r="H137" s="63">
        <v>45453</v>
      </c>
      <c r="I137" s="63">
        <v>45454</v>
      </c>
      <c r="J137" s="55" t="s">
        <v>563</v>
      </c>
      <c r="K137" s="64" t="s">
        <v>1825</v>
      </c>
      <c r="M137" s="55" t="s">
        <v>1823</v>
      </c>
      <c r="N137" s="55" t="s">
        <v>1830</v>
      </c>
      <c r="P137" s="55" t="s">
        <v>1831</v>
      </c>
      <c r="R137" s="55" t="s">
        <v>36</v>
      </c>
      <c r="S137" s="55" t="s">
        <v>353</v>
      </c>
      <c r="T137" s="60">
        <v>1</v>
      </c>
      <c r="U137" s="60">
        <v>24000</v>
      </c>
      <c r="V137" s="60">
        <v>0</v>
      </c>
      <c r="W137" s="60">
        <v>3000</v>
      </c>
      <c r="X137" s="60">
        <v>0</v>
      </c>
      <c r="Y137" s="60">
        <v>3500</v>
      </c>
      <c r="Z137" s="60">
        <v>0</v>
      </c>
      <c r="AB137" s="60">
        <v>24000</v>
      </c>
      <c r="AC137" s="60">
        <v>16500</v>
      </c>
      <c r="AD137" s="60">
        <v>27000</v>
      </c>
      <c r="AE137" s="60">
        <v>0</v>
      </c>
      <c r="AF137" s="60">
        <v>1375</v>
      </c>
      <c r="AG137" s="60">
        <v>0</v>
      </c>
      <c r="AL137" s="55" t="s">
        <v>35</v>
      </c>
      <c r="AN137" s="55" t="s">
        <v>834</v>
      </c>
      <c r="AP137" s="62">
        <f>IFERROR(IF(출고표[[#This Row],[클레임]]="반품",출고표[[#This Row],[배송비]],출고표[[#This Row],[결제액]]+출고표[[#This Row],[배송비]]+출고표[[#This Row],[제주/도서추가배송비]]),0)</f>
        <v>27000</v>
      </c>
      <c r="AQ13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1375</v>
      </c>
      <c r="AS13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7" s="60">
        <f>IFERROR(IF(D137="스마트스토어",COUNTIFS(출고표[구입일자],"&lt;&gt;"&amp;H137,출고표[구매자명],E137,출고표[구매자연락처],F137),COUNTIFS(출고표[구입일자],"&lt;&gt;"&amp;H137,출고표[구매자명],E137,출고표[구매자연락처],G137)),0)</f>
        <v>0</v>
      </c>
    </row>
    <row r="138" spans="1:48" ht="20.100000000000001" customHeight="1">
      <c r="A138" s="55">
        <v>137</v>
      </c>
      <c r="B138" s="55" t="s">
        <v>673</v>
      </c>
      <c r="C138" s="64" t="s">
        <v>1836</v>
      </c>
      <c r="D138" s="55" t="s">
        <v>561</v>
      </c>
      <c r="E138" s="55" t="s">
        <v>1833</v>
      </c>
      <c r="F138" s="55" t="s">
        <v>1837</v>
      </c>
      <c r="G138" s="55" t="s">
        <v>1838</v>
      </c>
      <c r="H138" s="63">
        <v>45453</v>
      </c>
      <c r="I138" s="63">
        <v>45454</v>
      </c>
      <c r="J138" s="55" t="s">
        <v>563</v>
      </c>
      <c r="K138" s="64" t="s">
        <v>1834</v>
      </c>
      <c r="M138" s="55" t="s">
        <v>1833</v>
      </c>
      <c r="N138" s="55" t="s">
        <v>1838</v>
      </c>
      <c r="P138" s="55" t="s">
        <v>1839</v>
      </c>
      <c r="R138" s="55" t="s">
        <v>26</v>
      </c>
      <c r="S138" s="55" t="s">
        <v>353</v>
      </c>
      <c r="T138" s="60">
        <v>1</v>
      </c>
      <c r="U138" s="60">
        <v>21920</v>
      </c>
      <c r="V138" s="60">
        <v>0</v>
      </c>
      <c r="W138" s="60">
        <v>3000</v>
      </c>
      <c r="X138" s="60">
        <v>0</v>
      </c>
      <c r="Y138" s="60">
        <v>3500</v>
      </c>
      <c r="Z138" s="60">
        <v>0</v>
      </c>
      <c r="AB138" s="60">
        <v>21920</v>
      </c>
      <c r="AC138" s="60">
        <v>15070</v>
      </c>
      <c r="AD138" s="60">
        <v>24920</v>
      </c>
      <c r="AE138" s="60">
        <v>0</v>
      </c>
      <c r="AF138" s="60">
        <v>1270</v>
      </c>
      <c r="AG138" s="60">
        <v>0</v>
      </c>
      <c r="AL138" s="55" t="s">
        <v>25</v>
      </c>
      <c r="AN138" s="55" t="s">
        <v>834</v>
      </c>
      <c r="AP138" s="62">
        <f>IFERROR(IF(출고표[[#This Row],[클레임]]="반품",출고표[[#This Row],[배송비]],출고표[[#This Row],[결제액]]+출고표[[#This Row],[배송비]]+출고표[[#This Row],[제주/도서추가배송비]]),0)</f>
        <v>24920</v>
      </c>
      <c r="AQ13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1270</v>
      </c>
      <c r="AS13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8" s="60">
        <f>IFERROR(IF(D138="스마트스토어",COUNTIFS(출고표[구입일자],"&lt;&gt;"&amp;H138,출고표[구매자명],E138,출고표[구매자연락처],F138),COUNTIFS(출고표[구입일자],"&lt;&gt;"&amp;H138,출고표[구매자명],E138,출고표[구매자연락처],G138)),0)</f>
        <v>0</v>
      </c>
    </row>
    <row r="139" spans="1:48" ht="20.100000000000001" customHeight="1">
      <c r="A139" s="55">
        <v>138</v>
      </c>
      <c r="B139" s="55" t="s">
        <v>673</v>
      </c>
      <c r="C139" s="64" t="s">
        <v>2100</v>
      </c>
      <c r="D139" s="55" t="s">
        <v>532</v>
      </c>
      <c r="H139" s="63">
        <v>45455</v>
      </c>
      <c r="I139" s="63">
        <v>45455</v>
      </c>
      <c r="J139" s="55" t="s">
        <v>563</v>
      </c>
      <c r="K139" s="64" t="s">
        <v>1842</v>
      </c>
      <c r="M139" s="55" t="s">
        <v>1841</v>
      </c>
      <c r="N139" s="55" t="s">
        <v>1844</v>
      </c>
      <c r="P139" s="55" t="s">
        <v>1845</v>
      </c>
      <c r="R139" s="55" t="s">
        <v>531</v>
      </c>
      <c r="S139" s="55" t="s">
        <v>353</v>
      </c>
      <c r="T139" s="60">
        <v>1</v>
      </c>
      <c r="U139" s="60">
        <v>0</v>
      </c>
      <c r="V139" s="60">
        <v>0</v>
      </c>
      <c r="W139" s="60">
        <v>0</v>
      </c>
      <c r="X139" s="60">
        <v>0</v>
      </c>
      <c r="Y139" s="60">
        <v>4400</v>
      </c>
      <c r="Z139" s="60">
        <v>0</v>
      </c>
      <c r="AB139" s="60" t="s">
        <v>529</v>
      </c>
      <c r="AC139" s="60" t="s">
        <v>349</v>
      </c>
      <c r="AD139" s="60">
        <v>0</v>
      </c>
      <c r="AE139" s="60">
        <v>0</v>
      </c>
      <c r="AF139" s="60">
        <v>0</v>
      </c>
      <c r="AG139" s="60">
        <v>0</v>
      </c>
      <c r="AL139" s="55" t="s">
        <v>532</v>
      </c>
      <c r="AM139" s="55" t="s">
        <v>822</v>
      </c>
      <c r="AN139" s="55" t="s">
        <v>834</v>
      </c>
      <c r="AP13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3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3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3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3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3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39" s="60">
        <f>IFERROR(IF(D139="스마트스토어",COUNTIFS(출고표[구입일자],"&lt;&gt;"&amp;H139,출고표[구매자명],E139,출고표[구매자연락처],F139),COUNTIFS(출고표[구입일자],"&lt;&gt;"&amp;H139,출고표[구매자명],E139,출고표[구매자연락처],G139)),0)</f>
        <v>0</v>
      </c>
    </row>
    <row r="140" spans="1:48" ht="20.100000000000001" customHeight="1">
      <c r="A140" s="55">
        <v>139</v>
      </c>
      <c r="B140" s="55" t="s">
        <v>562</v>
      </c>
      <c r="C140" s="64" t="s">
        <v>1848</v>
      </c>
      <c r="D140" s="55" t="s">
        <v>568</v>
      </c>
      <c r="E140" s="55" t="s">
        <v>1846</v>
      </c>
      <c r="F140" s="55" t="s">
        <v>1849</v>
      </c>
      <c r="G140" s="55" t="s">
        <v>1850</v>
      </c>
      <c r="H140" s="63">
        <v>45455</v>
      </c>
      <c r="I140" s="63">
        <v>45455</v>
      </c>
      <c r="J140" s="55" t="s">
        <v>563</v>
      </c>
      <c r="K140" s="64" t="s">
        <v>1847</v>
      </c>
      <c r="M140" s="55" t="s">
        <v>1846</v>
      </c>
      <c r="N140" s="55" t="s">
        <v>1850</v>
      </c>
      <c r="P140" s="55" t="s">
        <v>1851</v>
      </c>
      <c r="Q140" s="55" t="s">
        <v>569</v>
      </c>
      <c r="R140" s="55" t="s">
        <v>38</v>
      </c>
      <c r="S140" s="55" t="s">
        <v>353</v>
      </c>
      <c r="T140" s="60">
        <v>1</v>
      </c>
      <c r="U140" s="60">
        <v>24570</v>
      </c>
      <c r="V140" s="60">
        <v>0</v>
      </c>
      <c r="W140" s="60">
        <v>3000</v>
      </c>
      <c r="X140" s="60">
        <v>0</v>
      </c>
      <c r="Y140" s="60">
        <v>3000</v>
      </c>
      <c r="Z140" s="60">
        <v>0</v>
      </c>
      <c r="AB140" s="60">
        <v>23210</v>
      </c>
      <c r="AC140" s="60">
        <v>14300</v>
      </c>
      <c r="AD140" s="60">
        <v>27570</v>
      </c>
      <c r="AE140" s="60">
        <v>17300</v>
      </c>
      <c r="AF140" s="60">
        <v>3018</v>
      </c>
      <c r="AG140" s="60">
        <v>7252</v>
      </c>
      <c r="AH140" s="61">
        <v>0.26300000000000001</v>
      </c>
      <c r="AL140" s="55" t="s">
        <v>37</v>
      </c>
      <c r="AN140" s="55" t="s">
        <v>834</v>
      </c>
      <c r="AP140" s="62">
        <f>IFERROR(IF(출고표[[#This Row],[클레임]]="반품",출고표[[#This Row],[배송비]],출고표[[#This Row],[결제액]]+출고표[[#This Row],[배송비]]+출고표[[#This Row],[제주/도서추가배송비]]),0)</f>
        <v>27570</v>
      </c>
      <c r="AQ14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17300</v>
      </c>
      <c r="AR14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3018</v>
      </c>
      <c r="AS14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7252</v>
      </c>
      <c r="AT14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0.26300000000000001</v>
      </c>
      <c r="AU14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0" s="60">
        <f>IFERROR(IF(D140="스마트스토어",COUNTIFS(출고표[구입일자],"&lt;&gt;"&amp;H140,출고표[구매자명],E140,출고표[구매자연락처],F140),COUNTIFS(출고표[구입일자],"&lt;&gt;"&amp;H140,출고표[구매자명],E140,출고표[구매자연락처],G140)),0)</f>
        <v>0</v>
      </c>
    </row>
    <row r="141" spans="1:48" ht="20.100000000000001" customHeight="1">
      <c r="A141" s="55">
        <v>140</v>
      </c>
      <c r="B141" s="55" t="s">
        <v>673</v>
      </c>
      <c r="C141" s="64" t="s">
        <v>1855</v>
      </c>
      <c r="D141" s="55" t="s">
        <v>568</v>
      </c>
      <c r="E141" s="55" t="s">
        <v>1853</v>
      </c>
      <c r="F141" s="55" t="s">
        <v>1856</v>
      </c>
      <c r="G141" s="55" t="s">
        <v>1857</v>
      </c>
      <c r="H141" s="63">
        <v>45454</v>
      </c>
      <c r="I141" s="63">
        <v>45455</v>
      </c>
      <c r="J141" s="55" t="s">
        <v>563</v>
      </c>
      <c r="K141" s="64" t="s">
        <v>1854</v>
      </c>
      <c r="M141" s="55" t="s">
        <v>1853</v>
      </c>
      <c r="N141" s="55" t="s">
        <v>1857</v>
      </c>
      <c r="P141" s="55" t="s">
        <v>1858</v>
      </c>
      <c r="Q141" s="55" t="s">
        <v>569</v>
      </c>
      <c r="R141" s="55" t="s">
        <v>26</v>
      </c>
      <c r="S141" s="55" t="s">
        <v>353</v>
      </c>
      <c r="T141" s="60">
        <v>1</v>
      </c>
      <c r="U141" s="60">
        <v>23020</v>
      </c>
      <c r="V141" s="60">
        <v>0</v>
      </c>
      <c r="W141" s="60">
        <v>3000</v>
      </c>
      <c r="X141" s="60">
        <v>0</v>
      </c>
      <c r="Y141" s="60">
        <v>3000</v>
      </c>
      <c r="Z141" s="60">
        <v>0</v>
      </c>
      <c r="AB141" s="60">
        <v>23020</v>
      </c>
      <c r="AC141" s="60">
        <v>15070</v>
      </c>
      <c r="AD141" s="60">
        <v>26020</v>
      </c>
      <c r="AE141" s="60">
        <v>0</v>
      </c>
      <c r="AF141" s="60">
        <v>2834</v>
      </c>
      <c r="AG141" s="60">
        <v>0</v>
      </c>
      <c r="AL141" s="55" t="s">
        <v>25</v>
      </c>
      <c r="AN141" s="55" t="s">
        <v>834</v>
      </c>
      <c r="AP141" s="62">
        <f>IFERROR(IF(출고표[[#This Row],[클레임]]="반품",출고표[[#This Row],[배송비]],출고표[[#This Row],[결제액]]+출고표[[#This Row],[배송비]]+출고표[[#This Row],[제주/도서추가배송비]]),0)</f>
        <v>26020</v>
      </c>
      <c r="AQ14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1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1" s="60">
        <f>IFERROR(IF(D141="스마트스토어",COUNTIFS(출고표[구입일자],"&lt;&gt;"&amp;H141,출고표[구매자명],E141,출고표[구매자연락처],F141),COUNTIFS(출고표[구입일자],"&lt;&gt;"&amp;H141,출고표[구매자명],E141,출고표[구매자연락처],G141)),0)</f>
        <v>0</v>
      </c>
    </row>
    <row r="142" spans="1:48" ht="20.100000000000001" customHeight="1">
      <c r="A142" s="55">
        <v>141</v>
      </c>
      <c r="B142" s="55" t="s">
        <v>562</v>
      </c>
      <c r="C142" s="64" t="s">
        <v>1863</v>
      </c>
      <c r="D142" s="55" t="s">
        <v>561</v>
      </c>
      <c r="E142" s="55" t="s">
        <v>1860</v>
      </c>
      <c r="F142" s="55" t="s">
        <v>1864</v>
      </c>
      <c r="G142" s="55" t="s">
        <v>1865</v>
      </c>
      <c r="H142" s="63">
        <v>45454</v>
      </c>
      <c r="I142" s="63">
        <v>45455</v>
      </c>
      <c r="J142" s="55" t="s">
        <v>563</v>
      </c>
      <c r="K142" s="64" t="s">
        <v>1861</v>
      </c>
      <c r="M142" s="55" t="s">
        <v>1860</v>
      </c>
      <c r="N142" s="55" t="s">
        <v>1865</v>
      </c>
      <c r="P142" s="55" t="s">
        <v>1866</v>
      </c>
      <c r="Q142" s="55" t="s">
        <v>1354</v>
      </c>
      <c r="R142" s="55" t="s">
        <v>18</v>
      </c>
      <c r="S142" s="55" t="s">
        <v>353</v>
      </c>
      <c r="T142" s="60">
        <v>1</v>
      </c>
      <c r="U142" s="60">
        <v>10690</v>
      </c>
      <c r="V142" s="60">
        <v>1190</v>
      </c>
      <c r="W142" s="60">
        <v>3000</v>
      </c>
      <c r="X142" s="60">
        <v>0</v>
      </c>
      <c r="Y142" s="60">
        <v>3000</v>
      </c>
      <c r="Z142" s="60">
        <v>0</v>
      </c>
      <c r="AB142" s="60">
        <v>11220</v>
      </c>
      <c r="AC142" s="60">
        <v>7260</v>
      </c>
      <c r="AD142" s="60">
        <v>13690</v>
      </c>
      <c r="AE142" s="60">
        <v>10260</v>
      </c>
      <c r="AF142" s="60">
        <v>564</v>
      </c>
      <c r="AG142" s="60">
        <v>2866</v>
      </c>
      <c r="AH142" s="61">
        <v>0.20930000000000001</v>
      </c>
      <c r="AL142" s="55" t="s">
        <v>17</v>
      </c>
      <c r="AN142" s="55" t="s">
        <v>834</v>
      </c>
      <c r="AP142" s="62">
        <f>IFERROR(IF(출고표[[#This Row],[클레임]]="반품",출고표[[#This Row],[배송비]],출고표[[#This Row],[결제액]]+출고표[[#This Row],[배송비]]+출고표[[#This Row],[제주/도서추가배송비]]),0)</f>
        <v>13690</v>
      </c>
      <c r="AQ14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10260</v>
      </c>
      <c r="AR14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564</v>
      </c>
      <c r="AS14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2866</v>
      </c>
      <c r="AT14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0.20930000000000001</v>
      </c>
      <c r="AU14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2" s="60">
        <f>IFERROR(IF(D142="스마트스토어",COUNTIFS(출고표[구입일자],"&lt;&gt;"&amp;H142,출고표[구매자명],E142,출고표[구매자연락처],F142),COUNTIFS(출고표[구입일자],"&lt;&gt;"&amp;H142,출고표[구매자명],E142,출고표[구매자연락처],G142)),0)</f>
        <v>0</v>
      </c>
    </row>
    <row r="143" spans="1:48" ht="20.100000000000001" customHeight="1">
      <c r="A143" s="55">
        <v>142</v>
      </c>
      <c r="B143" s="55" t="s">
        <v>562</v>
      </c>
      <c r="C143" s="64" t="s">
        <v>1872</v>
      </c>
      <c r="D143" s="55" t="s">
        <v>561</v>
      </c>
      <c r="E143" s="55" t="s">
        <v>1868</v>
      </c>
      <c r="F143" s="55" t="s">
        <v>1873</v>
      </c>
      <c r="G143" s="55" t="s">
        <v>1874</v>
      </c>
      <c r="H143" s="63">
        <v>45454</v>
      </c>
      <c r="I143" s="63">
        <v>45455</v>
      </c>
      <c r="J143" s="55" t="s">
        <v>563</v>
      </c>
      <c r="K143" s="64" t="s">
        <v>1870</v>
      </c>
      <c r="M143" s="55" t="s">
        <v>1868</v>
      </c>
      <c r="N143" s="55" t="s">
        <v>1874</v>
      </c>
      <c r="O143" s="55" t="s">
        <v>1875</v>
      </c>
      <c r="P143" s="55" t="s">
        <v>1876</v>
      </c>
      <c r="Q143" s="55" t="s">
        <v>1261</v>
      </c>
      <c r="R143" s="55" t="s">
        <v>247</v>
      </c>
      <c r="S143" s="55" t="s">
        <v>354</v>
      </c>
      <c r="T143" s="60">
        <v>50</v>
      </c>
      <c r="U143" s="60">
        <v>65500</v>
      </c>
      <c r="V143" s="60">
        <v>0</v>
      </c>
      <c r="W143" s="60">
        <v>0</v>
      </c>
      <c r="X143" s="60">
        <v>0</v>
      </c>
      <c r="Y143" s="60">
        <v>0</v>
      </c>
      <c r="Z143" s="60">
        <v>0</v>
      </c>
      <c r="AB143" s="60">
        <v>1250</v>
      </c>
      <c r="AC143" s="60">
        <v>798</v>
      </c>
      <c r="AD143" s="60">
        <v>65500</v>
      </c>
      <c r="AE143" s="60">
        <v>39900</v>
      </c>
      <c r="AF143" s="60">
        <v>2687</v>
      </c>
      <c r="AG143" s="60">
        <v>22913</v>
      </c>
      <c r="AH143" s="61">
        <v>0.3498</v>
      </c>
      <c r="AL143" s="55" t="s">
        <v>1983</v>
      </c>
      <c r="AN143" s="55" t="s">
        <v>834</v>
      </c>
      <c r="AP143" s="62">
        <f>IFERROR(IF(출고표[[#This Row],[클레임]]="반품",출고표[[#This Row],[배송비]],출고표[[#This Row],[결제액]]+출고표[[#This Row],[배송비]]+출고표[[#This Row],[제주/도서추가배송비]]),0)</f>
        <v>65500</v>
      </c>
      <c r="AQ14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39900</v>
      </c>
      <c r="AR14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2687</v>
      </c>
      <c r="AS14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22913</v>
      </c>
      <c r="AT14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0.3498</v>
      </c>
      <c r="AU14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3" s="60">
        <f>IFERROR(IF(D143="스마트스토어",COUNTIFS(출고표[구입일자],"&lt;&gt;"&amp;H143,출고표[구매자명],E143,출고표[구매자연락처],F143),COUNTIFS(출고표[구입일자],"&lt;&gt;"&amp;H143,출고표[구매자명],E143,출고표[구매자연락처],G143)),0)</f>
        <v>0</v>
      </c>
    </row>
    <row r="144" spans="1:48" ht="20.100000000000001" customHeight="1">
      <c r="A144" s="55">
        <v>143</v>
      </c>
      <c r="B144" s="55" t="s">
        <v>673</v>
      </c>
      <c r="C144" s="64" t="s">
        <v>675</v>
      </c>
      <c r="D144" s="55" t="s">
        <v>561</v>
      </c>
      <c r="E144" s="55" t="s">
        <v>670</v>
      </c>
      <c r="F144" s="55" t="s">
        <v>676</v>
      </c>
      <c r="G144" s="55" t="s">
        <v>677</v>
      </c>
      <c r="H144" s="63">
        <v>45456</v>
      </c>
      <c r="I144" s="63">
        <v>45456</v>
      </c>
      <c r="J144" s="55" t="s">
        <v>563</v>
      </c>
      <c r="K144" s="64" t="s">
        <v>672</v>
      </c>
      <c r="M144" s="55" t="s">
        <v>670</v>
      </c>
      <c r="N144" s="55" t="s">
        <v>677</v>
      </c>
      <c r="P144" s="55" t="s">
        <v>678</v>
      </c>
      <c r="R144" s="55" t="s">
        <v>18</v>
      </c>
      <c r="S144" s="55" t="s">
        <v>353</v>
      </c>
      <c r="T144" s="60">
        <v>1</v>
      </c>
      <c r="U144" s="60">
        <v>10560</v>
      </c>
      <c r="V144" s="60">
        <v>0</v>
      </c>
      <c r="W144" s="60">
        <v>3000</v>
      </c>
      <c r="X144" s="60">
        <v>0</v>
      </c>
      <c r="Y144" s="60">
        <v>3500</v>
      </c>
      <c r="Z144" s="60">
        <v>0</v>
      </c>
      <c r="AB144" s="60">
        <v>10560</v>
      </c>
      <c r="AC144" s="60">
        <v>7260</v>
      </c>
      <c r="AD144" s="60">
        <v>13560</v>
      </c>
      <c r="AE144" s="60">
        <v>0</v>
      </c>
      <c r="AF144" s="60">
        <v>700</v>
      </c>
      <c r="AG144" s="60">
        <v>0</v>
      </c>
      <c r="AL144" s="55" t="s">
        <v>17</v>
      </c>
      <c r="AN144" s="55" t="s">
        <v>834</v>
      </c>
      <c r="AP144" s="62">
        <f>IFERROR(IF(출고표[[#This Row],[클레임]]="반품",출고표[[#This Row],[배송비]],출고표[[#This Row],[결제액]]+출고표[[#This Row],[배송비]]+출고표[[#This Row],[제주/도서추가배송비]]),0)</f>
        <v>13560</v>
      </c>
      <c r="AQ14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700</v>
      </c>
      <c r="AS14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4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4" s="60">
        <f>IFERROR(IF(D144="스마트스토어",COUNTIFS(출고표[구입일자],"&lt;&gt;"&amp;H144,출고표[구매자명],E144,출고표[구매자연락처],F144),COUNTIFS(출고표[구입일자],"&lt;&gt;"&amp;H144,출고표[구매자명],E144,출고표[구매자연락처],G144)),0)</f>
        <v>0</v>
      </c>
    </row>
    <row r="145" spans="1:48" ht="20.100000000000001" customHeight="1">
      <c r="A145" s="55">
        <v>144</v>
      </c>
      <c r="B145" s="55" t="s">
        <v>673</v>
      </c>
      <c r="C145" s="64" t="s">
        <v>682</v>
      </c>
      <c r="D145" s="55" t="s">
        <v>561</v>
      </c>
      <c r="E145" s="55" t="s">
        <v>670</v>
      </c>
      <c r="F145" s="55" t="s">
        <v>676</v>
      </c>
      <c r="G145" s="55" t="s">
        <v>677</v>
      </c>
      <c r="H145" s="63">
        <v>45456</v>
      </c>
      <c r="I145" s="63">
        <v>45456</v>
      </c>
      <c r="J145" s="55" t="s">
        <v>563</v>
      </c>
      <c r="K145" s="64" t="s">
        <v>672</v>
      </c>
      <c r="M145" s="55" t="s">
        <v>670</v>
      </c>
      <c r="N145" s="55" t="s">
        <v>677</v>
      </c>
      <c r="P145" s="55" t="s">
        <v>678</v>
      </c>
      <c r="R145" s="55" t="s">
        <v>90</v>
      </c>
      <c r="S145" s="55" t="s">
        <v>353</v>
      </c>
      <c r="T145" s="60">
        <v>1</v>
      </c>
      <c r="U145" s="60">
        <v>3450</v>
      </c>
      <c r="V145" s="60">
        <v>0</v>
      </c>
      <c r="W145" s="60">
        <v>0</v>
      </c>
      <c r="X145" s="60">
        <v>0</v>
      </c>
      <c r="Y145" s="60">
        <v>0</v>
      </c>
      <c r="Z145" s="60">
        <v>0</v>
      </c>
      <c r="AB145" s="60">
        <v>3800</v>
      </c>
      <c r="AC145" s="60">
        <v>2530</v>
      </c>
      <c r="AD145" s="60">
        <v>3450</v>
      </c>
      <c r="AE145" s="60">
        <v>0</v>
      </c>
      <c r="AF145" s="60">
        <v>253</v>
      </c>
      <c r="AG145" s="60">
        <v>0</v>
      </c>
      <c r="AL145" s="55" t="s">
        <v>89</v>
      </c>
      <c r="AM145" s="55" t="s">
        <v>822</v>
      </c>
      <c r="AN145" s="55" t="s">
        <v>834</v>
      </c>
      <c r="AP145" s="62">
        <f>IFERROR(IF(출고표[[#This Row],[클레임]]="반품",출고표[[#This Row],[배송비]],출고표[[#This Row],[결제액]]+출고표[[#This Row],[배송비]]+출고표[[#This Row],[제주/도서추가배송비]]),0)</f>
        <v>3450</v>
      </c>
      <c r="AQ14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253</v>
      </c>
      <c r="AS14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5" s="60">
        <f>IFERROR(IF(D145="스마트스토어",COUNTIFS(출고표[구입일자],"&lt;&gt;"&amp;H145,출고표[구매자명],E145,출고표[구매자연락처],F145),COUNTIFS(출고표[구입일자],"&lt;&gt;"&amp;H145,출고표[구매자명],E145,출고표[구매자연락처],G145)),0)</f>
        <v>0</v>
      </c>
    </row>
    <row r="146" spans="1:48" ht="20.100000000000001" customHeight="1">
      <c r="A146" s="55">
        <v>145</v>
      </c>
      <c r="B146" s="55" t="s">
        <v>673</v>
      </c>
      <c r="C146" s="64" t="s">
        <v>687</v>
      </c>
      <c r="D146" s="55" t="s">
        <v>568</v>
      </c>
      <c r="E146" s="55" t="s">
        <v>688</v>
      </c>
      <c r="F146" s="55" t="s">
        <v>835</v>
      </c>
      <c r="G146" s="55" t="s">
        <v>836</v>
      </c>
      <c r="H146" s="63">
        <v>45455</v>
      </c>
      <c r="I146" s="63">
        <v>45456</v>
      </c>
      <c r="J146" s="55" t="s">
        <v>563</v>
      </c>
      <c r="K146" s="64" t="s">
        <v>686</v>
      </c>
      <c r="M146" s="55" t="s">
        <v>683</v>
      </c>
      <c r="N146" s="55" t="s">
        <v>836</v>
      </c>
      <c r="P146" s="55" t="s">
        <v>689</v>
      </c>
      <c r="Q146" s="55" t="s">
        <v>571</v>
      </c>
      <c r="R146" s="55" t="s">
        <v>34</v>
      </c>
      <c r="S146" s="55" t="s">
        <v>353</v>
      </c>
      <c r="T146" s="60">
        <v>2</v>
      </c>
      <c r="U146" s="60">
        <v>60480</v>
      </c>
      <c r="V146" s="60">
        <v>0</v>
      </c>
      <c r="W146" s="60">
        <v>0</v>
      </c>
      <c r="X146" s="60">
        <v>0</v>
      </c>
      <c r="Y146" s="60">
        <v>4400</v>
      </c>
      <c r="Z146" s="60">
        <v>0</v>
      </c>
      <c r="AB146" s="60">
        <v>30240</v>
      </c>
      <c r="AC146" s="60">
        <v>19800</v>
      </c>
      <c r="AD146" s="60">
        <v>60480</v>
      </c>
      <c r="AE146" s="60">
        <v>0</v>
      </c>
      <c r="AF146" s="60">
        <v>7185</v>
      </c>
      <c r="AG146" s="60">
        <v>0</v>
      </c>
      <c r="AL146" s="55" t="s">
        <v>33</v>
      </c>
      <c r="AN146" s="55" t="s">
        <v>834</v>
      </c>
      <c r="AP146" s="62">
        <f>IFERROR(IF(출고표[[#This Row],[클레임]]="반품",출고표[[#This Row],[배송비]],출고표[[#This Row],[결제액]]+출고표[[#This Row],[배송비]]+출고표[[#This Row],[제주/도서추가배송비]]),0)</f>
        <v>60480</v>
      </c>
      <c r="AQ14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7185</v>
      </c>
      <c r="AS14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6" s="60">
        <f>IFERROR(IF(D146="스마트스토어",COUNTIFS(출고표[구입일자],"&lt;&gt;"&amp;H146,출고표[구매자명],E146,출고표[구매자연락처],F146),COUNTIFS(출고표[구입일자],"&lt;&gt;"&amp;H146,출고표[구매자명],E146,출고표[구매자연락처],G146)),0)</f>
        <v>0</v>
      </c>
    </row>
    <row r="147" spans="1:48" ht="20.100000000000001" customHeight="1">
      <c r="A147" s="55">
        <v>146</v>
      </c>
      <c r="B147" s="55" t="s">
        <v>673</v>
      </c>
      <c r="C147" s="64" t="s">
        <v>695</v>
      </c>
      <c r="D147" s="55" t="s">
        <v>568</v>
      </c>
      <c r="E147" s="55" t="s">
        <v>696</v>
      </c>
      <c r="F147" s="55" t="s">
        <v>697</v>
      </c>
      <c r="G147" s="55" t="s">
        <v>698</v>
      </c>
      <c r="H147" s="63">
        <v>45455</v>
      </c>
      <c r="I147" s="63">
        <v>45456</v>
      </c>
      <c r="J147" s="55" t="s">
        <v>563</v>
      </c>
      <c r="K147" s="64" t="s">
        <v>694</v>
      </c>
      <c r="M147" s="55" t="s">
        <v>691</v>
      </c>
      <c r="N147" s="55" t="s">
        <v>698</v>
      </c>
      <c r="P147" s="55" t="s">
        <v>699</v>
      </c>
      <c r="Q147" s="55" t="s">
        <v>571</v>
      </c>
      <c r="R147" s="55" t="s">
        <v>133</v>
      </c>
      <c r="S147" s="55" t="s">
        <v>353</v>
      </c>
      <c r="T147" s="60">
        <v>1</v>
      </c>
      <c r="U147" s="60">
        <v>34000</v>
      </c>
      <c r="V147" s="60">
        <v>0</v>
      </c>
      <c r="W147" s="60">
        <v>3000</v>
      </c>
      <c r="X147" s="60">
        <v>0</v>
      </c>
      <c r="Y147" s="60">
        <v>4400</v>
      </c>
      <c r="Z147" s="60">
        <v>0</v>
      </c>
      <c r="AB147" s="60">
        <v>8700</v>
      </c>
      <c r="AC147" s="60">
        <v>5500</v>
      </c>
      <c r="AD147" s="60">
        <v>37000</v>
      </c>
      <c r="AE147" s="60">
        <v>0</v>
      </c>
      <c r="AF147" s="60">
        <v>4138</v>
      </c>
      <c r="AG147" s="60">
        <v>0</v>
      </c>
      <c r="AL147" s="55" t="s">
        <v>132</v>
      </c>
      <c r="AN147" s="55" t="s">
        <v>834</v>
      </c>
      <c r="AO147" s="55">
        <v>10</v>
      </c>
      <c r="AP147" s="62">
        <f>IFERROR(IF(출고표[[#This Row],[클레임]]="반품",출고표[[#This Row],[배송비]],출고표[[#This Row],[결제액]]+출고표[[#This Row],[배송비]]+출고표[[#This Row],[제주/도서추가배송비]]),0)</f>
        <v>37000</v>
      </c>
      <c r="AQ14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4138</v>
      </c>
      <c r="AS14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7" s="60">
        <f>IFERROR(IF(D147="스마트스토어",COUNTIFS(출고표[구입일자],"&lt;&gt;"&amp;H147,출고표[구매자명],E147,출고표[구매자연락처],F147),COUNTIFS(출고표[구입일자],"&lt;&gt;"&amp;H147,출고표[구매자명],E147,출고표[구매자연락처],G147)),0)</f>
        <v>0</v>
      </c>
    </row>
    <row r="148" spans="1:48" ht="20.100000000000001" customHeight="1">
      <c r="A148" s="55">
        <v>147</v>
      </c>
      <c r="B148" s="55" t="s">
        <v>673</v>
      </c>
      <c r="C148" s="64" t="s">
        <v>706</v>
      </c>
      <c r="D148" s="55" t="s">
        <v>568</v>
      </c>
      <c r="E148" s="55" t="s">
        <v>702</v>
      </c>
      <c r="F148" s="55" t="s">
        <v>707</v>
      </c>
      <c r="G148" s="55" t="s">
        <v>708</v>
      </c>
      <c r="H148" s="63">
        <v>45456</v>
      </c>
      <c r="I148" s="63">
        <v>45456</v>
      </c>
      <c r="J148" s="55" t="s">
        <v>563</v>
      </c>
      <c r="K148" s="64" t="s">
        <v>705</v>
      </c>
      <c r="M148" s="55" t="s">
        <v>702</v>
      </c>
      <c r="N148" s="55" t="s">
        <v>708</v>
      </c>
      <c r="P148" s="55" t="s">
        <v>709</v>
      </c>
      <c r="Q148" s="55" t="s">
        <v>569</v>
      </c>
      <c r="R148" s="55" t="s">
        <v>26</v>
      </c>
      <c r="S148" s="55" t="s">
        <v>353</v>
      </c>
      <c r="T148" s="60">
        <v>1</v>
      </c>
      <c r="U148" s="60">
        <v>23020</v>
      </c>
      <c r="V148" s="60">
        <v>0</v>
      </c>
      <c r="W148" s="60">
        <v>3000</v>
      </c>
      <c r="X148" s="60">
        <v>0</v>
      </c>
      <c r="Y148" s="60">
        <v>3000</v>
      </c>
      <c r="Z148" s="60">
        <v>0</v>
      </c>
      <c r="AB148" s="60">
        <v>23020</v>
      </c>
      <c r="AC148" s="60">
        <v>15070</v>
      </c>
      <c r="AD148" s="60">
        <v>26020</v>
      </c>
      <c r="AE148" s="60">
        <v>0</v>
      </c>
      <c r="AF148" s="60">
        <v>2834</v>
      </c>
      <c r="AG148" s="60">
        <v>0</v>
      </c>
      <c r="AL148" s="55" t="s">
        <v>25</v>
      </c>
      <c r="AN148" s="55" t="s">
        <v>834</v>
      </c>
      <c r="AP148" s="62">
        <f>IFERROR(IF(출고표[[#This Row],[클레임]]="반품",출고표[[#This Row],[배송비]],출고표[[#This Row],[결제액]]+출고표[[#This Row],[배송비]]+출고표[[#This Row],[제주/도서추가배송비]]),0)</f>
        <v>26020</v>
      </c>
      <c r="AQ14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2834</v>
      </c>
      <c r="AS14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8" s="60">
        <f>IFERROR(IF(D148="스마트스토어",COUNTIFS(출고표[구입일자],"&lt;&gt;"&amp;H148,출고표[구매자명],E148,출고표[구매자연락처],F148),COUNTIFS(출고표[구입일자],"&lt;&gt;"&amp;H148,출고표[구매자명],E148,출고표[구매자연락처],G148)),0)</f>
        <v>0</v>
      </c>
    </row>
    <row r="149" spans="1:48" ht="20.100000000000001" customHeight="1">
      <c r="A149" s="55">
        <v>148</v>
      </c>
      <c r="B149" s="55" t="s">
        <v>673</v>
      </c>
      <c r="C149" s="64" t="s">
        <v>2101</v>
      </c>
      <c r="D149" s="55" t="s">
        <v>532</v>
      </c>
      <c r="H149" s="63">
        <v>45456</v>
      </c>
      <c r="I149" s="63">
        <v>45456</v>
      </c>
      <c r="J149" s="55" t="s">
        <v>563</v>
      </c>
      <c r="K149" s="64" t="s">
        <v>1881</v>
      </c>
      <c r="M149" s="55" t="s">
        <v>1879</v>
      </c>
      <c r="N149" s="55" t="s">
        <v>1883</v>
      </c>
      <c r="P149" s="55" t="s">
        <v>1884</v>
      </c>
      <c r="R149" s="55" t="s">
        <v>531</v>
      </c>
      <c r="S149" s="55" t="s">
        <v>353</v>
      </c>
      <c r="T149" s="60">
        <v>1</v>
      </c>
      <c r="U149" s="60">
        <v>0</v>
      </c>
      <c r="V149" s="60">
        <v>0</v>
      </c>
      <c r="W149" s="60">
        <v>0</v>
      </c>
      <c r="X149" s="60">
        <v>0</v>
      </c>
      <c r="Y149" s="60">
        <v>0</v>
      </c>
      <c r="Z149" s="60">
        <v>0</v>
      </c>
      <c r="AB149" s="60" t="s">
        <v>1982</v>
      </c>
      <c r="AC149" s="60" t="s">
        <v>1982</v>
      </c>
      <c r="AD149" s="60">
        <v>0</v>
      </c>
      <c r="AE149" s="60">
        <v>0</v>
      </c>
      <c r="AF149" s="60">
        <v>0</v>
      </c>
      <c r="AG149" s="60">
        <v>0</v>
      </c>
      <c r="AL149" s="55" t="s">
        <v>532</v>
      </c>
      <c r="AM149" s="55" t="s">
        <v>822</v>
      </c>
      <c r="AN149" s="55" t="s">
        <v>834</v>
      </c>
      <c r="AO149" s="55">
        <v>1</v>
      </c>
      <c r="AP149" s="62">
        <f>IFERROR(IF(출고표[[#This Row],[클레임]]="반품",출고표[[#This Row],[배송비]],출고표[[#This Row],[결제액]]+출고표[[#This Row],[배송비]]+출고표[[#This Row],[제주/도서추가배송비]]),0)</f>
        <v>0</v>
      </c>
      <c r="AQ14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4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0</v>
      </c>
      <c r="AS14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49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4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49" s="60">
        <f>IFERROR(IF(D149="스마트스토어",COUNTIFS(출고표[구입일자],"&lt;&gt;"&amp;H149,출고표[구매자명],E149,출고표[구매자연락처],F149),COUNTIFS(출고표[구입일자],"&lt;&gt;"&amp;H149,출고표[구매자명],E149,출고표[구매자연락처],G149)),0)</f>
        <v>0</v>
      </c>
    </row>
    <row r="150" spans="1:48" ht="20.100000000000001" customHeight="1">
      <c r="A150" s="55">
        <v>149</v>
      </c>
      <c r="B150" s="55" t="s">
        <v>562</v>
      </c>
      <c r="C150" s="64" t="s">
        <v>713</v>
      </c>
      <c r="D150" s="55" t="s">
        <v>568</v>
      </c>
      <c r="E150" s="55" t="s">
        <v>711</v>
      </c>
      <c r="F150" s="55" t="s">
        <v>714</v>
      </c>
      <c r="G150" s="55" t="s">
        <v>715</v>
      </c>
      <c r="H150" s="63">
        <v>45455</v>
      </c>
      <c r="I150" s="63">
        <v>45456</v>
      </c>
      <c r="J150" s="55" t="s">
        <v>563</v>
      </c>
      <c r="K150" s="64" t="s">
        <v>712</v>
      </c>
      <c r="M150" s="55" t="s">
        <v>711</v>
      </c>
      <c r="N150" s="55" t="s">
        <v>715</v>
      </c>
      <c r="P150" s="55" t="s">
        <v>716</v>
      </c>
      <c r="Q150" s="55" t="s">
        <v>571</v>
      </c>
      <c r="R150" s="55" t="s">
        <v>133</v>
      </c>
      <c r="S150" s="55" t="s">
        <v>353</v>
      </c>
      <c r="T150" s="60">
        <v>1</v>
      </c>
      <c r="U150" s="60">
        <v>940</v>
      </c>
      <c r="V150" s="60">
        <v>0</v>
      </c>
      <c r="W150" s="60">
        <v>3000</v>
      </c>
      <c r="X150" s="60">
        <v>0</v>
      </c>
      <c r="Y150" s="60">
        <v>3000</v>
      </c>
      <c r="Z150" s="60">
        <v>0</v>
      </c>
      <c r="AB150" s="60">
        <v>890</v>
      </c>
      <c r="AC150" s="60">
        <v>550</v>
      </c>
      <c r="AD150" s="60">
        <v>3940</v>
      </c>
      <c r="AE150" s="60">
        <v>3550</v>
      </c>
      <c r="AF150" s="60">
        <v>211</v>
      </c>
      <c r="AG150" s="60">
        <v>179</v>
      </c>
      <c r="AH150" s="61">
        <v>4.5400000000000003E-2</v>
      </c>
      <c r="AL150" s="55" t="s">
        <v>132</v>
      </c>
      <c r="AN150" s="55" t="s">
        <v>834</v>
      </c>
      <c r="AP150" s="62">
        <f>IFERROR(IF(출고표[[#This Row],[클레임]]="반품",출고표[[#This Row],[배송비]],출고표[[#This Row],[결제액]]+출고표[[#This Row],[배송비]]+출고표[[#This Row],[제주/도서추가배송비]]),0)</f>
        <v>3940</v>
      </c>
      <c r="AQ15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3550</v>
      </c>
      <c r="AR15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179</v>
      </c>
      <c r="AT15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4.5400000000000003E-2</v>
      </c>
      <c r="AU15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0" s="60">
        <f>IFERROR(IF(D150="스마트스토어",COUNTIFS(출고표[구입일자],"&lt;&gt;"&amp;H150,출고표[구매자명],E150,출고표[구매자연락처],F150),COUNTIFS(출고표[구입일자],"&lt;&gt;"&amp;H150,출고표[구매자명],E150,출고표[구매자연락처],G150)),0)</f>
        <v>0</v>
      </c>
    </row>
    <row r="151" spans="1:48" ht="20.100000000000001" customHeight="1">
      <c r="A151" s="55">
        <v>150</v>
      </c>
      <c r="B151" s="55" t="s">
        <v>562</v>
      </c>
      <c r="C151" s="64" t="s">
        <v>721</v>
      </c>
      <c r="D151" s="55" t="s">
        <v>568</v>
      </c>
      <c r="E151" s="55" t="s">
        <v>718</v>
      </c>
      <c r="F151" s="55" t="s">
        <v>722</v>
      </c>
      <c r="G151" s="55" t="s">
        <v>723</v>
      </c>
      <c r="H151" s="63">
        <v>45455</v>
      </c>
      <c r="I151" s="63">
        <v>45456</v>
      </c>
      <c r="J151" s="55" t="s">
        <v>563</v>
      </c>
      <c r="K151" s="64" t="s">
        <v>720</v>
      </c>
      <c r="M151" s="55" t="s">
        <v>718</v>
      </c>
      <c r="N151" s="55" t="s">
        <v>723</v>
      </c>
      <c r="P151" s="55" t="s">
        <v>724</v>
      </c>
      <c r="Q151" s="55" t="s">
        <v>569</v>
      </c>
      <c r="R151" s="55" t="s">
        <v>129</v>
      </c>
      <c r="S151" s="55" t="s">
        <v>353</v>
      </c>
      <c r="T151" s="60">
        <v>20</v>
      </c>
      <c r="U151" s="60">
        <v>23000</v>
      </c>
      <c r="V151" s="60">
        <v>0</v>
      </c>
      <c r="W151" s="60">
        <v>3000</v>
      </c>
      <c r="X151" s="60">
        <v>0</v>
      </c>
      <c r="Y151" s="60">
        <v>3500</v>
      </c>
      <c r="Z151" s="60">
        <v>0</v>
      </c>
      <c r="AB151" s="60">
        <v>1070</v>
      </c>
      <c r="AC151" s="60">
        <v>660</v>
      </c>
      <c r="AD151" s="60">
        <v>26000</v>
      </c>
      <c r="AE151" s="60">
        <v>16700</v>
      </c>
      <c r="AF151" s="60">
        <v>2831</v>
      </c>
      <c r="AG151" s="60">
        <v>6469</v>
      </c>
      <c r="AH151" s="61">
        <v>0.24879999999999999</v>
      </c>
      <c r="AL151" s="55" t="s">
        <v>128</v>
      </c>
      <c r="AN151" s="55" t="s">
        <v>834</v>
      </c>
      <c r="AP151" s="62">
        <f>IFERROR(IF(출고표[[#This Row],[클레임]]="반품",출고표[[#This Row],[배송비]],출고표[[#This Row],[결제액]]+출고표[[#This Row],[배송비]]+출고표[[#This Row],[제주/도서추가배송비]]),0)</f>
        <v>26000</v>
      </c>
      <c r="AQ15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16700</v>
      </c>
      <c r="AR15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2831</v>
      </c>
      <c r="AS15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6469</v>
      </c>
      <c r="AT15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0.24879999999999999</v>
      </c>
      <c r="AU15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1" s="60">
        <f>IFERROR(IF(D151="스마트스토어",COUNTIFS(출고표[구입일자],"&lt;&gt;"&amp;H151,출고표[구매자명],E151,출고표[구매자연락처],F151),COUNTIFS(출고표[구입일자],"&lt;&gt;"&amp;H151,출고표[구매자명],E151,출고표[구매자연락처],G151)),0)</f>
        <v>0</v>
      </c>
    </row>
    <row r="152" spans="1:48" ht="20.100000000000001" customHeight="1">
      <c r="A152" s="55">
        <v>151</v>
      </c>
      <c r="B152" s="55" t="s">
        <v>562</v>
      </c>
      <c r="C152" s="64" t="s">
        <v>730</v>
      </c>
      <c r="D152" s="55" t="s">
        <v>568</v>
      </c>
      <c r="E152" s="55" t="s">
        <v>731</v>
      </c>
      <c r="F152" s="55" t="s">
        <v>732</v>
      </c>
      <c r="G152" s="55" t="s">
        <v>733</v>
      </c>
      <c r="H152" s="63">
        <v>45455</v>
      </c>
      <c r="I152" s="63">
        <v>45456</v>
      </c>
      <c r="J152" s="55" t="s">
        <v>563</v>
      </c>
      <c r="K152" s="64" t="s">
        <v>729</v>
      </c>
      <c r="M152" s="55" t="s">
        <v>726</v>
      </c>
      <c r="N152" s="55" t="s">
        <v>733</v>
      </c>
      <c r="P152" s="55" t="s">
        <v>734</v>
      </c>
      <c r="Q152" s="55" t="s">
        <v>569</v>
      </c>
      <c r="R152" s="55" t="s">
        <v>50</v>
      </c>
      <c r="S152" s="55" t="s">
        <v>353</v>
      </c>
      <c r="T152" s="60">
        <v>5</v>
      </c>
      <c r="U152" s="60">
        <v>13400</v>
      </c>
      <c r="V152" s="60">
        <v>0</v>
      </c>
      <c r="W152" s="60">
        <v>0</v>
      </c>
      <c r="X152" s="60">
        <v>0</v>
      </c>
      <c r="Y152" s="60">
        <v>3000</v>
      </c>
      <c r="Z152" s="60">
        <v>0</v>
      </c>
      <c r="AB152" s="60">
        <v>1950</v>
      </c>
      <c r="AC152" s="60">
        <v>1320</v>
      </c>
      <c r="AD152" s="60">
        <v>13400</v>
      </c>
      <c r="AE152" s="60">
        <v>9600</v>
      </c>
      <c r="AF152" s="60">
        <v>1592</v>
      </c>
      <c r="AG152" s="60">
        <v>2208</v>
      </c>
      <c r="AH152" s="61">
        <v>0.1648</v>
      </c>
      <c r="AL152" s="55" t="s">
        <v>49</v>
      </c>
      <c r="AN152" s="55" t="s">
        <v>834</v>
      </c>
      <c r="AP152" s="62">
        <f>IFERROR(IF(출고표[[#This Row],[클레임]]="반품",출고표[[#This Row],[배송비]],출고표[[#This Row],[결제액]]+출고표[[#This Row],[배송비]]+출고표[[#This Row],[제주/도서추가배송비]]),0)</f>
        <v>13400</v>
      </c>
      <c r="AQ15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15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1592</v>
      </c>
      <c r="AS15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2208</v>
      </c>
      <c r="AT15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0.1648</v>
      </c>
      <c r="AU15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2" s="60">
        <f>IFERROR(IF(D152="스마트스토어",COUNTIFS(출고표[구입일자],"&lt;&gt;"&amp;H152,출고표[구매자명],E152,출고표[구매자연락처],F152),COUNTIFS(출고표[구입일자],"&lt;&gt;"&amp;H152,출고표[구매자명],E152,출고표[구매자연락처],G152)),0)</f>
        <v>0</v>
      </c>
    </row>
    <row r="153" spans="1:48" ht="20.100000000000001" customHeight="1">
      <c r="A153" s="55">
        <v>152</v>
      </c>
      <c r="B153" s="55" t="s">
        <v>562</v>
      </c>
      <c r="C153" s="64" t="s">
        <v>740</v>
      </c>
      <c r="D153" s="55" t="s">
        <v>568</v>
      </c>
      <c r="E153" s="55" t="s">
        <v>736</v>
      </c>
      <c r="F153" s="55" t="s">
        <v>741</v>
      </c>
      <c r="G153" s="55" t="s">
        <v>742</v>
      </c>
      <c r="H153" s="63">
        <v>45455</v>
      </c>
      <c r="I153" s="63">
        <v>45456</v>
      </c>
      <c r="J153" s="55" t="s">
        <v>563</v>
      </c>
      <c r="K153" s="64" t="s">
        <v>739</v>
      </c>
      <c r="M153" s="55" t="s">
        <v>736</v>
      </c>
      <c r="N153" s="55" t="s">
        <v>742</v>
      </c>
      <c r="P153" s="55" t="s">
        <v>743</v>
      </c>
      <c r="Q153" s="55" t="s">
        <v>569</v>
      </c>
      <c r="R153" s="55" t="s">
        <v>34</v>
      </c>
      <c r="S153" s="55" t="s">
        <v>353</v>
      </c>
      <c r="T153" s="60">
        <v>1</v>
      </c>
      <c r="U153" s="60">
        <v>34020</v>
      </c>
      <c r="V153" s="60">
        <v>0</v>
      </c>
      <c r="W153" s="60">
        <v>3000</v>
      </c>
      <c r="X153" s="60">
        <v>0</v>
      </c>
      <c r="Y153" s="60">
        <v>3500</v>
      </c>
      <c r="Z153" s="60">
        <v>0</v>
      </c>
      <c r="AB153" s="60">
        <v>32130</v>
      </c>
      <c r="AC153" s="60">
        <v>19800</v>
      </c>
      <c r="AD153" s="60">
        <v>37020</v>
      </c>
      <c r="AE153" s="60">
        <v>23300</v>
      </c>
      <c r="AF153" s="60">
        <v>4141</v>
      </c>
      <c r="AG153" s="60">
        <v>9579</v>
      </c>
      <c r="AH153" s="61">
        <v>0.25879999999999997</v>
      </c>
      <c r="AL153" s="55" t="s">
        <v>33</v>
      </c>
      <c r="AN153" s="55" t="s">
        <v>834</v>
      </c>
      <c r="AP153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3" s="60">
        <f>IFERROR(IF(D153="스마트스토어",COUNTIFS(출고표[구입일자],"&lt;&gt;"&amp;H153,출고표[구매자명],E153,출고표[구매자연락처],F153),COUNTIFS(출고표[구입일자],"&lt;&gt;"&amp;H153,출고표[구매자명],E153,출고표[구매자연락처],G153)),0)</f>
        <v>0</v>
      </c>
    </row>
    <row r="154" spans="1:48" ht="20.100000000000001" customHeight="1">
      <c r="A154" s="55">
        <v>153</v>
      </c>
      <c r="B154" s="55" t="s">
        <v>562</v>
      </c>
      <c r="C154" s="64" t="s">
        <v>749</v>
      </c>
      <c r="D154" s="55" t="s">
        <v>568</v>
      </c>
      <c r="E154" s="55" t="s">
        <v>745</v>
      </c>
      <c r="F154" s="55" t="s">
        <v>750</v>
      </c>
      <c r="G154" s="55" t="s">
        <v>751</v>
      </c>
      <c r="H154" s="63">
        <v>45455</v>
      </c>
      <c r="I154" s="63">
        <v>45456</v>
      </c>
      <c r="J154" s="55" t="s">
        <v>563</v>
      </c>
      <c r="K154" s="64" t="s">
        <v>748</v>
      </c>
      <c r="M154" s="55" t="s">
        <v>745</v>
      </c>
      <c r="N154" s="55" t="s">
        <v>751</v>
      </c>
      <c r="P154" s="55" t="s">
        <v>752</v>
      </c>
      <c r="Q154" s="55" t="s">
        <v>569</v>
      </c>
      <c r="R154" s="55" t="s">
        <v>94</v>
      </c>
      <c r="S154" s="55" t="s">
        <v>353</v>
      </c>
      <c r="T154" s="60">
        <v>2</v>
      </c>
      <c r="U154" s="60">
        <v>14440</v>
      </c>
      <c r="V154" s="60">
        <v>0</v>
      </c>
      <c r="W154" s="60">
        <v>3000</v>
      </c>
      <c r="X154" s="60">
        <v>0</v>
      </c>
      <c r="Y154" s="60">
        <v>3000</v>
      </c>
      <c r="Z154" s="60">
        <v>0</v>
      </c>
      <c r="AB154" s="60">
        <v>6700</v>
      </c>
      <c r="AC154" s="60">
        <v>4125</v>
      </c>
      <c r="AD154" s="60">
        <v>17440</v>
      </c>
      <c r="AE154" s="60">
        <v>11250</v>
      </c>
      <c r="AF154" s="60">
        <v>1814</v>
      </c>
      <c r="AG154" s="60">
        <v>4376</v>
      </c>
      <c r="AH154" s="61">
        <v>0.25090000000000001</v>
      </c>
      <c r="AL154" s="55" t="s">
        <v>838</v>
      </c>
      <c r="AN154" s="55" t="s">
        <v>834</v>
      </c>
      <c r="AP154" s="62">
        <f>IFERROR(IF(출고표[[#This Row],[클레임]]="반품",출고표[[#This Row],[배송비]],출고표[[#This Row],[결제액]]+출고표[[#This Row],[배송비]]+출고표[[#This Row],[제주/도서추가배송비]]),0)</f>
        <v>17440</v>
      </c>
      <c r="AQ15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11250</v>
      </c>
      <c r="AR15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1814</v>
      </c>
      <c r="AS15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4376</v>
      </c>
      <c r="AT15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0.25090000000000001</v>
      </c>
      <c r="AU15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4" s="60">
        <f>IFERROR(IF(D154="스마트스토어",COUNTIFS(출고표[구입일자],"&lt;&gt;"&amp;H154,출고표[구매자명],E154,출고표[구매자연락처],F154),COUNTIFS(출고표[구입일자],"&lt;&gt;"&amp;H154,출고표[구매자명],E154,출고표[구매자연락처],G154)),0)</f>
        <v>0</v>
      </c>
    </row>
    <row r="155" spans="1:48" ht="20.100000000000001" customHeight="1">
      <c r="A155" s="55">
        <v>154</v>
      </c>
      <c r="B155" s="55" t="s">
        <v>562</v>
      </c>
      <c r="C155" s="64" t="s">
        <v>756</v>
      </c>
      <c r="D155" s="55" t="s">
        <v>568</v>
      </c>
      <c r="E155" s="55" t="s">
        <v>754</v>
      </c>
      <c r="F155" s="55" t="s">
        <v>757</v>
      </c>
      <c r="G155" s="55" t="s">
        <v>758</v>
      </c>
      <c r="H155" s="63">
        <v>45455</v>
      </c>
      <c r="I155" s="63">
        <v>45456</v>
      </c>
      <c r="J155" s="55" t="s">
        <v>563</v>
      </c>
      <c r="K155" s="64" t="s">
        <v>755</v>
      </c>
      <c r="M155" s="55" t="s">
        <v>754</v>
      </c>
      <c r="N155" s="55" t="s">
        <v>758</v>
      </c>
      <c r="P155" s="55" t="s">
        <v>759</v>
      </c>
      <c r="Q155" s="55" t="s">
        <v>571</v>
      </c>
      <c r="R155" s="55" t="s">
        <v>34</v>
      </c>
      <c r="S155" s="55" t="s">
        <v>353</v>
      </c>
      <c r="T155" s="60">
        <v>1</v>
      </c>
      <c r="U155" s="60">
        <v>34020</v>
      </c>
      <c r="V155" s="60">
        <v>0</v>
      </c>
      <c r="W155" s="60">
        <v>3000</v>
      </c>
      <c r="X155" s="60">
        <v>0</v>
      </c>
      <c r="Y155" s="60">
        <v>3500</v>
      </c>
      <c r="Z155" s="60">
        <v>0</v>
      </c>
      <c r="AB155" s="60">
        <v>32130</v>
      </c>
      <c r="AC155" s="60">
        <v>19800</v>
      </c>
      <c r="AD155" s="60">
        <v>37020</v>
      </c>
      <c r="AE155" s="60">
        <v>23300</v>
      </c>
      <c r="AF155" s="60">
        <v>4141</v>
      </c>
      <c r="AG155" s="60">
        <v>9579</v>
      </c>
      <c r="AH155" s="61">
        <v>0.25879999999999997</v>
      </c>
      <c r="AL155" s="55" t="s">
        <v>33</v>
      </c>
      <c r="AN155" s="55" t="s">
        <v>834</v>
      </c>
      <c r="AP155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5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5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5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5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5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5" s="60">
        <f>IFERROR(IF(D155="스마트스토어",COUNTIFS(출고표[구입일자],"&lt;&gt;"&amp;H155,출고표[구매자명],E155,출고표[구매자연락처],F155),COUNTIFS(출고표[구입일자],"&lt;&gt;"&amp;H155,출고표[구매자명],E155,출고표[구매자연락처],G155)),0)</f>
        <v>0</v>
      </c>
    </row>
    <row r="156" spans="1:48" ht="20.100000000000001" customHeight="1">
      <c r="A156" s="55">
        <v>155</v>
      </c>
      <c r="B156" s="55" t="s">
        <v>562</v>
      </c>
      <c r="C156" s="64" t="s">
        <v>763</v>
      </c>
      <c r="D156" s="55" t="s">
        <v>568</v>
      </c>
      <c r="E156" s="55" t="s">
        <v>761</v>
      </c>
      <c r="F156" s="55" t="s">
        <v>764</v>
      </c>
      <c r="G156" s="55" t="s">
        <v>765</v>
      </c>
      <c r="H156" s="63">
        <v>45455</v>
      </c>
      <c r="I156" s="63">
        <v>45456</v>
      </c>
      <c r="J156" s="55" t="s">
        <v>563</v>
      </c>
      <c r="K156" s="64" t="s">
        <v>762</v>
      </c>
      <c r="M156" s="55" t="s">
        <v>761</v>
      </c>
      <c r="N156" s="55" t="s">
        <v>765</v>
      </c>
      <c r="P156" s="55" t="s">
        <v>766</v>
      </c>
      <c r="Q156" s="55" t="s">
        <v>571</v>
      </c>
      <c r="R156" s="55" t="s">
        <v>133</v>
      </c>
      <c r="S156" s="55" t="s">
        <v>353</v>
      </c>
      <c r="T156" s="60">
        <v>1</v>
      </c>
      <c r="U156" s="60">
        <v>940</v>
      </c>
      <c r="V156" s="60">
        <v>0</v>
      </c>
      <c r="W156" s="60">
        <v>3000</v>
      </c>
      <c r="X156" s="60">
        <v>0</v>
      </c>
      <c r="Y156" s="60">
        <v>3000</v>
      </c>
      <c r="Z156" s="60">
        <v>0</v>
      </c>
      <c r="AB156" s="60">
        <v>890</v>
      </c>
      <c r="AC156" s="60">
        <v>550</v>
      </c>
      <c r="AD156" s="60">
        <v>3940</v>
      </c>
      <c r="AE156" s="60">
        <v>3550</v>
      </c>
      <c r="AF156" s="60">
        <v>211</v>
      </c>
      <c r="AG156" s="60">
        <v>179</v>
      </c>
      <c r="AH156" s="61">
        <v>4.5400000000000003E-2</v>
      </c>
      <c r="AL156" s="55" t="s">
        <v>132</v>
      </c>
      <c r="AN156" s="55" t="s">
        <v>834</v>
      </c>
      <c r="AP156" s="62">
        <f>IFERROR(IF(출고표[[#This Row],[클레임]]="반품",출고표[[#This Row],[배송비]],출고표[[#This Row],[결제액]]+출고표[[#This Row],[배송비]]+출고표[[#This Row],[제주/도서추가배송비]]),0)</f>
        <v>3940</v>
      </c>
      <c r="AQ15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3550</v>
      </c>
      <c r="AR15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211</v>
      </c>
      <c r="AS15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179</v>
      </c>
      <c r="AT15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4.5400000000000003E-2</v>
      </c>
      <c r="AU15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6" s="60">
        <f>IFERROR(IF(D156="스마트스토어",COUNTIFS(출고표[구입일자],"&lt;&gt;"&amp;H156,출고표[구매자명],E156,출고표[구매자연락처],F156),COUNTIFS(출고표[구입일자],"&lt;&gt;"&amp;H156,출고표[구매자명],E156,출고표[구매자연락처],G156)),0)</f>
        <v>0</v>
      </c>
    </row>
    <row r="157" spans="1:48" ht="20.100000000000001" customHeight="1">
      <c r="A157" s="55">
        <v>156</v>
      </c>
      <c r="B157" s="55" t="s">
        <v>562</v>
      </c>
      <c r="C157" s="64" t="s">
        <v>763</v>
      </c>
      <c r="D157" s="55" t="s">
        <v>568</v>
      </c>
      <c r="E157" s="55" t="s">
        <v>761</v>
      </c>
      <c r="F157" s="55" t="s">
        <v>764</v>
      </c>
      <c r="G157" s="55" t="s">
        <v>765</v>
      </c>
      <c r="H157" s="63">
        <v>45455</v>
      </c>
      <c r="I157" s="63">
        <v>45456</v>
      </c>
      <c r="J157" s="55" t="s">
        <v>563</v>
      </c>
      <c r="K157" s="64" t="s">
        <v>762</v>
      </c>
      <c r="M157" s="55" t="s">
        <v>761</v>
      </c>
      <c r="N157" s="55" t="s">
        <v>765</v>
      </c>
      <c r="P157" s="55" t="s">
        <v>766</v>
      </c>
      <c r="Q157" s="55" t="s">
        <v>571</v>
      </c>
      <c r="R157" s="55" t="s">
        <v>125</v>
      </c>
      <c r="S157" s="55" t="s">
        <v>353</v>
      </c>
      <c r="T157" s="60">
        <v>1</v>
      </c>
      <c r="U157" s="60">
        <v>1690</v>
      </c>
      <c r="V157" s="60">
        <v>190</v>
      </c>
      <c r="W157" s="60">
        <v>0</v>
      </c>
      <c r="X157" s="60">
        <v>0</v>
      </c>
      <c r="Y157" s="60">
        <v>0</v>
      </c>
      <c r="Z157" s="60">
        <v>0</v>
      </c>
      <c r="AB157" s="60">
        <v>1790</v>
      </c>
      <c r="AC157" s="60">
        <v>1100</v>
      </c>
      <c r="AD157" s="60">
        <v>1690</v>
      </c>
      <c r="AE157" s="60">
        <v>1100</v>
      </c>
      <c r="AF157" s="60">
        <v>201</v>
      </c>
      <c r="AG157" s="60">
        <v>389</v>
      </c>
      <c r="AH157" s="61">
        <v>0.23019999999999999</v>
      </c>
      <c r="AL157" s="55" t="s">
        <v>124</v>
      </c>
      <c r="AM157" s="55" t="s">
        <v>822</v>
      </c>
      <c r="AN157" s="55" t="s">
        <v>834</v>
      </c>
      <c r="AP157" s="62">
        <f>IFERROR(IF(출고표[[#This Row],[클레임]]="반품",출고표[[#This Row],[배송비]],출고표[[#This Row],[결제액]]+출고표[[#This Row],[배송비]]+출고표[[#This Row],[제주/도서추가배송비]]),0)</f>
        <v>1690</v>
      </c>
      <c r="AQ15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1100</v>
      </c>
      <c r="AR15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201</v>
      </c>
      <c r="AS15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389</v>
      </c>
      <c r="AT15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0.23019999999999999</v>
      </c>
      <c r="AU15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7" s="60">
        <f>IFERROR(IF(D157="스마트스토어",COUNTIFS(출고표[구입일자],"&lt;&gt;"&amp;H157,출고표[구매자명],E157,출고표[구매자연락처],F157),COUNTIFS(출고표[구입일자],"&lt;&gt;"&amp;H157,출고표[구매자명],E157,출고표[구매자연락처],G157)),0)</f>
        <v>0</v>
      </c>
    </row>
    <row r="158" spans="1:48" ht="20.100000000000001" customHeight="1">
      <c r="A158" s="55">
        <v>157</v>
      </c>
      <c r="B158" s="55" t="s">
        <v>562</v>
      </c>
      <c r="C158" s="64" t="s">
        <v>763</v>
      </c>
      <c r="D158" s="55" t="s">
        <v>568</v>
      </c>
      <c r="E158" s="55" t="s">
        <v>761</v>
      </c>
      <c r="F158" s="55" t="s">
        <v>764</v>
      </c>
      <c r="G158" s="55" t="s">
        <v>765</v>
      </c>
      <c r="H158" s="63">
        <v>45455</v>
      </c>
      <c r="I158" s="63">
        <v>45456</v>
      </c>
      <c r="J158" s="55" t="s">
        <v>563</v>
      </c>
      <c r="K158" s="64" t="s">
        <v>762</v>
      </c>
      <c r="M158" s="55" t="s">
        <v>761</v>
      </c>
      <c r="N158" s="55" t="s">
        <v>765</v>
      </c>
      <c r="P158" s="55" t="s">
        <v>766</v>
      </c>
      <c r="Q158" s="55" t="s">
        <v>571</v>
      </c>
      <c r="R158" s="55" t="s">
        <v>118</v>
      </c>
      <c r="S158" s="55" t="s">
        <v>353</v>
      </c>
      <c r="T158" s="60">
        <v>1</v>
      </c>
      <c r="U158" s="60">
        <v>2440</v>
      </c>
      <c r="V158" s="60">
        <v>440</v>
      </c>
      <c r="W158" s="60">
        <v>0</v>
      </c>
      <c r="X158" s="60">
        <v>0</v>
      </c>
      <c r="Y158" s="60">
        <v>0</v>
      </c>
      <c r="Z158" s="60">
        <v>0</v>
      </c>
      <c r="AB158" s="60">
        <v>2680</v>
      </c>
      <c r="AC158" s="60">
        <v>1650</v>
      </c>
      <c r="AD158" s="60">
        <v>2440</v>
      </c>
      <c r="AE158" s="60">
        <v>1650</v>
      </c>
      <c r="AF158" s="60">
        <v>290</v>
      </c>
      <c r="AG158" s="60">
        <v>500</v>
      </c>
      <c r="AH158" s="61">
        <v>0.2049</v>
      </c>
      <c r="AL158" s="55" t="s">
        <v>117</v>
      </c>
      <c r="AM158" s="55" t="s">
        <v>822</v>
      </c>
      <c r="AN158" s="55" t="s">
        <v>834</v>
      </c>
      <c r="AP158" s="62">
        <f>IFERROR(IF(출고표[[#This Row],[클레임]]="반품",출고표[[#This Row],[배송비]],출고표[[#This Row],[결제액]]+출고표[[#This Row],[배송비]]+출고표[[#This Row],[제주/도서추가배송비]]),0)</f>
        <v>2440</v>
      </c>
      <c r="AQ15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1650</v>
      </c>
      <c r="AR15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290</v>
      </c>
      <c r="AS15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500</v>
      </c>
      <c r="AT15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0.2049</v>
      </c>
      <c r="AU15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8" s="60">
        <f>IFERROR(IF(D158="스마트스토어",COUNTIFS(출고표[구입일자],"&lt;&gt;"&amp;H158,출고표[구매자명],E158,출고표[구매자연락처],F158),COUNTIFS(출고표[구입일자],"&lt;&gt;"&amp;H158,출고표[구매자명],E158,출고표[구매자연락처],G158)),0)</f>
        <v>0</v>
      </c>
    </row>
    <row r="159" spans="1:48" ht="20.100000000000001" customHeight="1">
      <c r="A159" s="55">
        <v>158</v>
      </c>
      <c r="B159" s="55" t="s">
        <v>562</v>
      </c>
      <c r="C159" s="64" t="s">
        <v>763</v>
      </c>
      <c r="D159" s="55" t="s">
        <v>568</v>
      </c>
      <c r="E159" s="55" t="s">
        <v>761</v>
      </c>
      <c r="F159" s="55" t="s">
        <v>764</v>
      </c>
      <c r="G159" s="55" t="s">
        <v>765</v>
      </c>
      <c r="H159" s="63">
        <v>45455</v>
      </c>
      <c r="I159" s="63">
        <v>45456</v>
      </c>
      <c r="J159" s="55" t="s">
        <v>563</v>
      </c>
      <c r="K159" s="64" t="s">
        <v>762</v>
      </c>
      <c r="M159" s="55" t="s">
        <v>761</v>
      </c>
      <c r="N159" s="55" t="s">
        <v>765</v>
      </c>
      <c r="P159" s="55" t="s">
        <v>766</v>
      </c>
      <c r="Q159" s="55" t="s">
        <v>571</v>
      </c>
      <c r="R159" s="55" t="s">
        <v>129</v>
      </c>
      <c r="S159" s="55" t="s">
        <v>353</v>
      </c>
      <c r="T159" s="60">
        <v>1</v>
      </c>
      <c r="U159" s="60">
        <v>1150</v>
      </c>
      <c r="V159" s="60">
        <v>0</v>
      </c>
      <c r="W159" s="60">
        <v>0</v>
      </c>
      <c r="X159" s="60">
        <v>0</v>
      </c>
      <c r="Y159" s="60">
        <v>0</v>
      </c>
      <c r="Z159" s="60">
        <v>0</v>
      </c>
      <c r="AB159" s="60">
        <v>1070</v>
      </c>
      <c r="AC159" s="60">
        <v>660</v>
      </c>
      <c r="AD159" s="60">
        <v>1150</v>
      </c>
      <c r="AE159" s="60">
        <v>660</v>
      </c>
      <c r="AF159" s="60">
        <v>137</v>
      </c>
      <c r="AG159" s="60">
        <v>353</v>
      </c>
      <c r="AH159" s="61">
        <v>0.307</v>
      </c>
      <c r="AL159" s="55" t="s">
        <v>128</v>
      </c>
      <c r="AM159" s="55" t="s">
        <v>822</v>
      </c>
      <c r="AN159" s="55" t="s">
        <v>834</v>
      </c>
      <c r="AP159" s="62">
        <f>IFERROR(IF(출고표[[#This Row],[클레임]]="반품",출고표[[#This Row],[배송비]],출고표[[#This Row],[결제액]]+출고표[[#This Row],[배송비]]+출고표[[#This Row],[제주/도서추가배송비]]),0)</f>
        <v>1150</v>
      </c>
      <c r="AQ15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660</v>
      </c>
      <c r="AR15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137</v>
      </c>
      <c r="AS15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353</v>
      </c>
      <c r="AT15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0.307</v>
      </c>
      <c r="AU15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59" s="60">
        <f>IFERROR(IF(D159="스마트스토어",COUNTIFS(출고표[구입일자],"&lt;&gt;"&amp;H159,출고표[구매자명],E159,출고표[구매자연락처],F159),COUNTIFS(출고표[구입일자],"&lt;&gt;"&amp;H159,출고표[구매자명],E159,출고표[구매자연락처],G159)),0)</f>
        <v>0</v>
      </c>
    </row>
    <row r="160" spans="1:48" ht="20.100000000000001" customHeight="1">
      <c r="A160" s="55">
        <v>159</v>
      </c>
      <c r="B160" s="55" t="s">
        <v>562</v>
      </c>
      <c r="C160" s="64" t="s">
        <v>763</v>
      </c>
      <c r="D160" s="55" t="s">
        <v>568</v>
      </c>
      <c r="E160" s="55" t="s">
        <v>761</v>
      </c>
      <c r="F160" s="55" t="s">
        <v>764</v>
      </c>
      <c r="G160" s="55" t="s">
        <v>765</v>
      </c>
      <c r="H160" s="63">
        <v>45455</v>
      </c>
      <c r="I160" s="63">
        <v>45456</v>
      </c>
      <c r="J160" s="55" t="s">
        <v>563</v>
      </c>
      <c r="K160" s="64" t="s">
        <v>762</v>
      </c>
      <c r="M160" s="55" t="s">
        <v>761</v>
      </c>
      <c r="N160" s="55" t="s">
        <v>765</v>
      </c>
      <c r="P160" s="55" t="s">
        <v>766</v>
      </c>
      <c r="Q160" s="55" t="s">
        <v>571</v>
      </c>
      <c r="R160" s="55" t="s">
        <v>121</v>
      </c>
      <c r="S160" s="55" t="s">
        <v>353</v>
      </c>
      <c r="T160" s="60">
        <v>1</v>
      </c>
      <c r="U160" s="60">
        <v>2570</v>
      </c>
      <c r="V160" s="60">
        <v>140</v>
      </c>
      <c r="W160" s="60">
        <v>0</v>
      </c>
      <c r="X160" s="60">
        <v>0</v>
      </c>
      <c r="Y160" s="60">
        <v>0</v>
      </c>
      <c r="Z160" s="60">
        <v>0</v>
      </c>
      <c r="AB160" s="60">
        <v>2320</v>
      </c>
      <c r="AC160" s="60">
        <v>1430</v>
      </c>
      <c r="AD160" s="60">
        <v>2570</v>
      </c>
      <c r="AE160" s="60">
        <v>1430</v>
      </c>
      <c r="AF160" s="60">
        <v>305</v>
      </c>
      <c r="AG160" s="60">
        <v>835</v>
      </c>
      <c r="AH160" s="61">
        <v>0.32490000000000002</v>
      </c>
      <c r="AL160" s="55" t="s">
        <v>120</v>
      </c>
      <c r="AM160" s="55" t="s">
        <v>822</v>
      </c>
      <c r="AN160" s="55" t="s">
        <v>834</v>
      </c>
      <c r="AP160" s="62">
        <f>IFERROR(IF(출고표[[#This Row],[클레임]]="반품",출고표[[#This Row],[배송비]],출고표[[#This Row],[결제액]]+출고표[[#This Row],[배송비]]+출고표[[#This Row],[제주/도서추가배송비]]),0)</f>
        <v>2570</v>
      </c>
      <c r="AQ16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1430</v>
      </c>
      <c r="AR16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305</v>
      </c>
      <c r="AS16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835</v>
      </c>
      <c r="AT16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0.32490000000000002</v>
      </c>
      <c r="AU16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0" s="60">
        <f>IFERROR(IF(D160="스마트스토어",COUNTIFS(출고표[구입일자],"&lt;&gt;"&amp;H160,출고표[구매자명],E160,출고표[구매자연락처],F160),COUNTIFS(출고표[구입일자],"&lt;&gt;"&amp;H160,출고표[구매자명],E160,출고표[구매자연락처],G160)),0)</f>
        <v>0</v>
      </c>
    </row>
    <row r="161" spans="1:48" ht="20.100000000000001" customHeight="1">
      <c r="A161" s="55">
        <v>160</v>
      </c>
      <c r="B161" s="55" t="s">
        <v>562</v>
      </c>
      <c r="C161" s="64" t="s">
        <v>773</v>
      </c>
      <c r="D161" s="55" t="s">
        <v>568</v>
      </c>
      <c r="E161" s="55" t="s">
        <v>771</v>
      </c>
      <c r="F161" s="55" t="s">
        <v>774</v>
      </c>
      <c r="G161" s="55" t="s">
        <v>775</v>
      </c>
      <c r="H161" s="63">
        <v>45455</v>
      </c>
      <c r="I161" s="63">
        <v>45456</v>
      </c>
      <c r="J161" s="55" t="s">
        <v>563</v>
      </c>
      <c r="K161" s="64" t="s">
        <v>772</v>
      </c>
      <c r="M161" s="55" t="s">
        <v>771</v>
      </c>
      <c r="N161" s="55" t="s">
        <v>775</v>
      </c>
      <c r="P161" s="55" t="s">
        <v>776</v>
      </c>
      <c r="Q161" s="55" t="s">
        <v>569</v>
      </c>
      <c r="R161" s="55" t="s">
        <v>133</v>
      </c>
      <c r="S161" s="55" t="s">
        <v>353</v>
      </c>
      <c r="T161" s="60">
        <v>10</v>
      </c>
      <c r="U161" s="60">
        <v>9400</v>
      </c>
      <c r="V161" s="60">
        <v>0</v>
      </c>
      <c r="W161" s="60">
        <v>3000</v>
      </c>
      <c r="X161" s="60">
        <v>0</v>
      </c>
      <c r="Y161" s="60">
        <v>3000</v>
      </c>
      <c r="Z161" s="60">
        <v>0</v>
      </c>
      <c r="AB161" s="60">
        <v>890</v>
      </c>
      <c r="AC161" s="60">
        <v>550</v>
      </c>
      <c r="AD161" s="60">
        <v>12400</v>
      </c>
      <c r="AE161" s="60">
        <v>8500</v>
      </c>
      <c r="AF161" s="60">
        <v>1216</v>
      </c>
      <c r="AG161" s="60">
        <v>2684</v>
      </c>
      <c r="AH161" s="61">
        <v>0.2165</v>
      </c>
      <c r="AL161" s="55" t="s">
        <v>132</v>
      </c>
      <c r="AN161" s="55" t="s">
        <v>834</v>
      </c>
      <c r="AP161" s="62">
        <f>IFERROR(IF(출고표[[#This Row],[클레임]]="반품",출고표[[#This Row],[배송비]],출고표[[#This Row],[결제액]]+출고표[[#This Row],[배송비]]+출고표[[#This Row],[제주/도서추가배송비]]),0)</f>
        <v>12400</v>
      </c>
      <c r="AQ16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8500</v>
      </c>
      <c r="AR16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1216</v>
      </c>
      <c r="AS16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2684</v>
      </c>
      <c r="AT16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0.2165</v>
      </c>
      <c r="AU16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1" s="60">
        <f>IFERROR(IF(D161="스마트스토어",COUNTIFS(출고표[구입일자],"&lt;&gt;"&amp;H161,출고표[구매자명],E161,출고표[구매자연락처],F161),COUNTIFS(출고표[구입일자],"&lt;&gt;"&amp;H161,출고표[구매자명],E161,출고표[구매자연락처],G161)),0)</f>
        <v>0</v>
      </c>
    </row>
    <row r="162" spans="1:48" ht="20.100000000000001" customHeight="1">
      <c r="A162" s="55">
        <v>161</v>
      </c>
      <c r="B162" s="55" t="s">
        <v>562</v>
      </c>
      <c r="C162" s="64" t="s">
        <v>782</v>
      </c>
      <c r="D162" s="55" t="s">
        <v>561</v>
      </c>
      <c r="E162" s="55" t="s">
        <v>778</v>
      </c>
      <c r="F162" s="55" t="s">
        <v>783</v>
      </c>
      <c r="G162" s="55" t="s">
        <v>784</v>
      </c>
      <c r="H162" s="63">
        <v>45455</v>
      </c>
      <c r="I162" s="63">
        <v>45456</v>
      </c>
      <c r="J162" s="55" t="s">
        <v>563</v>
      </c>
      <c r="K162" s="64" t="s">
        <v>780</v>
      </c>
      <c r="M162" s="55" t="s">
        <v>778</v>
      </c>
      <c r="N162" s="55" t="s">
        <v>784</v>
      </c>
      <c r="O162" s="55" t="s">
        <v>785</v>
      </c>
      <c r="P162" s="55" t="s">
        <v>786</v>
      </c>
      <c r="R162" s="55" t="s">
        <v>118</v>
      </c>
      <c r="S162" s="55" t="s">
        <v>353</v>
      </c>
      <c r="T162" s="60">
        <v>3</v>
      </c>
      <c r="U162" s="60">
        <v>8340</v>
      </c>
      <c r="V162" s="60">
        <v>0</v>
      </c>
      <c r="W162" s="60">
        <v>3000</v>
      </c>
      <c r="X162" s="60">
        <v>0</v>
      </c>
      <c r="Y162" s="60">
        <v>3000</v>
      </c>
      <c r="Z162" s="60">
        <v>0</v>
      </c>
      <c r="AB162" s="60">
        <v>2550</v>
      </c>
      <c r="AC162" s="60">
        <v>1650</v>
      </c>
      <c r="AD162" s="60">
        <v>11340</v>
      </c>
      <c r="AE162" s="60">
        <v>7950</v>
      </c>
      <c r="AF162" s="60">
        <v>471</v>
      </c>
      <c r="AG162" s="60">
        <v>2919</v>
      </c>
      <c r="AH162" s="61">
        <v>0.25740000000000002</v>
      </c>
      <c r="AL162" s="55" t="s">
        <v>117</v>
      </c>
      <c r="AN162" s="55" t="s">
        <v>834</v>
      </c>
      <c r="AP162" s="62">
        <f>IFERROR(IF(출고표[[#This Row],[클레임]]="반품",출고표[[#This Row],[배송비]],출고표[[#This Row],[결제액]]+출고표[[#This Row],[배송비]]+출고표[[#This Row],[제주/도서추가배송비]]),0)</f>
        <v>11340</v>
      </c>
      <c r="AQ16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7950</v>
      </c>
      <c r="AR16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471</v>
      </c>
      <c r="AS16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2919</v>
      </c>
      <c r="AT16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0.25740000000000002</v>
      </c>
      <c r="AU16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2" s="60">
        <f>IFERROR(IF(D162="스마트스토어",COUNTIFS(출고표[구입일자],"&lt;&gt;"&amp;H162,출고표[구매자명],E162,출고표[구매자연락처],F162),COUNTIFS(출고표[구입일자],"&lt;&gt;"&amp;H162,출고표[구매자명],E162,출고표[구매자연락처],G162)),0)</f>
        <v>0</v>
      </c>
    </row>
    <row r="163" spans="1:48" ht="20.100000000000001" customHeight="1">
      <c r="A163" s="55">
        <v>162</v>
      </c>
      <c r="B163" s="55" t="s">
        <v>562</v>
      </c>
      <c r="C163" s="64" t="s">
        <v>793</v>
      </c>
      <c r="D163" s="55" t="s">
        <v>561</v>
      </c>
      <c r="E163" s="55" t="s">
        <v>794</v>
      </c>
      <c r="F163" s="55" t="s">
        <v>795</v>
      </c>
      <c r="G163" s="55" t="s">
        <v>796</v>
      </c>
      <c r="H163" s="63">
        <v>45455</v>
      </c>
      <c r="I163" s="63">
        <v>45456</v>
      </c>
      <c r="J163" s="55" t="s">
        <v>563</v>
      </c>
      <c r="K163" s="64" t="s">
        <v>791</v>
      </c>
      <c r="M163" s="55" t="s">
        <v>789</v>
      </c>
      <c r="N163" s="55" t="s">
        <v>797</v>
      </c>
      <c r="P163" s="55" t="s">
        <v>798</v>
      </c>
      <c r="R163" s="55" t="s">
        <v>24</v>
      </c>
      <c r="S163" s="55" t="s">
        <v>353</v>
      </c>
      <c r="T163" s="60">
        <v>3</v>
      </c>
      <c r="U163" s="60">
        <v>41310</v>
      </c>
      <c r="V163" s="60">
        <v>4590</v>
      </c>
      <c r="W163" s="60">
        <v>0</v>
      </c>
      <c r="X163" s="60">
        <v>0</v>
      </c>
      <c r="Y163" s="60">
        <v>3500</v>
      </c>
      <c r="Z163" s="60">
        <v>0</v>
      </c>
      <c r="AB163" s="60">
        <v>14450</v>
      </c>
      <c r="AC163" s="60">
        <v>9350</v>
      </c>
      <c r="AD163" s="60">
        <v>41310</v>
      </c>
      <c r="AE163" s="60">
        <v>31550</v>
      </c>
      <c r="AF163" s="60">
        <v>1724</v>
      </c>
      <c r="AG163" s="60">
        <v>8036</v>
      </c>
      <c r="AH163" s="61">
        <v>0.19450000000000001</v>
      </c>
      <c r="AL163" s="55" t="s">
        <v>23</v>
      </c>
      <c r="AN163" s="55" t="s">
        <v>834</v>
      </c>
      <c r="AP163" s="62">
        <f>IFERROR(IF(출고표[[#This Row],[클레임]]="반품",출고표[[#This Row],[배송비]],출고표[[#This Row],[결제액]]+출고표[[#This Row],[배송비]]+출고표[[#This Row],[제주/도서추가배송비]]),0)</f>
        <v>41310</v>
      </c>
      <c r="AQ16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31550</v>
      </c>
      <c r="AR16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1724</v>
      </c>
      <c r="AS16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8036</v>
      </c>
      <c r="AT16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0.19450000000000001</v>
      </c>
      <c r="AU16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3" s="60">
        <f>IFERROR(IF(D163="스마트스토어",COUNTIFS(출고표[구입일자],"&lt;&gt;"&amp;H163,출고표[구매자명],E163,출고표[구매자연락처],F163),COUNTIFS(출고표[구입일자],"&lt;&gt;"&amp;H163,출고표[구매자명],E163,출고표[구매자연락처],G163)),0)</f>
        <v>0</v>
      </c>
    </row>
    <row r="164" spans="1:48" ht="20.100000000000001" customHeight="1">
      <c r="A164" s="55">
        <v>163</v>
      </c>
      <c r="B164" s="55" t="s">
        <v>562</v>
      </c>
      <c r="C164" s="64" t="s">
        <v>804</v>
      </c>
      <c r="D164" s="55" t="s">
        <v>561</v>
      </c>
      <c r="E164" s="55" t="s">
        <v>800</v>
      </c>
      <c r="F164" s="55" t="s">
        <v>805</v>
      </c>
      <c r="G164" s="55" t="s">
        <v>806</v>
      </c>
      <c r="H164" s="63">
        <v>45455</v>
      </c>
      <c r="I164" s="63">
        <v>45456</v>
      </c>
      <c r="J164" s="55" t="s">
        <v>563</v>
      </c>
      <c r="K164" s="64" t="s">
        <v>802</v>
      </c>
      <c r="M164" s="55" t="s">
        <v>800</v>
      </c>
      <c r="N164" s="55" t="s">
        <v>806</v>
      </c>
      <c r="P164" s="55" t="s">
        <v>807</v>
      </c>
      <c r="R164" s="55" t="s">
        <v>42</v>
      </c>
      <c r="S164" s="55" t="s">
        <v>353</v>
      </c>
      <c r="T164" s="60">
        <v>1</v>
      </c>
      <c r="U164" s="60">
        <v>16200</v>
      </c>
      <c r="V164" s="60">
        <v>1800</v>
      </c>
      <c r="W164" s="60">
        <v>3000</v>
      </c>
      <c r="X164" s="60">
        <v>0</v>
      </c>
      <c r="Y164" s="60">
        <v>3000</v>
      </c>
      <c r="Z164" s="60">
        <v>0</v>
      </c>
      <c r="AB164" s="60">
        <v>17000</v>
      </c>
      <c r="AC164" s="60">
        <v>11000</v>
      </c>
      <c r="AD164" s="60">
        <v>19200</v>
      </c>
      <c r="AE164" s="60">
        <v>14000</v>
      </c>
      <c r="AF164" s="60">
        <v>784</v>
      </c>
      <c r="AG164" s="60">
        <v>4416</v>
      </c>
      <c r="AH164" s="61">
        <v>0.23</v>
      </c>
      <c r="AL164" s="55" t="s">
        <v>41</v>
      </c>
      <c r="AN164" s="55" t="s">
        <v>834</v>
      </c>
      <c r="AP164" s="62">
        <f>IFERROR(IF(출고표[[#This Row],[클레임]]="반품",출고표[[#This Row],[배송비]],출고표[[#This Row],[결제액]]+출고표[[#This Row],[배송비]]+출고표[[#This Row],[제주/도서추가배송비]]),0)</f>
        <v>19200</v>
      </c>
      <c r="AQ16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14000</v>
      </c>
      <c r="AR16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784</v>
      </c>
      <c r="AS16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4416</v>
      </c>
      <c r="AT16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</v>
      </c>
      <c r="AU16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4" s="60">
        <f>IFERROR(IF(D164="스마트스토어",COUNTIFS(출고표[구입일자],"&lt;&gt;"&amp;H164,출고표[구매자명],E164,출고표[구매자연락처],F164),COUNTIFS(출고표[구입일자],"&lt;&gt;"&amp;H164,출고표[구매자명],E164,출고표[구매자연락처],G164)),0)</f>
        <v>0</v>
      </c>
    </row>
    <row r="165" spans="1:48" ht="20.100000000000001" customHeight="1">
      <c r="A165" s="55">
        <v>164</v>
      </c>
      <c r="B165" s="55" t="s">
        <v>673</v>
      </c>
      <c r="C165" s="64" t="s">
        <v>1889</v>
      </c>
      <c r="D165" s="55" t="s">
        <v>561</v>
      </c>
      <c r="E165" s="55" t="s">
        <v>1890</v>
      </c>
      <c r="F165" s="55" t="s">
        <v>1891</v>
      </c>
      <c r="G165" s="55" t="s">
        <v>1892</v>
      </c>
      <c r="H165" s="63">
        <v>45457</v>
      </c>
      <c r="I165" s="63">
        <v>45457</v>
      </c>
      <c r="J165" s="55" t="s">
        <v>563</v>
      </c>
      <c r="K165" s="64" t="s">
        <v>1887</v>
      </c>
      <c r="M165" s="55" t="s">
        <v>1885</v>
      </c>
      <c r="N165" s="55" t="s">
        <v>1892</v>
      </c>
      <c r="O165" s="55" t="s">
        <v>1893</v>
      </c>
      <c r="P165" s="55" t="s">
        <v>1894</v>
      </c>
      <c r="R165" s="55" t="s">
        <v>22</v>
      </c>
      <c r="S165" s="55" t="s">
        <v>353</v>
      </c>
      <c r="T165" s="60">
        <v>2</v>
      </c>
      <c r="U165" s="60">
        <v>36800</v>
      </c>
      <c r="V165" s="60">
        <v>0</v>
      </c>
      <c r="W165" s="60">
        <v>0</v>
      </c>
      <c r="X165" s="60">
        <v>0</v>
      </c>
      <c r="Y165" s="60">
        <v>4400</v>
      </c>
      <c r="Z165" s="60">
        <v>0</v>
      </c>
      <c r="AB165" s="60">
        <v>18400</v>
      </c>
      <c r="AC165" s="60">
        <v>12650</v>
      </c>
      <c r="AD165" s="60">
        <v>36800</v>
      </c>
      <c r="AE165" s="60">
        <v>0</v>
      </c>
      <c r="AF165" s="60">
        <v>1929</v>
      </c>
      <c r="AG165" s="60">
        <v>0</v>
      </c>
      <c r="AL165" s="55" t="s">
        <v>21</v>
      </c>
      <c r="AN165" s="55" t="s">
        <v>834</v>
      </c>
      <c r="AP165" s="62">
        <f>IFERROR(IF(출고표[[#This Row],[클레임]]="반품",출고표[[#This Row],[배송비]],출고표[[#This Row],[결제액]]+출고표[[#This Row],[배송비]]+출고표[[#This Row],[제주/도서추가배송비]]),0)</f>
        <v>36800</v>
      </c>
      <c r="AQ16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1929</v>
      </c>
      <c r="AS16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5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5" s="60">
        <f>IFERROR(IF(D165="스마트스토어",COUNTIFS(출고표[구입일자],"&lt;&gt;"&amp;H165,출고표[구매자명],E165,출고표[구매자연락처],F165),COUNTIFS(출고표[구입일자],"&lt;&gt;"&amp;H165,출고표[구매자명],E165,출고표[구매자연락처],G165)),0)</f>
        <v>0</v>
      </c>
    </row>
    <row r="166" spans="1:48" ht="20.100000000000001" customHeight="1">
      <c r="A166" s="55">
        <v>165</v>
      </c>
      <c r="B166" s="55" t="s">
        <v>673</v>
      </c>
      <c r="C166" s="64" t="s">
        <v>1897</v>
      </c>
      <c r="D166" s="55" t="s">
        <v>561</v>
      </c>
      <c r="E166" s="55" t="s">
        <v>1890</v>
      </c>
      <c r="F166" s="55" t="s">
        <v>1891</v>
      </c>
      <c r="G166" s="55" t="s">
        <v>1892</v>
      </c>
      <c r="H166" s="63">
        <v>45457</v>
      </c>
      <c r="I166" s="63">
        <v>45457</v>
      </c>
      <c r="J166" s="55" t="s">
        <v>563</v>
      </c>
      <c r="K166" s="64" t="s">
        <v>1887</v>
      </c>
      <c r="M166" s="55" t="s">
        <v>1885</v>
      </c>
      <c r="N166" s="55" t="s">
        <v>1892</v>
      </c>
      <c r="O166" s="55" t="s">
        <v>1893</v>
      </c>
      <c r="P166" s="55" t="s">
        <v>1894</v>
      </c>
      <c r="R166" s="55" t="s">
        <v>30</v>
      </c>
      <c r="S166" s="55" t="s">
        <v>353</v>
      </c>
      <c r="T166" s="60">
        <v>1</v>
      </c>
      <c r="U166" s="60">
        <v>10560</v>
      </c>
      <c r="V166" s="60">
        <v>0</v>
      </c>
      <c r="W166" s="60">
        <v>0</v>
      </c>
      <c r="X166" s="60">
        <v>0</v>
      </c>
      <c r="Y166" s="60">
        <v>0</v>
      </c>
      <c r="Z166" s="60">
        <v>0</v>
      </c>
      <c r="AB166" s="60">
        <v>10560</v>
      </c>
      <c r="AC166" s="60">
        <v>7260</v>
      </c>
      <c r="AD166" s="60">
        <v>10560</v>
      </c>
      <c r="AE166" s="60">
        <v>0</v>
      </c>
      <c r="AF166" s="60">
        <v>611</v>
      </c>
      <c r="AG166" s="60">
        <v>0</v>
      </c>
      <c r="AL166" s="55" t="s">
        <v>29</v>
      </c>
      <c r="AM166" s="55" t="s">
        <v>822</v>
      </c>
      <c r="AN166" s="55" t="s">
        <v>834</v>
      </c>
      <c r="AP166" s="62">
        <f>IFERROR(IF(출고표[[#This Row],[클레임]]="반품",출고표[[#This Row],[배송비]],출고표[[#This Row],[결제액]]+출고표[[#This Row],[배송비]]+출고표[[#This Row],[제주/도서추가배송비]]),0)</f>
        <v>10560</v>
      </c>
      <c r="AQ16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611</v>
      </c>
      <c r="AS16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6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6" s="60">
        <f>IFERROR(IF(D166="스마트스토어",COUNTIFS(출고표[구입일자],"&lt;&gt;"&amp;H166,출고표[구매자명],E166,출고표[구매자연락처],F166),COUNTIFS(출고표[구입일자],"&lt;&gt;"&amp;H166,출고표[구매자명],E166,출고표[구매자연락처],G166)),0)</f>
        <v>0</v>
      </c>
    </row>
    <row r="167" spans="1:48" ht="20.100000000000001" customHeight="1">
      <c r="A167" s="55">
        <v>166</v>
      </c>
      <c r="B167" s="55" t="s">
        <v>673</v>
      </c>
      <c r="C167" s="64" t="s">
        <v>1898</v>
      </c>
      <c r="D167" s="55" t="s">
        <v>561</v>
      </c>
      <c r="E167" s="55" t="s">
        <v>1890</v>
      </c>
      <c r="F167" s="55" t="s">
        <v>1891</v>
      </c>
      <c r="G167" s="55" t="s">
        <v>1892</v>
      </c>
      <c r="H167" s="63">
        <v>45457</v>
      </c>
      <c r="I167" s="63">
        <v>45457</v>
      </c>
      <c r="J167" s="55" t="s">
        <v>563</v>
      </c>
      <c r="K167" s="64" t="s">
        <v>1887</v>
      </c>
      <c r="M167" s="55" t="s">
        <v>1885</v>
      </c>
      <c r="N167" s="55" t="s">
        <v>1892</v>
      </c>
      <c r="O167" s="55" t="s">
        <v>1893</v>
      </c>
      <c r="P167" s="55" t="s">
        <v>1894</v>
      </c>
      <c r="R167" s="55" t="s">
        <v>26</v>
      </c>
      <c r="S167" s="55" t="s">
        <v>353</v>
      </c>
      <c r="T167" s="60">
        <v>2</v>
      </c>
      <c r="U167" s="60">
        <v>43840</v>
      </c>
      <c r="V167" s="60">
        <v>0</v>
      </c>
      <c r="W167" s="60">
        <v>0</v>
      </c>
      <c r="X167" s="60">
        <v>0</v>
      </c>
      <c r="Y167" s="60">
        <v>0</v>
      </c>
      <c r="Z167" s="60">
        <v>0</v>
      </c>
      <c r="AB167" s="60">
        <v>21920</v>
      </c>
      <c r="AC167" s="60">
        <v>15070</v>
      </c>
      <c r="AD167" s="60">
        <v>43840</v>
      </c>
      <c r="AE167" s="60">
        <v>0</v>
      </c>
      <c r="AF167" s="60">
        <v>2283</v>
      </c>
      <c r="AG167" s="60">
        <v>0</v>
      </c>
      <c r="AL167" s="55" t="s">
        <v>25</v>
      </c>
      <c r="AM167" s="55" t="s">
        <v>822</v>
      </c>
      <c r="AN167" s="55" t="s">
        <v>834</v>
      </c>
      <c r="AP167" s="62">
        <f>IFERROR(IF(출고표[[#This Row],[클레임]]="반품",출고표[[#This Row],[배송비]],출고표[[#This Row],[결제액]]+출고표[[#This Row],[배송비]]+출고표[[#This Row],[제주/도서추가배송비]]),0)</f>
        <v>43840</v>
      </c>
      <c r="AQ16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2283</v>
      </c>
      <c r="AS16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7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7" s="60">
        <f>IFERROR(IF(D167="스마트스토어",COUNTIFS(출고표[구입일자],"&lt;&gt;"&amp;H167,출고표[구매자명],E167,출고표[구매자연락처],F167),COUNTIFS(출고표[구입일자],"&lt;&gt;"&amp;H167,출고표[구매자명],E167,출고표[구매자연락처],G167)),0)</f>
        <v>0</v>
      </c>
    </row>
    <row r="168" spans="1:48" ht="20.100000000000001" customHeight="1">
      <c r="A168" s="55">
        <v>167</v>
      </c>
      <c r="B168" s="55" t="s">
        <v>673</v>
      </c>
      <c r="C168" s="64" t="s">
        <v>1902</v>
      </c>
      <c r="D168" s="55" t="s">
        <v>561</v>
      </c>
      <c r="E168" s="55" t="s">
        <v>1899</v>
      </c>
      <c r="F168" s="55" t="s">
        <v>1903</v>
      </c>
      <c r="G168" s="55" t="s">
        <v>1904</v>
      </c>
      <c r="H168" s="63">
        <v>45456</v>
      </c>
      <c r="I168" s="63">
        <v>45457</v>
      </c>
      <c r="J168" s="55" t="s">
        <v>563</v>
      </c>
      <c r="K168" s="64" t="s">
        <v>1900</v>
      </c>
      <c r="M168" s="55" t="s">
        <v>1899</v>
      </c>
      <c r="N168" s="55" t="s">
        <v>1904</v>
      </c>
      <c r="P168" s="55" t="s">
        <v>1905</v>
      </c>
      <c r="R168" s="55" t="s">
        <v>36</v>
      </c>
      <c r="S168" s="55" t="s">
        <v>353</v>
      </c>
      <c r="T168" s="60">
        <v>2</v>
      </c>
      <c r="U168" s="60">
        <v>48000</v>
      </c>
      <c r="V168" s="60">
        <v>0</v>
      </c>
      <c r="W168" s="60">
        <v>0</v>
      </c>
      <c r="X168" s="60">
        <v>0</v>
      </c>
      <c r="Y168" s="60">
        <v>4400</v>
      </c>
      <c r="Z168" s="60">
        <v>0</v>
      </c>
      <c r="AB168" s="60">
        <v>24000</v>
      </c>
      <c r="AC168" s="60">
        <v>16500</v>
      </c>
      <c r="AD168" s="60">
        <v>48000</v>
      </c>
      <c r="AE168" s="60">
        <v>0</v>
      </c>
      <c r="AF168" s="60">
        <v>2492</v>
      </c>
      <c r="AG168" s="60">
        <v>0</v>
      </c>
      <c r="AL168" s="55" t="s">
        <v>35</v>
      </c>
      <c r="AN168" s="55" t="s">
        <v>834</v>
      </c>
      <c r="AP168" s="62">
        <f>IFERROR(IF(출고표[[#This Row],[클레임]]="반품",출고표[[#This Row],[배송비]],출고표[[#This Row],[결제액]]+출고표[[#This Row],[배송비]]+출고표[[#This Row],[제주/도서추가배송비]]),0)</f>
        <v>48000</v>
      </c>
      <c r="AQ16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6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2492</v>
      </c>
      <c r="AS16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68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6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8" s="60">
        <f>IFERROR(IF(D168="스마트스토어",COUNTIFS(출고표[구입일자],"&lt;&gt;"&amp;H168,출고표[구매자명],E168,출고표[구매자연락처],F168),COUNTIFS(출고표[구입일자],"&lt;&gt;"&amp;H168,출고표[구매자명],E168,출고표[구매자연락처],G168)),0)</f>
        <v>0</v>
      </c>
    </row>
    <row r="169" spans="1:48" ht="20.100000000000001" customHeight="1">
      <c r="A169" s="55">
        <v>168</v>
      </c>
      <c r="B169" s="55" t="s">
        <v>562</v>
      </c>
      <c r="C169" s="64" t="s">
        <v>1909</v>
      </c>
      <c r="D169" s="55" t="s">
        <v>568</v>
      </c>
      <c r="E169" s="55" t="s">
        <v>1907</v>
      </c>
      <c r="F169" s="55" t="s">
        <v>1910</v>
      </c>
      <c r="G169" s="55" t="s">
        <v>1911</v>
      </c>
      <c r="H169" s="63">
        <v>45456</v>
      </c>
      <c r="I169" s="63">
        <v>45457</v>
      </c>
      <c r="J169" s="55" t="s">
        <v>563</v>
      </c>
      <c r="K169" s="64" t="s">
        <v>1908</v>
      </c>
      <c r="M169" s="55" t="s">
        <v>1907</v>
      </c>
      <c r="N169" s="55" t="s">
        <v>1911</v>
      </c>
      <c r="P169" s="55" t="s">
        <v>1912</v>
      </c>
      <c r="Q169" s="55" t="s">
        <v>571</v>
      </c>
      <c r="R169" s="55" t="s">
        <v>34</v>
      </c>
      <c r="S169" s="55" t="s">
        <v>353</v>
      </c>
      <c r="T169" s="60">
        <v>1</v>
      </c>
      <c r="U169" s="60">
        <v>34020</v>
      </c>
      <c r="V169" s="60">
        <v>0</v>
      </c>
      <c r="W169" s="60">
        <v>3000</v>
      </c>
      <c r="X169" s="60">
        <v>0</v>
      </c>
      <c r="Y169" s="60">
        <v>3500</v>
      </c>
      <c r="Z169" s="60">
        <v>0</v>
      </c>
      <c r="AB169" s="60">
        <v>32130</v>
      </c>
      <c r="AC169" s="60">
        <v>19800</v>
      </c>
      <c r="AD169" s="60">
        <v>37020</v>
      </c>
      <c r="AE169" s="60">
        <v>23300</v>
      </c>
      <c r="AF169" s="60">
        <v>4141</v>
      </c>
      <c r="AG169" s="60">
        <v>9579</v>
      </c>
      <c r="AH169" s="61">
        <v>0.25879999999999997</v>
      </c>
      <c r="AL169" s="55" t="s">
        <v>33</v>
      </c>
      <c r="AN169" s="55" t="s">
        <v>834</v>
      </c>
      <c r="AP169" s="62">
        <f>IFERROR(IF(출고표[[#This Row],[클레임]]="반품",출고표[[#This Row],[배송비]],출고표[[#This Row],[결제액]]+출고표[[#This Row],[배송비]]+출고표[[#This Row],[제주/도서추가배송비]]),0)</f>
        <v>37020</v>
      </c>
      <c r="AQ16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6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4141</v>
      </c>
      <c r="AS16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9579</v>
      </c>
      <c r="AT16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0.25879999999999997</v>
      </c>
      <c r="AU16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69" s="60">
        <f>IFERROR(IF(D169="스마트스토어",COUNTIFS(출고표[구입일자],"&lt;&gt;"&amp;H169,출고표[구매자명],E169,출고표[구매자연락처],F169),COUNTIFS(출고표[구입일자],"&lt;&gt;"&amp;H169,출고표[구매자명],E169,출고표[구매자연락처],G169)),0)</f>
        <v>0</v>
      </c>
    </row>
    <row r="170" spans="1:48" ht="20.100000000000001" customHeight="1">
      <c r="A170" s="55">
        <v>169</v>
      </c>
      <c r="B170" s="55" t="s">
        <v>562</v>
      </c>
      <c r="C170" s="64" t="s">
        <v>1917</v>
      </c>
      <c r="D170" s="55" t="s">
        <v>568</v>
      </c>
      <c r="E170" s="55" t="s">
        <v>1914</v>
      </c>
      <c r="F170" s="55" t="s">
        <v>1918</v>
      </c>
      <c r="G170" s="55" t="s">
        <v>1919</v>
      </c>
      <c r="H170" s="63">
        <v>45456</v>
      </c>
      <c r="I170" s="63">
        <v>45457</v>
      </c>
      <c r="J170" s="55" t="s">
        <v>563</v>
      </c>
      <c r="K170" s="64" t="s">
        <v>1916</v>
      </c>
      <c r="M170" s="55" t="s">
        <v>1914</v>
      </c>
      <c r="N170" s="55" t="s">
        <v>1919</v>
      </c>
      <c r="P170" s="55" t="s">
        <v>1920</v>
      </c>
      <c r="Q170" s="55" t="s">
        <v>571</v>
      </c>
      <c r="R170" s="55" t="s">
        <v>52</v>
      </c>
      <c r="S170" s="55" t="s">
        <v>353</v>
      </c>
      <c r="T170" s="60">
        <v>8</v>
      </c>
      <c r="U170" s="60">
        <v>13440</v>
      </c>
      <c r="V170" s="60">
        <v>0</v>
      </c>
      <c r="W170" s="60">
        <v>0</v>
      </c>
      <c r="X170" s="60">
        <v>0</v>
      </c>
      <c r="Y170" s="60">
        <v>3500</v>
      </c>
      <c r="Z170" s="60">
        <v>0</v>
      </c>
      <c r="AB170" s="60">
        <v>1300</v>
      </c>
      <c r="AC170" s="60">
        <v>880</v>
      </c>
      <c r="AD170" s="60">
        <v>13440</v>
      </c>
      <c r="AE170" s="60">
        <v>10540</v>
      </c>
      <c r="AF170" s="60">
        <v>1597</v>
      </c>
      <c r="AG170" s="60">
        <v>1303</v>
      </c>
      <c r="AH170" s="61">
        <v>9.69E-2</v>
      </c>
      <c r="AL170" s="55" t="s">
        <v>51</v>
      </c>
      <c r="AN170" s="55" t="s">
        <v>834</v>
      </c>
      <c r="AP170" s="62">
        <f>IFERROR(IF(출고표[[#This Row],[클레임]]="반품",출고표[[#This Row],[배송비]],출고표[[#This Row],[결제액]]+출고표[[#This Row],[배송비]]+출고표[[#This Row],[제주/도서추가배송비]]),0)</f>
        <v>13440</v>
      </c>
      <c r="AQ17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10540</v>
      </c>
      <c r="AR17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1597</v>
      </c>
      <c r="AS17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1303</v>
      </c>
      <c r="AT170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9.69E-2</v>
      </c>
      <c r="AU17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0" s="60">
        <f>IFERROR(IF(D170="스마트스토어",COUNTIFS(출고표[구입일자],"&lt;&gt;"&amp;H170,출고표[구매자명],E170,출고표[구매자연락처],F170),COUNTIFS(출고표[구입일자],"&lt;&gt;"&amp;H170,출고표[구매자명],E170,출고표[구매자연락처],G170)),0)</f>
        <v>0</v>
      </c>
    </row>
    <row r="171" spans="1:48" ht="20.100000000000001" customHeight="1">
      <c r="A171" s="55">
        <v>170</v>
      </c>
      <c r="B171" s="55" t="s">
        <v>562</v>
      </c>
      <c r="C171" s="64" t="s">
        <v>1917</v>
      </c>
      <c r="D171" s="55" t="s">
        <v>568</v>
      </c>
      <c r="E171" s="55" t="s">
        <v>1914</v>
      </c>
      <c r="F171" s="55" t="s">
        <v>1918</v>
      </c>
      <c r="G171" s="55" t="s">
        <v>1919</v>
      </c>
      <c r="H171" s="63">
        <v>45456</v>
      </c>
      <c r="I171" s="63">
        <v>45457</v>
      </c>
      <c r="J171" s="55" t="s">
        <v>563</v>
      </c>
      <c r="K171" s="64" t="s">
        <v>1916</v>
      </c>
      <c r="M171" s="55" t="s">
        <v>1914</v>
      </c>
      <c r="N171" s="55" t="s">
        <v>1919</v>
      </c>
      <c r="P171" s="55" t="s">
        <v>1920</v>
      </c>
      <c r="Q171" s="55" t="s">
        <v>571</v>
      </c>
      <c r="R171" s="55" t="s">
        <v>286</v>
      </c>
      <c r="S171" s="55" t="s">
        <v>353</v>
      </c>
      <c r="T171" s="60">
        <v>6</v>
      </c>
      <c r="U171" s="60">
        <v>11280</v>
      </c>
      <c r="V171" s="60">
        <v>1260</v>
      </c>
      <c r="W171" s="60">
        <v>0</v>
      </c>
      <c r="X171" s="60">
        <v>0</v>
      </c>
      <c r="Y171" s="60">
        <v>0</v>
      </c>
      <c r="Z171" s="60">
        <v>0</v>
      </c>
      <c r="AB171" s="60">
        <v>2000</v>
      </c>
      <c r="AC171" s="60">
        <v>1210</v>
      </c>
      <c r="AD171" s="60">
        <v>11280</v>
      </c>
      <c r="AE171" s="60">
        <v>7260</v>
      </c>
      <c r="AF171" s="60">
        <v>1340</v>
      </c>
      <c r="AG171" s="60">
        <v>2680</v>
      </c>
      <c r="AH171" s="61">
        <v>0.23760000000000001</v>
      </c>
      <c r="AL171" s="55" t="s">
        <v>1984</v>
      </c>
      <c r="AM171" s="55" t="s">
        <v>822</v>
      </c>
      <c r="AN171" s="55" t="s">
        <v>834</v>
      </c>
      <c r="AP171" s="62">
        <f>IFERROR(IF(출고표[[#This Row],[클레임]]="반품",출고표[[#This Row],[배송비]],출고표[[#This Row],[결제액]]+출고표[[#This Row],[배송비]]+출고표[[#This Row],[제주/도서추가배송비]]),0)</f>
        <v>11280</v>
      </c>
      <c r="AQ171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7260</v>
      </c>
      <c r="AR171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1340</v>
      </c>
      <c r="AS171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2680</v>
      </c>
      <c r="AT171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0.23760000000000001</v>
      </c>
      <c r="AU171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1" s="60">
        <f>IFERROR(IF(D171="스마트스토어",COUNTIFS(출고표[구입일자],"&lt;&gt;"&amp;H171,출고표[구매자명],E171,출고표[구매자연락처],F171),COUNTIFS(출고표[구입일자],"&lt;&gt;"&amp;H171,출고표[구매자명],E171,출고표[구매자연락처],G171)),0)</f>
        <v>0</v>
      </c>
    </row>
    <row r="172" spans="1:48" ht="20.100000000000001" customHeight="1">
      <c r="A172" s="55">
        <v>171</v>
      </c>
      <c r="B172" s="55" t="s">
        <v>562</v>
      </c>
      <c r="C172" s="64" t="s">
        <v>1917</v>
      </c>
      <c r="D172" s="55" t="s">
        <v>568</v>
      </c>
      <c r="E172" s="55" t="s">
        <v>1914</v>
      </c>
      <c r="F172" s="55" t="s">
        <v>1918</v>
      </c>
      <c r="G172" s="55" t="s">
        <v>1919</v>
      </c>
      <c r="H172" s="63">
        <v>45456</v>
      </c>
      <c r="I172" s="63">
        <v>45457</v>
      </c>
      <c r="J172" s="55" t="s">
        <v>563</v>
      </c>
      <c r="K172" s="64" t="s">
        <v>1916</v>
      </c>
      <c r="M172" s="55" t="s">
        <v>1914</v>
      </c>
      <c r="N172" s="55" t="s">
        <v>1919</v>
      </c>
      <c r="P172" s="55" t="s">
        <v>1920</v>
      </c>
      <c r="Q172" s="55" t="s">
        <v>571</v>
      </c>
      <c r="R172" s="55" t="s">
        <v>129</v>
      </c>
      <c r="S172" s="55" t="s">
        <v>353</v>
      </c>
      <c r="T172" s="60">
        <v>9</v>
      </c>
      <c r="U172" s="60">
        <v>10350</v>
      </c>
      <c r="V172" s="60">
        <v>0</v>
      </c>
      <c r="W172" s="60">
        <v>0</v>
      </c>
      <c r="X172" s="60">
        <v>0</v>
      </c>
      <c r="Y172" s="60">
        <v>0</v>
      </c>
      <c r="Z172" s="60">
        <v>0</v>
      </c>
      <c r="AB172" s="60">
        <v>1070</v>
      </c>
      <c r="AC172" s="60">
        <v>660</v>
      </c>
      <c r="AD172" s="60">
        <v>10350</v>
      </c>
      <c r="AE172" s="60">
        <v>5940</v>
      </c>
      <c r="AF172" s="60">
        <v>1230</v>
      </c>
      <c r="AG172" s="60">
        <v>3180</v>
      </c>
      <c r="AH172" s="61">
        <v>0.30719999999999997</v>
      </c>
      <c r="AL172" s="55" t="s">
        <v>128</v>
      </c>
      <c r="AM172" s="55" t="s">
        <v>822</v>
      </c>
      <c r="AN172" s="55" t="s">
        <v>834</v>
      </c>
      <c r="AP172" s="62">
        <f>IFERROR(IF(출고표[[#This Row],[클레임]]="반품",출고표[[#This Row],[배송비]],출고표[[#This Row],[결제액]]+출고표[[#This Row],[배송비]]+출고표[[#This Row],[제주/도서추가배송비]]),0)</f>
        <v>10350</v>
      </c>
      <c r="AQ172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5940</v>
      </c>
      <c r="AR172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1230</v>
      </c>
      <c r="AS172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3180</v>
      </c>
      <c r="AT172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0.30719999999999997</v>
      </c>
      <c r="AU172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2" s="60">
        <f>IFERROR(IF(D172="스마트스토어",COUNTIFS(출고표[구입일자],"&lt;&gt;"&amp;H172,출고표[구매자명],E172,출고표[구매자연락처],F172),COUNTIFS(출고표[구입일자],"&lt;&gt;"&amp;H172,출고표[구매자명],E172,출고표[구매자연락처],G172)),0)</f>
        <v>0</v>
      </c>
    </row>
    <row r="173" spans="1:48" ht="20.100000000000001" customHeight="1">
      <c r="A173" s="55">
        <v>172</v>
      </c>
      <c r="B173" s="55" t="s">
        <v>562</v>
      </c>
      <c r="C173" s="64" t="s">
        <v>1925</v>
      </c>
      <c r="D173" s="55" t="s">
        <v>568</v>
      </c>
      <c r="E173" s="55" t="s">
        <v>1926</v>
      </c>
      <c r="F173" s="55" t="s">
        <v>1927</v>
      </c>
      <c r="G173" s="55" t="s">
        <v>1928</v>
      </c>
      <c r="H173" s="63">
        <v>45456</v>
      </c>
      <c r="I173" s="63">
        <v>45457</v>
      </c>
      <c r="J173" s="55" t="s">
        <v>563</v>
      </c>
      <c r="K173" s="64" t="s">
        <v>1924</v>
      </c>
      <c r="M173" s="55" t="s">
        <v>1923</v>
      </c>
      <c r="N173" s="55" t="s">
        <v>1928</v>
      </c>
      <c r="P173" s="55" t="s">
        <v>1929</v>
      </c>
      <c r="Q173" s="55" t="s">
        <v>571</v>
      </c>
      <c r="R173" s="55" t="s">
        <v>125</v>
      </c>
      <c r="S173" s="55" t="s">
        <v>353</v>
      </c>
      <c r="T173" s="60">
        <v>10</v>
      </c>
      <c r="U173" s="60">
        <v>16900</v>
      </c>
      <c r="V173" s="60">
        <v>1900</v>
      </c>
      <c r="W173" s="60">
        <v>0</v>
      </c>
      <c r="X173" s="60">
        <v>0</v>
      </c>
      <c r="Y173" s="60">
        <v>3000</v>
      </c>
      <c r="Z173" s="60">
        <v>0</v>
      </c>
      <c r="AB173" s="60">
        <v>1790</v>
      </c>
      <c r="AC173" s="60">
        <v>1100</v>
      </c>
      <c r="AD173" s="60">
        <v>16900</v>
      </c>
      <c r="AE173" s="60">
        <v>14000</v>
      </c>
      <c r="AF173" s="60">
        <v>2008</v>
      </c>
      <c r="AG173" s="60">
        <v>892</v>
      </c>
      <c r="AH173" s="61">
        <v>5.28E-2</v>
      </c>
      <c r="AL173" s="55" t="s">
        <v>124</v>
      </c>
      <c r="AN173" s="55" t="s">
        <v>834</v>
      </c>
      <c r="AP173" s="62">
        <f>IFERROR(IF(출고표[[#This Row],[클레임]]="반품",출고표[[#This Row],[배송비]],출고표[[#This Row],[결제액]]+출고표[[#This Row],[배송비]]+출고표[[#This Row],[제주/도서추가배송비]]),0)</f>
        <v>16900</v>
      </c>
      <c r="AQ173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14000</v>
      </c>
      <c r="AR173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2008</v>
      </c>
      <c r="AS173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892</v>
      </c>
      <c r="AT173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5.28E-2</v>
      </c>
      <c r="AU173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3" s="60">
        <f>IFERROR(IF(D173="스마트스토어",COUNTIFS(출고표[구입일자],"&lt;&gt;"&amp;H173,출고표[구매자명],E173,출고표[구매자연락처],F173),COUNTIFS(출고표[구입일자],"&lt;&gt;"&amp;H173,출고표[구매자명],E173,출고표[구매자연락처],G173)),0)</f>
        <v>0</v>
      </c>
    </row>
    <row r="174" spans="1:48" ht="20.100000000000001" customHeight="1">
      <c r="A174" s="55">
        <v>173</v>
      </c>
      <c r="B174" s="55" t="s">
        <v>562</v>
      </c>
      <c r="C174" s="64" t="s">
        <v>1933</v>
      </c>
      <c r="D174" s="55" t="s">
        <v>568</v>
      </c>
      <c r="E174" s="55" t="s">
        <v>1931</v>
      </c>
      <c r="F174" s="55" t="s">
        <v>1934</v>
      </c>
      <c r="G174" s="55" t="s">
        <v>1935</v>
      </c>
      <c r="H174" s="63">
        <v>45457</v>
      </c>
      <c r="I174" s="63">
        <v>45457</v>
      </c>
      <c r="J174" s="55" t="s">
        <v>563</v>
      </c>
      <c r="K174" s="64" t="s">
        <v>1932</v>
      </c>
      <c r="M174" s="55" t="s">
        <v>1931</v>
      </c>
      <c r="N174" s="55" t="s">
        <v>1935</v>
      </c>
      <c r="P174" s="55" t="s">
        <v>1936</v>
      </c>
      <c r="Q174" s="55" t="s">
        <v>571</v>
      </c>
      <c r="R174" s="55" t="s">
        <v>98</v>
      </c>
      <c r="S174" s="55" t="s">
        <v>353</v>
      </c>
      <c r="T174" s="60">
        <v>3</v>
      </c>
      <c r="U174" s="60">
        <v>20400</v>
      </c>
      <c r="V174" s="60">
        <v>0</v>
      </c>
      <c r="W174" s="60">
        <v>0</v>
      </c>
      <c r="X174" s="60">
        <v>0</v>
      </c>
      <c r="Y174" s="60">
        <v>3500</v>
      </c>
      <c r="Z174" s="60">
        <v>0</v>
      </c>
      <c r="AB174" s="60">
        <v>6430</v>
      </c>
      <c r="AC174" s="60">
        <v>3960</v>
      </c>
      <c r="AD174" s="60">
        <v>20400</v>
      </c>
      <c r="AE174" s="60">
        <v>15380</v>
      </c>
      <c r="AF174" s="60">
        <v>2424</v>
      </c>
      <c r="AG174" s="60">
        <v>2596</v>
      </c>
      <c r="AH174" s="61">
        <v>0.1273</v>
      </c>
      <c r="AL174" s="55" t="s">
        <v>1980</v>
      </c>
      <c r="AN174" s="55" t="s">
        <v>834</v>
      </c>
      <c r="AP174" s="62">
        <f>IFERROR(IF(출고표[[#This Row],[클레임]]="반품",출고표[[#This Row],[배송비]],출고표[[#This Row],[결제액]]+출고표[[#This Row],[배송비]]+출고표[[#This Row],[제주/도서추가배송비]]),0)</f>
        <v>20400</v>
      </c>
      <c r="AQ174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15380</v>
      </c>
      <c r="AR174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2424</v>
      </c>
      <c r="AS174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2596</v>
      </c>
      <c r="AT174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0.1273</v>
      </c>
      <c r="AU174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4" s="60">
        <f>IFERROR(IF(D174="스마트스토어",COUNTIFS(출고표[구입일자],"&lt;&gt;"&amp;H174,출고표[구매자명],E174,출고표[구매자연락처],F174),COUNTIFS(출고표[구입일자],"&lt;&gt;"&amp;H174,출고표[구매자명],E174,출고표[구매자연락처],G174)),0)</f>
        <v>0</v>
      </c>
    </row>
    <row r="175" spans="1:48" ht="20.100000000000001" customHeight="1">
      <c r="A175" s="55">
        <v>174</v>
      </c>
      <c r="B175" s="55" t="s">
        <v>562</v>
      </c>
      <c r="C175" s="64" t="s">
        <v>1942</v>
      </c>
      <c r="D175" s="55" t="s">
        <v>561</v>
      </c>
      <c r="E175" s="55" t="s">
        <v>1938</v>
      </c>
      <c r="F175" s="55" t="s">
        <v>1943</v>
      </c>
      <c r="G175" s="55" t="s">
        <v>1944</v>
      </c>
      <c r="H175" s="63">
        <v>45457</v>
      </c>
      <c r="I175" s="63">
        <v>45457</v>
      </c>
      <c r="J175" s="55" t="s">
        <v>563</v>
      </c>
      <c r="K175" s="64" t="s">
        <v>1940</v>
      </c>
      <c r="M175" s="55" t="s">
        <v>1938</v>
      </c>
      <c r="N175" s="55" t="s">
        <v>1944</v>
      </c>
      <c r="P175" s="55" t="s">
        <v>1945</v>
      </c>
      <c r="Q175" s="55" t="s">
        <v>1354</v>
      </c>
      <c r="R175" s="55" t="s">
        <v>129</v>
      </c>
      <c r="S175" s="55" t="s">
        <v>353</v>
      </c>
      <c r="T175" s="60">
        <v>10</v>
      </c>
      <c r="U175" s="60">
        <v>10800</v>
      </c>
      <c r="V175" s="60">
        <v>0</v>
      </c>
      <c r="W175" s="60">
        <v>3000</v>
      </c>
      <c r="X175" s="60">
        <v>0</v>
      </c>
      <c r="Y175" s="60">
        <v>3000</v>
      </c>
      <c r="Z175" s="60">
        <v>0</v>
      </c>
      <c r="AB175" s="60">
        <v>1020</v>
      </c>
      <c r="AC175" s="60">
        <v>660</v>
      </c>
      <c r="AD175" s="60">
        <v>13800</v>
      </c>
      <c r="AE175" s="60">
        <v>9600</v>
      </c>
      <c r="AF175" s="60">
        <v>569</v>
      </c>
      <c r="AG175" s="60">
        <v>3631</v>
      </c>
      <c r="AH175" s="61">
        <v>0.2631</v>
      </c>
      <c r="AL175" s="55" t="s">
        <v>128</v>
      </c>
      <c r="AN175" s="55" t="s">
        <v>834</v>
      </c>
      <c r="AP175" s="62">
        <f>IFERROR(IF(출고표[[#This Row],[클레임]]="반품",출고표[[#This Row],[배송비]],출고표[[#This Row],[결제액]]+출고표[[#This Row],[배송비]]+출고표[[#This Row],[제주/도서추가배송비]]),0)</f>
        <v>13800</v>
      </c>
      <c r="AQ175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9600</v>
      </c>
      <c r="AR175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569</v>
      </c>
      <c r="AS175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3631</v>
      </c>
      <c r="AT175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0.2631</v>
      </c>
      <c r="AU175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5" s="60">
        <f>IFERROR(IF(D175="스마트스토어",COUNTIFS(출고표[구입일자],"&lt;&gt;"&amp;H175,출고표[구매자명],E175,출고표[구매자연락처],F175),COUNTIFS(출고표[구입일자],"&lt;&gt;"&amp;H175,출고표[구매자명],E175,출고표[구매자연락처],G175)),0)</f>
        <v>0</v>
      </c>
    </row>
    <row r="176" spans="1:48" ht="20.100000000000001" customHeight="1">
      <c r="A176" s="55">
        <v>175</v>
      </c>
      <c r="B176" s="55" t="s">
        <v>562</v>
      </c>
      <c r="C176" s="64" t="s">
        <v>1951</v>
      </c>
      <c r="D176" s="55" t="s">
        <v>561</v>
      </c>
      <c r="E176" s="55" t="s">
        <v>1948</v>
      </c>
      <c r="F176" s="55" t="s">
        <v>1952</v>
      </c>
      <c r="G176" s="55" t="s">
        <v>1953</v>
      </c>
      <c r="H176" s="63">
        <v>45457</v>
      </c>
      <c r="I176" s="63">
        <v>45457</v>
      </c>
      <c r="J176" s="55" t="s">
        <v>563</v>
      </c>
      <c r="K176" s="64" t="s">
        <v>1949</v>
      </c>
      <c r="M176" s="55" t="s">
        <v>1948</v>
      </c>
      <c r="N176" s="55" t="s">
        <v>1953</v>
      </c>
      <c r="P176" s="55" t="s">
        <v>1954</v>
      </c>
      <c r="R176" s="55" t="s">
        <v>34</v>
      </c>
      <c r="S176" s="55" t="s">
        <v>353</v>
      </c>
      <c r="T176" s="60">
        <v>1</v>
      </c>
      <c r="U176" s="60">
        <v>28620</v>
      </c>
      <c r="V176" s="60">
        <v>3180</v>
      </c>
      <c r="W176" s="60">
        <v>0</v>
      </c>
      <c r="X176" s="60">
        <v>0</v>
      </c>
      <c r="Y176" s="60">
        <v>3500</v>
      </c>
      <c r="Z176" s="60">
        <v>0</v>
      </c>
      <c r="AB176" s="60">
        <v>30600</v>
      </c>
      <c r="AC176" s="60">
        <v>19800</v>
      </c>
      <c r="AD176" s="60">
        <v>28620</v>
      </c>
      <c r="AE176" s="60">
        <v>23300</v>
      </c>
      <c r="AF176" s="60">
        <v>1219</v>
      </c>
      <c r="AG176" s="60">
        <v>4101</v>
      </c>
      <c r="AH176" s="61">
        <v>0.14330000000000001</v>
      </c>
      <c r="AL176" s="55" t="s">
        <v>33</v>
      </c>
      <c r="AN176" s="55" t="s">
        <v>834</v>
      </c>
      <c r="AP176" s="62">
        <f>IFERROR(IF(출고표[[#This Row],[클레임]]="반품",출고표[[#This Row],[배송비]],출고표[[#This Row],[결제액]]+출고표[[#This Row],[배송비]]+출고표[[#This Row],[제주/도서추가배송비]]),0)</f>
        <v>28620</v>
      </c>
      <c r="AQ176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23300</v>
      </c>
      <c r="AR176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6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4101</v>
      </c>
      <c r="AT176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0.14330000000000001</v>
      </c>
      <c r="AU176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6" s="60">
        <f>IFERROR(IF(D176="스마트스토어",COUNTIFS(출고표[구입일자],"&lt;&gt;"&amp;H176,출고표[구매자명],E176,출고표[구매자연락처],F176),COUNTIFS(출고표[구입일자],"&lt;&gt;"&amp;H176,출고표[구매자명],E176,출고표[구매자연락처],G176)),0)</f>
        <v>0</v>
      </c>
    </row>
    <row r="177" spans="1:48" ht="20.100000000000001" customHeight="1">
      <c r="A177" s="55">
        <v>176</v>
      </c>
      <c r="B177" s="55" t="s">
        <v>562</v>
      </c>
      <c r="C177" s="64" t="s">
        <v>1956</v>
      </c>
      <c r="D177" s="55" t="s">
        <v>561</v>
      </c>
      <c r="E177" s="55" t="s">
        <v>1948</v>
      </c>
      <c r="F177" s="55" t="s">
        <v>1952</v>
      </c>
      <c r="G177" s="55" t="s">
        <v>1953</v>
      </c>
      <c r="H177" s="63">
        <v>45457</v>
      </c>
      <c r="I177" s="63">
        <v>45457</v>
      </c>
      <c r="J177" s="55" t="s">
        <v>563</v>
      </c>
      <c r="K177" s="64" t="s">
        <v>1949</v>
      </c>
      <c r="M177" s="55" t="s">
        <v>1948</v>
      </c>
      <c r="N177" s="55" t="s">
        <v>1953</v>
      </c>
      <c r="P177" s="55" t="s">
        <v>1954</v>
      </c>
      <c r="R177" s="55" t="s">
        <v>24</v>
      </c>
      <c r="S177" s="55" t="s">
        <v>353</v>
      </c>
      <c r="T177" s="60">
        <v>1</v>
      </c>
      <c r="U177" s="60">
        <v>13770</v>
      </c>
      <c r="V177" s="60">
        <v>1530</v>
      </c>
      <c r="W177" s="60">
        <v>0</v>
      </c>
      <c r="X177" s="60">
        <v>0</v>
      </c>
      <c r="Y177" s="60">
        <v>0</v>
      </c>
      <c r="Z177" s="60">
        <v>0</v>
      </c>
      <c r="AB177" s="60">
        <v>14450</v>
      </c>
      <c r="AC177" s="60">
        <v>9350</v>
      </c>
      <c r="AD177" s="60">
        <v>13770</v>
      </c>
      <c r="AE177" s="60">
        <v>9350</v>
      </c>
      <c r="AF177" s="60">
        <v>628</v>
      </c>
      <c r="AG177" s="60">
        <v>3792</v>
      </c>
      <c r="AH177" s="61">
        <v>0.27539999999999998</v>
      </c>
      <c r="AL177" s="55" t="s">
        <v>23</v>
      </c>
      <c r="AM177" s="55" t="s">
        <v>822</v>
      </c>
      <c r="AN177" s="55" t="s">
        <v>834</v>
      </c>
      <c r="AP177" s="62">
        <f>IFERROR(IF(출고표[[#This Row],[클레임]]="반품",출고표[[#This Row],[배송비]],출고표[[#This Row],[결제액]]+출고표[[#This Row],[배송비]]+출고표[[#This Row],[제주/도서추가배송비]]),0)</f>
        <v>13770</v>
      </c>
      <c r="AQ177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9350</v>
      </c>
      <c r="AR177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628</v>
      </c>
      <c r="AS177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3792</v>
      </c>
      <c r="AT177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0.27539999999999998</v>
      </c>
      <c r="AU177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7" s="60">
        <f>IFERROR(IF(D177="스마트스토어",COUNTIFS(출고표[구입일자],"&lt;&gt;"&amp;H177,출고표[구매자명],E177,출고표[구매자연락처],F177),COUNTIFS(출고표[구입일자],"&lt;&gt;"&amp;H177,출고표[구매자명],E177,출고표[구매자연락처],G177)),0)</f>
        <v>0</v>
      </c>
    </row>
    <row r="178" spans="1:48" ht="20.100000000000001" customHeight="1">
      <c r="A178" s="55">
        <v>177</v>
      </c>
      <c r="B178" s="55" t="s">
        <v>562</v>
      </c>
      <c r="C178" s="64" t="s">
        <v>1960</v>
      </c>
      <c r="D178" s="55" t="s">
        <v>561</v>
      </c>
      <c r="E178" s="55" t="s">
        <v>1957</v>
      </c>
      <c r="F178" s="55" t="s">
        <v>1961</v>
      </c>
      <c r="G178" s="55" t="s">
        <v>1962</v>
      </c>
      <c r="H178" s="63">
        <v>45456</v>
      </c>
      <c r="I178" s="63">
        <v>45457</v>
      </c>
      <c r="J178" s="55" t="s">
        <v>563</v>
      </c>
      <c r="K178" s="64" t="s">
        <v>1958</v>
      </c>
      <c r="M178" s="55" t="s">
        <v>1957</v>
      </c>
      <c r="N178" s="55" t="s">
        <v>1962</v>
      </c>
      <c r="P178" s="55" t="s">
        <v>1963</v>
      </c>
      <c r="R178" s="55" t="s">
        <v>44</v>
      </c>
      <c r="S178" s="55" t="s">
        <v>353</v>
      </c>
      <c r="T178" s="60">
        <v>2</v>
      </c>
      <c r="U178" s="60">
        <v>29160</v>
      </c>
      <c r="V178" s="60">
        <v>3240</v>
      </c>
      <c r="W178" s="60">
        <v>0</v>
      </c>
      <c r="X178" s="60">
        <v>0</v>
      </c>
      <c r="Y178" s="60">
        <v>4400</v>
      </c>
      <c r="Z178" s="60">
        <v>0</v>
      </c>
      <c r="AB178" s="60">
        <v>15300</v>
      </c>
      <c r="AC178" s="60">
        <v>9900</v>
      </c>
      <c r="AD178" s="60">
        <v>29160</v>
      </c>
      <c r="AE178" s="60">
        <v>24200</v>
      </c>
      <c r="AF178" s="60">
        <v>1241</v>
      </c>
      <c r="AG178" s="60">
        <v>3719</v>
      </c>
      <c r="AH178" s="61">
        <v>0.1275</v>
      </c>
      <c r="AL178" s="55" t="s">
        <v>43</v>
      </c>
      <c r="AN178" s="55" t="s">
        <v>834</v>
      </c>
      <c r="AP178" s="62">
        <f>IFERROR(IF(출고표[[#This Row],[클레임]]="반품",출고표[[#This Row],[배송비]],출고표[[#This Row],[결제액]]+출고표[[#This Row],[배송비]]+출고표[[#This Row],[제주/도서추가배송비]]),0)</f>
        <v>29160</v>
      </c>
      <c r="AQ178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24200</v>
      </c>
      <c r="AR178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1241</v>
      </c>
      <c r="AS178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3719</v>
      </c>
      <c r="AT178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0.1275</v>
      </c>
      <c r="AU178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8" s="60">
        <f>IFERROR(IF(D178="스마트스토어",COUNTIFS(출고표[구입일자],"&lt;&gt;"&amp;H178,출고표[구매자명],E178,출고표[구매자연락처],F178),COUNTIFS(출고표[구입일자],"&lt;&gt;"&amp;H178,출고표[구매자명],E178,출고표[구매자연락처],G178)),0)</f>
        <v>0</v>
      </c>
    </row>
    <row r="179" spans="1:48" ht="20.100000000000001" customHeight="1">
      <c r="A179" s="55">
        <v>178</v>
      </c>
      <c r="B179" s="55" t="s">
        <v>562</v>
      </c>
      <c r="C179" s="64" t="s">
        <v>1965</v>
      </c>
      <c r="D179" s="55" t="s">
        <v>561</v>
      </c>
      <c r="E179" s="55" t="s">
        <v>1957</v>
      </c>
      <c r="F179" s="55" t="s">
        <v>1961</v>
      </c>
      <c r="G179" s="55" t="s">
        <v>1962</v>
      </c>
      <c r="H179" s="63">
        <v>45456</v>
      </c>
      <c r="I179" s="63">
        <v>45457</v>
      </c>
      <c r="J179" s="55" t="s">
        <v>563</v>
      </c>
      <c r="K179" s="64" t="s">
        <v>1958</v>
      </c>
      <c r="M179" s="55" t="s">
        <v>1957</v>
      </c>
      <c r="N179" s="55" t="s">
        <v>1962</v>
      </c>
      <c r="P179" s="55" t="s">
        <v>1963</v>
      </c>
      <c r="R179" s="55" t="s">
        <v>34</v>
      </c>
      <c r="S179" s="55" t="s">
        <v>353</v>
      </c>
      <c r="T179" s="60">
        <v>1</v>
      </c>
      <c r="U179" s="60">
        <v>28620</v>
      </c>
      <c r="V179" s="60">
        <v>3180</v>
      </c>
      <c r="W179" s="60">
        <v>0</v>
      </c>
      <c r="X179" s="60">
        <v>0</v>
      </c>
      <c r="Y179" s="60">
        <v>0</v>
      </c>
      <c r="Z179" s="60">
        <v>0</v>
      </c>
      <c r="AB179" s="60">
        <v>30600</v>
      </c>
      <c r="AC179" s="60">
        <v>19800</v>
      </c>
      <c r="AD179" s="60">
        <v>28620</v>
      </c>
      <c r="AE179" s="60">
        <v>19800</v>
      </c>
      <c r="AF179" s="60">
        <v>1219</v>
      </c>
      <c r="AG179" s="60">
        <v>7601</v>
      </c>
      <c r="AH179" s="61">
        <v>0.2656</v>
      </c>
      <c r="AL179" s="55" t="s">
        <v>33</v>
      </c>
      <c r="AM179" s="55" t="s">
        <v>822</v>
      </c>
      <c r="AN179" s="55" t="s">
        <v>834</v>
      </c>
      <c r="AP179" s="62">
        <f>IFERROR(IF(출고표[[#This Row],[클레임]]="반품",출고표[[#This Row],[배송비]],출고표[[#This Row],[결제액]]+출고표[[#This Row],[배송비]]+출고표[[#This Row],[제주/도서추가배송비]]),0)</f>
        <v>28620</v>
      </c>
      <c r="AQ179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19800</v>
      </c>
      <c r="AR179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1219</v>
      </c>
      <c r="AS179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7601</v>
      </c>
      <c r="AT179" s="61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>0.2656</v>
      </c>
      <c r="AU179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79" s="60">
        <f>IFERROR(IF(D179="스마트스토어",COUNTIFS(출고표[구입일자],"&lt;&gt;"&amp;H179,출고표[구매자명],E179,출고표[구매자연락처],F179),COUNTIFS(출고표[구입일자],"&lt;&gt;"&amp;H179,출고표[구매자명],E179,출고표[구매자연락처],G179)),0)</f>
        <v>0</v>
      </c>
    </row>
    <row r="180" spans="1:48" ht="20.100000000000001" customHeight="1">
      <c r="A180" s="55">
        <v>179</v>
      </c>
      <c r="B180" s="55" t="s">
        <v>673</v>
      </c>
      <c r="C180" s="64" t="s">
        <v>1968</v>
      </c>
      <c r="D180" s="55" t="s">
        <v>568</v>
      </c>
      <c r="E180" s="55" t="s">
        <v>1966</v>
      </c>
      <c r="F180" s="55" t="s">
        <v>1969</v>
      </c>
      <c r="G180" s="55" t="s">
        <v>1970</v>
      </c>
      <c r="H180" s="63">
        <v>45457</v>
      </c>
      <c r="I180" s="63">
        <v>45457</v>
      </c>
      <c r="J180" s="55" t="s">
        <v>563</v>
      </c>
      <c r="K180" s="64" t="s">
        <v>1967</v>
      </c>
      <c r="M180" s="55" t="s">
        <v>1966</v>
      </c>
      <c r="N180" s="55" t="s">
        <v>1970</v>
      </c>
      <c r="P180" s="55" t="s">
        <v>1971</v>
      </c>
      <c r="Q180" s="55" t="s">
        <v>571</v>
      </c>
      <c r="R180" s="55" t="s">
        <v>34</v>
      </c>
      <c r="S180" s="55" t="s">
        <v>353</v>
      </c>
      <c r="T180" s="60">
        <v>1</v>
      </c>
      <c r="U180" s="60">
        <v>30240</v>
      </c>
      <c r="V180" s="60">
        <v>0</v>
      </c>
      <c r="W180" s="60">
        <v>3000</v>
      </c>
      <c r="X180" s="60">
        <v>0</v>
      </c>
      <c r="Y180" s="60">
        <v>3500</v>
      </c>
      <c r="Z180" s="60">
        <v>0</v>
      </c>
      <c r="AB180" s="60">
        <v>30240</v>
      </c>
      <c r="AC180" s="60">
        <v>19800</v>
      </c>
      <c r="AD180" s="60">
        <v>33240</v>
      </c>
      <c r="AE180" s="60">
        <v>0</v>
      </c>
      <c r="AF180" s="60">
        <v>3692</v>
      </c>
      <c r="AG180" s="60">
        <v>0</v>
      </c>
      <c r="AL180" s="55" t="s">
        <v>33</v>
      </c>
      <c r="AN180" s="55" t="s">
        <v>834</v>
      </c>
      <c r="AP180" s="62">
        <f>IFERROR(IF(출고표[[#This Row],[클레임]]="반품",출고표[[#This Row],[배송비]],출고표[[#This Row],[결제액]]+출고표[[#This Row],[배송비]]+출고표[[#This Row],[제주/도서추가배송비]]),0)</f>
        <v>33240</v>
      </c>
      <c r="AQ180" s="60">
        <f>IFERROR(IF(출고표[[#This Row],[쇼핑몰구분]]="비닐팩토리",0,IF(OR(출고표[[#This Row],[클레임]]="반품",출고표[[#This Row],[클레임]]="반품1"),출고표[[#This Row],[업체배송비]]+출고표[[#This Row],[제주/도서추가배송비]]+출고표[[#This Row],[박스가격]]+200,IF(출고표[[#This Row],[판매채널]]="제작",출고표[[#This Row],[추가제작비용]]+출고표[[#This Row],[업체배송비]]+출고표[[#This Row],[제주/도서추가배송비]]+출고표[[#This Row],[박스가격]],IF(출고표[[#This Row],[클레임]]="반품2",(출고표[[#This Row],[업체배송비]]*2+200)+출고표[[#This Row],[제주/도서추가배송비]]+출고표[[#This Row],[박스가격]],(ROUND(출고표[[#This Row],[제품공급가]]*출고표[[#This Row],[수량]],0)+출고표[[#This Row],[업체배송비]]+출고표[[#This Row],[제주/도서추가배송비]])+출고표[[#This Row],[박스가격]])))),0)</f>
        <v>0</v>
      </c>
      <c r="AR180" s="60">
        <f>IFERROR(IF(출고표[[#This Row],[클레임]]="반품",ROUND(출고표[[#This Row],[배송비]]*VLOOKUP(출고표[[#This Row],[판매채널]],채널수수료[#Data],5,0),0)+200,IF(출고표[[#This Row],[판매채널]]="쿠팡",ROUND(출고표[[#This Row],[결제액]] * VLOOKUP(출고표[[#This Row],[판매채널]],채널수수료[#Data],IF(출고표[[#This Row],[쇼핑몰구분]]="비닐팩토리",4,3),0) * 1.1,0) + ROUND(출고표[[#This Row],[배송비]] * VLOOKUP(출고표[[#This Row],[판매채널]],채널수수료[#Data],IF(출고표[[#This Row],[쇼핑몰구분]]="비닐팩토리",6,5),0),0),ROUND(출고표[[#This Row],[결제액]] * VLOOKUP(출고표[[#This Row],[판매채널]],채널수수료[#Data],IF(출고표[[#This Row],[쇼핑몰구분]]="비닐팩토리",4,3),0),0) + ROUND(출고표[[#This Row],[배송비]] * VLOOKUP(출고표[[#This Row],[판매채널]],채널수수료[#Data],IF(출고표[[#This Row],[쇼핑몰구분]]="비닐팩토리",6,5),0),0)+IF(출고표[[#This Row],[판매채널]]="대표",0,80))),0)</f>
        <v>3692</v>
      </c>
      <c r="AS180" s="60">
        <f>IFERROR(IF(출고표[[#This Row],[쇼핑몰구분]]="비닐팩토리",0,IF(출고표[[#This Row],[클레임]]="반품",ROUND(출고표[[#This Row],[총판매금액(검)]]-출고표[[#This Row],[거래처지급액(검)]]-출고표[[#This Row],[수수료(검)]],0),ROUND(출고표[[#This Row],[총판매금액(검)]]-출고표[[#This Row],[거래처지급액(검)]]-출고표[[#This Row],[수수료(검)]],0))),0)</f>
        <v>0</v>
      </c>
      <c r="AT180" s="61" t="str">
        <f>IFERROR(IF(OR(출고표[[#This Row],[쇼핑몰구분]]="비닐팩토리",출고표[[#This Row],[클레임]]="반품"),"",IF(출고표[[#This Row],[총판매금액(검)]]=0,0,ROUND(출고표[[#This Row],[순이익(검)]]/출고표[[#This Row],[총판매금액(검)]],4))),0)</f>
        <v/>
      </c>
      <c r="AU180" s="55" t="str">
        <f>IF(출고표[[#This Row],[클레임]]="반품","반품",IF(AND(출고표[[#This Row],[순이익(검)]]=출고표[[#This Row],[순이익]],출고표[[#This Row],[수수료(검)]]=출고표[[#This Row],[수수료]],출고표[[#This Row],[거래처지급액(검)]]=출고표[[#This Row],[거래처지급액]]),"",IF(OR(출고표[[#This Row],[수수료(검)]]+1=출고표[[#This Row],[수수료]],출고표[[#This Row],[수수료(검)]]=출고표[[#This Row],[수수료]]+1),"","Check")))</f>
        <v/>
      </c>
      <c r="AV180" s="60">
        <f>IFERROR(IF(D180="스마트스토어",COUNTIFS(출고표[구입일자],"&lt;&gt;"&amp;H180,출고표[구매자명],E180,출고표[구매자연락처],F180),COUNTIFS(출고표[구입일자],"&lt;&gt;"&amp;H180,출고표[구매자명],E180,출고표[구매자연락처],G180)),0)</f>
        <v>0</v>
      </c>
    </row>
  </sheetData>
  <phoneticPr fontId="4" type="noConversion"/>
  <conditionalFormatting sqref="A1:AV180">
    <cfRule type="expression" dxfId="175" priority="10">
      <formula>$B1="비닐팩토리"</formula>
    </cfRule>
  </conditionalFormatting>
  <conditionalFormatting sqref="D1:D1048576">
    <cfRule type="cellIs" dxfId="174" priority="6" operator="equal">
      <formula>"제작"</formula>
    </cfRule>
    <cfRule type="cellIs" dxfId="173" priority="8" operator="equal">
      <formula>"쿠팡"</formula>
    </cfRule>
    <cfRule type="cellIs" dxfId="172" priority="9" operator="equal">
      <formula>"위메프"</formula>
    </cfRule>
  </conditionalFormatting>
  <conditionalFormatting sqref="J1:J1048576">
    <cfRule type="cellIs" dxfId="171" priority="7" operator="equal">
      <formula>"직접전달"</formula>
    </cfRule>
  </conditionalFormatting>
  <conditionalFormatting sqref="R1:T1 AK1">
    <cfRule type="cellIs" dxfId="170" priority="4" operator="equal">
      <formula>"반품"</formula>
    </cfRule>
  </conditionalFormatting>
  <conditionalFormatting sqref="T1:T1048576">
    <cfRule type="cellIs" dxfId="169" priority="5" operator="lessThanOrEqual">
      <formula>0</formula>
    </cfRule>
  </conditionalFormatting>
  <conditionalFormatting sqref="AB1:AG1048576 AP1:AS1048576">
    <cfRule type="cellIs" dxfId="168" priority="3" operator="lessThan">
      <formula>0</formula>
    </cfRule>
  </conditionalFormatting>
  <conditionalFormatting sqref="AT1:AT1048576 AH1:AH1048576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:S1048576">
    <cfRule type="cellIs" dxfId="167" priority="1" operator="equal">
      <formula>"투명"</formula>
    </cfRule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F257-B11D-4454-A409-4D52B9ED10F6}">
  <sheetPr codeName="Sheet10"/>
  <dimension ref="A1:AX95"/>
  <sheetViews>
    <sheetView topLeftCell="AO1" workbookViewId="0">
      <selection activeCell="AW1" sqref="AW1"/>
    </sheetView>
  </sheetViews>
  <sheetFormatPr defaultRowHeight="16.5"/>
  <cols>
    <col min="1" max="1" width="3.5" style="118" bestFit="1" customWidth="1"/>
    <col min="2" max="2" width="11.25" style="118" bestFit="1" customWidth="1"/>
    <col min="3" max="3" width="9" style="211" bestFit="1" customWidth="1"/>
    <col min="4" max="4" width="18.375" style="118" bestFit="1" customWidth="1"/>
    <col min="5" max="5" width="13.75" style="118" bestFit="1" customWidth="1"/>
    <col min="6" max="6" width="9" style="118" bestFit="1" customWidth="1"/>
    <col min="7" max="7" width="13.25" style="118" bestFit="1" customWidth="1"/>
    <col min="8" max="8" width="15.5" style="118" bestFit="1" customWidth="1"/>
    <col min="9" max="9" width="9" style="211" bestFit="1" customWidth="1"/>
    <col min="10" max="10" width="11" style="118" bestFit="1" customWidth="1"/>
    <col min="11" max="11" width="13.875" style="118" bestFit="1" customWidth="1"/>
    <col min="12" max="12" width="11" style="211" bestFit="1" customWidth="1"/>
    <col min="13" max="13" width="9.25" style="118" bestFit="1" customWidth="1"/>
    <col min="14" max="14" width="9" style="118" bestFit="1" customWidth="1"/>
    <col min="15" max="15" width="5.25" style="118" bestFit="1" customWidth="1"/>
    <col min="16" max="16" width="21.375" style="118" bestFit="1" customWidth="1"/>
    <col min="17" max="17" width="15.5" style="118" bestFit="1" customWidth="1"/>
    <col min="18" max="18" width="14.125" style="118" bestFit="1" customWidth="1"/>
    <col min="19" max="19" width="35.625" style="118" customWidth="1"/>
    <col min="20" max="20" width="9.75" style="224" customWidth="1"/>
    <col min="21" max="22" width="5.625" style="224" customWidth="1"/>
    <col min="23" max="23" width="8.625" style="217" bestFit="1" customWidth="1"/>
    <col min="24" max="24" width="11.75" style="217" customWidth="1"/>
    <col min="25" max="25" width="8.625" style="217" bestFit="1" customWidth="1"/>
    <col min="26" max="29" width="8.625" style="217" customWidth="1"/>
    <col min="30" max="30" width="12.875" style="118" bestFit="1" customWidth="1"/>
    <col min="31" max="31" width="8.625" style="224" bestFit="1" customWidth="1"/>
    <col min="32" max="32" width="13.875" style="217" bestFit="1" customWidth="1"/>
    <col min="33" max="33" width="12.75" style="217" bestFit="1" customWidth="1"/>
    <col min="34" max="34" width="11.125" style="217" bestFit="1" customWidth="1"/>
    <col min="35" max="35" width="14.875" style="217" bestFit="1" customWidth="1"/>
    <col min="36" max="36" width="7.375" style="217" bestFit="1" customWidth="1"/>
    <col min="37" max="37" width="8.75" style="217" bestFit="1" customWidth="1"/>
    <col min="38" max="38" width="8.625" style="227" bestFit="1" customWidth="1"/>
    <col min="39" max="39" width="6.75" style="224" bestFit="1" customWidth="1"/>
    <col min="40" max="40" width="10.5" style="118" bestFit="1" customWidth="1"/>
    <col min="41" max="41" width="6.75" style="229" bestFit="1" customWidth="1"/>
    <col min="42" max="42" width="16.125" style="217" bestFit="1" customWidth="1"/>
    <col min="43" max="43" width="18.125" style="217" bestFit="1" customWidth="1"/>
    <col min="44" max="45" width="11.875" style="217" bestFit="1" customWidth="1"/>
    <col min="46" max="46" width="11.875" style="227" bestFit="1" customWidth="1"/>
    <col min="47" max="47" width="9.875" style="224" bestFit="1" customWidth="1"/>
    <col min="48" max="48" width="6.75" style="229" bestFit="1" customWidth="1"/>
    <col min="49" max="49" width="21.5" style="118" bestFit="1" customWidth="1"/>
    <col min="50" max="16384" width="9" style="118"/>
  </cols>
  <sheetData>
    <row r="1" spans="1:50" s="91" customFormat="1" ht="30" customHeight="1">
      <c r="A1" s="82" t="s">
        <v>660</v>
      </c>
      <c r="B1" s="82" t="s">
        <v>539</v>
      </c>
      <c r="C1" s="213" t="s">
        <v>540</v>
      </c>
      <c r="D1" s="82" t="s">
        <v>633</v>
      </c>
      <c r="E1" s="89" t="s">
        <v>538</v>
      </c>
      <c r="F1" s="89" t="s">
        <v>313</v>
      </c>
      <c r="G1" s="89" t="s">
        <v>632</v>
      </c>
      <c r="H1" s="88" t="s">
        <v>544</v>
      </c>
      <c r="I1" s="212" t="s">
        <v>127</v>
      </c>
      <c r="J1" s="86" t="s">
        <v>546</v>
      </c>
      <c r="K1" s="85" t="s">
        <v>116</v>
      </c>
      <c r="L1" s="210" t="s">
        <v>840</v>
      </c>
      <c r="M1" s="83" t="s">
        <v>113</v>
      </c>
      <c r="N1" s="82" t="s">
        <v>624</v>
      </c>
      <c r="O1" s="82" t="s">
        <v>536</v>
      </c>
      <c r="P1" s="82" t="s">
        <v>123</v>
      </c>
      <c r="Q1" s="82" t="s">
        <v>626</v>
      </c>
      <c r="R1" s="82" t="s">
        <v>625</v>
      </c>
      <c r="S1" s="81" t="s">
        <v>549</v>
      </c>
      <c r="T1" s="81" t="s">
        <v>550</v>
      </c>
      <c r="U1" s="223" t="s">
        <v>847</v>
      </c>
      <c r="V1" s="223" t="s">
        <v>825</v>
      </c>
      <c r="W1" s="221" t="s">
        <v>841</v>
      </c>
      <c r="X1" s="221" t="s">
        <v>845</v>
      </c>
      <c r="Y1" s="221" t="s">
        <v>842</v>
      </c>
      <c r="Z1" s="221" t="s">
        <v>817</v>
      </c>
      <c r="AA1" s="221" t="s">
        <v>846</v>
      </c>
      <c r="AB1" s="222" t="s">
        <v>824</v>
      </c>
      <c r="AC1" s="222" t="s">
        <v>843</v>
      </c>
      <c r="AD1" s="77" t="s">
        <v>839</v>
      </c>
      <c r="AE1" s="225" t="s">
        <v>822</v>
      </c>
      <c r="AF1" s="218" t="s">
        <v>863</v>
      </c>
      <c r="AG1" s="219" t="s">
        <v>915</v>
      </c>
      <c r="AH1" s="220" t="s">
        <v>865</v>
      </c>
      <c r="AI1" s="220" t="s">
        <v>119</v>
      </c>
      <c r="AJ1" s="220" t="s">
        <v>866</v>
      </c>
      <c r="AK1" s="221" t="s">
        <v>820</v>
      </c>
      <c r="AL1" s="226" t="s">
        <v>821</v>
      </c>
      <c r="AM1" s="231" t="s">
        <v>844</v>
      </c>
      <c r="AN1" s="70" t="s">
        <v>867</v>
      </c>
      <c r="AO1" s="263" t="s">
        <v>603</v>
      </c>
      <c r="AP1" s="214" t="s">
        <v>868</v>
      </c>
      <c r="AQ1" s="215" t="s">
        <v>869</v>
      </c>
      <c r="AR1" s="215" t="s">
        <v>870</v>
      </c>
      <c r="AS1" s="216" t="s">
        <v>871</v>
      </c>
      <c r="AT1" s="228" t="s">
        <v>872</v>
      </c>
      <c r="AU1" s="230" t="s">
        <v>873</v>
      </c>
      <c r="AV1" s="262" t="s">
        <v>914</v>
      </c>
      <c r="AW1" s="67" t="s">
        <v>917</v>
      </c>
      <c r="AX1" s="66"/>
    </row>
    <row r="2" spans="1:50">
      <c r="A2" s="118" cm="1">
        <f t="array" ref="A2:AW95">_xlfn._xlws.FILTER(S출고표[],IF(대시보드!$B$6="",S출고표[발송일]=S출고표[발송일],YEAR(S출고표[발송일])=대시보드!$B$6)*IF(대시보드!$E$6="",S출고표[발송일]=S출고표[발송일],MONTH(S출고표[발송일])=대시보드!$E$6),"no filter")</f>
        <v>23</v>
      </c>
      <c r="B2" s="118" t="str">
        <v>비닐스토리</v>
      </c>
      <c r="C2" s="211">
        <v>45446</v>
      </c>
      <c r="D2" s="118" t="str">
        <v>2024060356409111</v>
      </c>
      <c r="E2" s="118" t="str">
        <v>스마트 스토어</v>
      </c>
      <c r="F2" s="118" t="str">
        <v>유승범</v>
      </c>
      <c r="G2" s="118" t="str">
        <v>ysb0****</v>
      </c>
      <c r="H2" s="118" t="str">
        <v>010-5268-9041</v>
      </c>
      <c r="I2" s="211">
        <v>45446</v>
      </c>
      <c r="J2" s="118" t="str">
        <v>CJ대한통운</v>
      </c>
      <c r="K2" s="118" t="str">
        <v>530213305035</v>
      </c>
      <c r="L2" s="211">
        <v>0</v>
      </c>
      <c r="M2" s="118" t="str">
        <v>SE.201</v>
      </c>
      <c r="N2" s="118" t="str">
        <v>투명</v>
      </c>
      <c r="O2" s="118">
        <v>1</v>
      </c>
      <c r="P2" s="118" t="str">
        <v>유승범</v>
      </c>
      <c r="Q2" s="118" t="str">
        <v>010-5268-9041</v>
      </c>
      <c r="R2" s="118">
        <v>0</v>
      </c>
      <c r="S2" s="118" t="str">
        <v>서울특별시 송파구 양재대로 932 (가락동, 가락동 농수산물도매시장) 가락몰 축산부류 1층 51호 대명축산</v>
      </c>
      <c r="T2" s="224">
        <v>0</v>
      </c>
      <c r="U2" s="224">
        <v>0</v>
      </c>
      <c r="V2" s="224">
        <v>0</v>
      </c>
      <c r="W2" s="217">
        <v>14580</v>
      </c>
      <c r="X2" s="217">
        <v>1620</v>
      </c>
      <c r="Y2" s="217">
        <v>3000</v>
      </c>
      <c r="Z2" s="217">
        <v>3000</v>
      </c>
      <c r="AA2" s="217">
        <v>0</v>
      </c>
      <c r="AB2" s="217">
        <v>0</v>
      </c>
      <c r="AC2" s="217">
        <v>0</v>
      </c>
      <c r="AD2" s="118" t="str">
        <v>떡롤 20*400</v>
      </c>
      <c r="AE2" s="224">
        <v>0</v>
      </c>
      <c r="AF2" s="217">
        <v>15300</v>
      </c>
      <c r="AG2" s="217">
        <v>9900</v>
      </c>
      <c r="AH2" s="217">
        <v>17580</v>
      </c>
      <c r="AI2" s="217">
        <v>12900</v>
      </c>
      <c r="AJ2" s="217">
        <v>719</v>
      </c>
      <c r="AK2" s="217">
        <v>3961</v>
      </c>
      <c r="AL2" s="227">
        <v>0.2253</v>
      </c>
      <c r="AM2" s="224">
        <v>0</v>
      </c>
      <c r="AN2" s="118" t="str">
        <v>ptDB47</v>
      </c>
      <c r="AO2" s="229">
        <v>0</v>
      </c>
      <c r="AP2" s="217">
        <v>17580</v>
      </c>
      <c r="AQ2" s="217">
        <v>12900</v>
      </c>
      <c r="AR2" s="217">
        <v>719</v>
      </c>
      <c r="AS2" s="217">
        <v>3961</v>
      </c>
      <c r="AT2" s="227">
        <v>0.2253</v>
      </c>
      <c r="AU2" s="224" t="str">
        <v/>
      </c>
      <c r="AV2" s="229">
        <v>0</v>
      </c>
      <c r="AW2" s="118">
        <v>9900</v>
      </c>
    </row>
    <row r="3" spans="1:50">
      <c r="A3" s="118">
        <v>24</v>
      </c>
      <c r="B3" s="118" t="str">
        <v>비닐스토리</v>
      </c>
      <c r="C3" s="211">
        <v>45445</v>
      </c>
      <c r="D3" s="118" t="str">
        <v>2024060217398401</v>
      </c>
      <c r="E3" s="118" t="str">
        <v>스마트 스토어</v>
      </c>
      <c r="F3" s="118" t="str">
        <v>강정화</v>
      </c>
      <c r="G3" s="118" t="str">
        <v>bacc****</v>
      </c>
      <c r="H3" s="118" t="str">
        <v>010-2849-9914</v>
      </c>
      <c r="I3" s="211">
        <v>45446</v>
      </c>
      <c r="J3" s="118" t="str">
        <v>CJ대한통운</v>
      </c>
      <c r="K3" s="118" t="str">
        <v>530213305105</v>
      </c>
      <c r="L3" s="211">
        <v>0</v>
      </c>
      <c r="M3" s="118" t="str">
        <v>SE.201</v>
      </c>
      <c r="N3" s="118" t="str">
        <v>투명</v>
      </c>
      <c r="O3" s="118">
        <v>1</v>
      </c>
      <c r="P3" s="118" t="str">
        <v>강정화</v>
      </c>
      <c r="Q3" s="118" t="str">
        <v>010-2849-9914</v>
      </c>
      <c r="R3" s="118">
        <v>0</v>
      </c>
      <c r="S3" s="118" t="str">
        <v>울산광역시 울주군 온양읍 터실3길 6 (온양읍) 1층</v>
      </c>
      <c r="T3" s="224">
        <v>0</v>
      </c>
      <c r="U3" s="224">
        <v>0</v>
      </c>
      <c r="V3" s="224">
        <v>0</v>
      </c>
      <c r="W3" s="217">
        <v>14580</v>
      </c>
      <c r="X3" s="217">
        <v>1620</v>
      </c>
      <c r="Y3" s="217">
        <v>3000</v>
      </c>
      <c r="Z3" s="217">
        <v>3000</v>
      </c>
      <c r="AA3" s="217">
        <v>0</v>
      </c>
      <c r="AB3" s="217">
        <v>0</v>
      </c>
      <c r="AC3" s="217">
        <v>0</v>
      </c>
      <c r="AD3" s="118" t="str">
        <v>떡롤 20*400</v>
      </c>
      <c r="AE3" s="224">
        <v>0</v>
      </c>
      <c r="AF3" s="217">
        <v>15300</v>
      </c>
      <c r="AG3" s="217">
        <v>9900</v>
      </c>
      <c r="AH3" s="217">
        <v>17580</v>
      </c>
      <c r="AI3" s="217">
        <v>12900</v>
      </c>
      <c r="AJ3" s="217">
        <v>719</v>
      </c>
      <c r="AK3" s="217">
        <v>3961</v>
      </c>
      <c r="AL3" s="227">
        <v>0.2253</v>
      </c>
      <c r="AM3" s="224">
        <v>0</v>
      </c>
      <c r="AN3" s="118" t="str">
        <v>ptDB47</v>
      </c>
      <c r="AO3" s="229">
        <v>0</v>
      </c>
      <c r="AP3" s="217">
        <v>17580</v>
      </c>
      <c r="AQ3" s="217">
        <v>12900</v>
      </c>
      <c r="AR3" s="217">
        <v>719</v>
      </c>
      <c r="AS3" s="217">
        <v>3961</v>
      </c>
      <c r="AT3" s="227">
        <v>0.2253</v>
      </c>
      <c r="AU3" s="224" t="str">
        <v/>
      </c>
      <c r="AV3" s="229">
        <v>0</v>
      </c>
      <c r="AW3" s="118">
        <v>9900</v>
      </c>
    </row>
    <row r="4" spans="1:50">
      <c r="A4" s="118">
        <v>25</v>
      </c>
      <c r="B4" s="118" t="str">
        <v>비닐스토리</v>
      </c>
      <c r="C4" s="211">
        <v>45444</v>
      </c>
      <c r="D4" s="118" t="str">
        <v>2024060182579771</v>
      </c>
      <c r="E4" s="118" t="str">
        <v>스마트 스토어</v>
      </c>
      <c r="F4" s="118" t="str">
        <v>윤춘자</v>
      </c>
      <c r="G4" s="118" t="str">
        <v>cnsw****</v>
      </c>
      <c r="H4" s="118" t="str">
        <v>010-5893-7530</v>
      </c>
      <c r="I4" s="211">
        <v>45446</v>
      </c>
      <c r="J4" s="118" t="str">
        <v>CJ대한통운</v>
      </c>
      <c r="K4" s="118" t="str">
        <v>530213304965</v>
      </c>
      <c r="L4" s="211">
        <v>0</v>
      </c>
      <c r="M4" s="118" t="str">
        <v>SE.206</v>
      </c>
      <c r="N4" s="118" t="str">
        <v>투명</v>
      </c>
      <c r="O4" s="118">
        <v>2</v>
      </c>
      <c r="P4" s="118" t="str">
        <v>윤춘자</v>
      </c>
      <c r="Q4" s="118" t="str">
        <v>0502-3570-4749</v>
      </c>
      <c r="R4" s="118">
        <v>0</v>
      </c>
      <c r="S4" s="118" t="str">
        <v>인천광역시 미추홀구 인하로183번길 34 (주안동) 인천광역시미추홀구인하로183번길34</v>
      </c>
      <c r="T4" s="224">
        <v>0</v>
      </c>
      <c r="U4" s="224">
        <v>0</v>
      </c>
      <c r="V4" s="224">
        <v>0</v>
      </c>
      <c r="W4" s="217">
        <v>57240</v>
      </c>
      <c r="X4" s="217">
        <v>6360</v>
      </c>
      <c r="Y4" s="217">
        <v>0</v>
      </c>
      <c r="Z4" s="217">
        <v>4400</v>
      </c>
      <c r="AA4" s="217">
        <v>0</v>
      </c>
      <c r="AB4" s="217">
        <v>0</v>
      </c>
      <c r="AC4" s="217">
        <v>0</v>
      </c>
      <c r="AD4" s="118" t="str">
        <v>떡롤 45*330</v>
      </c>
      <c r="AE4" s="224">
        <v>0</v>
      </c>
      <c r="AF4" s="217">
        <v>30600</v>
      </c>
      <c r="AG4" s="217">
        <v>19800</v>
      </c>
      <c r="AH4" s="217">
        <v>57240</v>
      </c>
      <c r="AI4" s="217">
        <v>44000</v>
      </c>
      <c r="AJ4" s="217">
        <v>2358</v>
      </c>
      <c r="AK4" s="217">
        <v>10882</v>
      </c>
      <c r="AL4" s="227">
        <v>0.19009999999999999</v>
      </c>
      <c r="AM4" s="224">
        <v>0</v>
      </c>
      <c r="AN4" s="118" t="str">
        <v>ptDB47</v>
      </c>
      <c r="AO4" s="229">
        <v>0</v>
      </c>
      <c r="AP4" s="217">
        <v>57240</v>
      </c>
      <c r="AQ4" s="217">
        <v>44000</v>
      </c>
      <c r="AR4" s="217">
        <v>2358</v>
      </c>
      <c r="AS4" s="217">
        <v>10882</v>
      </c>
      <c r="AT4" s="227">
        <v>0.19009999999999999</v>
      </c>
      <c r="AU4" s="224" t="str">
        <v/>
      </c>
      <c r="AV4" s="229">
        <v>0</v>
      </c>
      <c r="AW4" s="118">
        <v>39600</v>
      </c>
    </row>
    <row r="5" spans="1:50">
      <c r="A5" s="118">
        <v>33</v>
      </c>
      <c r="B5" s="118" t="str">
        <v>비닐스토리</v>
      </c>
      <c r="C5" s="211">
        <v>45444</v>
      </c>
      <c r="D5" s="118" t="str">
        <v>28100050592430</v>
      </c>
      <c r="E5" s="118" t="str">
        <v>쿠팡</v>
      </c>
      <c r="F5" s="118" t="str">
        <v>손연주</v>
      </c>
      <c r="G5" s="118" t="str">
        <v>ka*****@na</v>
      </c>
      <c r="H5" s="118" t="str">
        <v>0502-4352-0407</v>
      </c>
      <c r="I5" s="211">
        <v>45446</v>
      </c>
      <c r="J5" s="118" t="str">
        <v>CJ대한통운</v>
      </c>
      <c r="K5" s="118" t="str">
        <v>530213305120</v>
      </c>
      <c r="L5" s="211">
        <v>0</v>
      </c>
      <c r="M5" s="118" t="str">
        <v>SE.307</v>
      </c>
      <c r="N5" s="118" t="str">
        <v>투명</v>
      </c>
      <c r="O5" s="118">
        <v>1</v>
      </c>
      <c r="P5" s="118" t="str">
        <v>손효정</v>
      </c>
      <c r="Q5" s="118" t="str">
        <v>0502-4352-0407</v>
      </c>
      <c r="R5" s="118">
        <v>0</v>
      </c>
      <c r="S5" s="118" t="str">
        <v>대구광역시 수성구 청호로 370 101동 307호 ( 범어동, 장원아파트 )</v>
      </c>
      <c r="T5" s="224" t="str">
        <v>문 앞</v>
      </c>
      <c r="U5" s="224">
        <v>0</v>
      </c>
      <c r="V5" s="224">
        <v>0</v>
      </c>
      <c r="W5" s="217">
        <v>12470</v>
      </c>
      <c r="X5" s="217">
        <v>0</v>
      </c>
      <c r="Y5" s="217">
        <v>3000</v>
      </c>
      <c r="Z5" s="217">
        <v>3000</v>
      </c>
      <c r="AA5" s="217">
        <v>0</v>
      </c>
      <c r="AB5" s="217">
        <v>0</v>
      </c>
      <c r="AC5" s="217">
        <v>0</v>
      </c>
      <c r="AD5" s="118" t="str">
        <v>떡외겹 30*30</v>
      </c>
      <c r="AE5" s="224">
        <v>0</v>
      </c>
      <c r="AF5" s="217">
        <v>11780</v>
      </c>
      <c r="AG5" s="217">
        <v>7260</v>
      </c>
      <c r="AH5" s="217">
        <v>15470</v>
      </c>
      <c r="AI5" s="217">
        <v>10260</v>
      </c>
      <c r="AJ5" s="217">
        <v>1580</v>
      </c>
      <c r="AK5" s="217">
        <v>3630</v>
      </c>
      <c r="AL5" s="227">
        <v>0.2346</v>
      </c>
      <c r="AM5" s="224">
        <v>0</v>
      </c>
      <c r="AN5" s="118" t="str">
        <v>ptDB47</v>
      </c>
      <c r="AO5" s="229">
        <v>0</v>
      </c>
      <c r="AP5" s="217">
        <v>15470</v>
      </c>
      <c r="AQ5" s="217">
        <v>10260</v>
      </c>
      <c r="AR5" s="217">
        <v>1580</v>
      </c>
      <c r="AS5" s="217">
        <v>3630</v>
      </c>
      <c r="AT5" s="227">
        <v>0.2346</v>
      </c>
      <c r="AU5" s="224" t="str">
        <v/>
      </c>
      <c r="AV5" s="229">
        <v>0</v>
      </c>
      <c r="AW5" s="118">
        <v>7260</v>
      </c>
    </row>
    <row r="6" spans="1:50">
      <c r="A6" s="118">
        <v>34</v>
      </c>
      <c r="B6" s="118" t="str">
        <v>비닐스토리</v>
      </c>
      <c r="C6" s="211">
        <v>45444</v>
      </c>
      <c r="D6" s="118" t="str">
        <v>6100050616121</v>
      </c>
      <c r="E6" s="118" t="str">
        <v>쿠팡</v>
      </c>
      <c r="F6" s="118" t="str">
        <v>정장숙</v>
      </c>
      <c r="G6" s="118" t="str">
        <v>an*****@ha</v>
      </c>
      <c r="H6" s="118" t="str">
        <v>0502-4535-9645</v>
      </c>
      <c r="I6" s="211">
        <v>45446</v>
      </c>
      <c r="J6" s="118" t="str">
        <v>CJ대한통운</v>
      </c>
      <c r="K6" s="118" t="str">
        <v>530213304954</v>
      </c>
      <c r="L6" s="211">
        <v>0</v>
      </c>
      <c r="M6" s="118" t="str">
        <v>SE.206</v>
      </c>
      <c r="N6" s="118" t="str">
        <v>투명</v>
      </c>
      <c r="O6" s="118">
        <v>1</v>
      </c>
      <c r="P6" s="118" t="str">
        <v>정장숙</v>
      </c>
      <c r="Q6" s="118" t="str">
        <v>0502-4535-9645</v>
      </c>
      <c r="R6" s="118">
        <v>0</v>
      </c>
      <c r="S6" s="118" t="str">
        <v>세종특별자치시 대평동 568-1 해들마을 6단지 상가동 B101호 해들떡마을</v>
      </c>
      <c r="T6" s="224" t="str">
        <v>문 앞</v>
      </c>
      <c r="U6" s="224">
        <v>0</v>
      </c>
      <c r="V6" s="224">
        <v>0</v>
      </c>
      <c r="W6" s="217">
        <v>34020</v>
      </c>
      <c r="X6" s="217">
        <v>0</v>
      </c>
      <c r="Y6" s="217">
        <v>3000</v>
      </c>
      <c r="Z6" s="217">
        <v>3500</v>
      </c>
      <c r="AA6" s="217">
        <v>0</v>
      </c>
      <c r="AB6" s="217">
        <v>0</v>
      </c>
      <c r="AC6" s="217">
        <v>0</v>
      </c>
      <c r="AD6" s="118" t="str">
        <v>떡롤 45*330</v>
      </c>
      <c r="AE6" s="224">
        <v>0</v>
      </c>
      <c r="AF6" s="217">
        <v>32130</v>
      </c>
      <c r="AG6" s="217">
        <v>19800</v>
      </c>
      <c r="AH6" s="217">
        <v>37020</v>
      </c>
      <c r="AI6" s="217">
        <v>23300</v>
      </c>
      <c r="AJ6" s="217">
        <v>4141</v>
      </c>
      <c r="AK6" s="217">
        <v>9579</v>
      </c>
      <c r="AL6" s="227">
        <v>0.25879999999999997</v>
      </c>
      <c r="AM6" s="224">
        <v>0</v>
      </c>
      <c r="AN6" s="118" t="str">
        <v>ptDB47</v>
      </c>
      <c r="AO6" s="229">
        <v>0</v>
      </c>
      <c r="AP6" s="217">
        <v>37020</v>
      </c>
      <c r="AQ6" s="217">
        <v>23300</v>
      </c>
      <c r="AR6" s="217">
        <v>4141</v>
      </c>
      <c r="AS6" s="217">
        <v>9579</v>
      </c>
      <c r="AT6" s="227">
        <v>0.25879999999999997</v>
      </c>
      <c r="AU6" s="224" t="str">
        <v/>
      </c>
      <c r="AV6" s="229">
        <v>0</v>
      </c>
      <c r="AW6" s="118">
        <v>19800</v>
      </c>
    </row>
    <row r="7" spans="1:50">
      <c r="A7" s="118">
        <v>35</v>
      </c>
      <c r="B7" s="118" t="str">
        <v>비닐스토리</v>
      </c>
      <c r="C7" s="211">
        <v>45444</v>
      </c>
      <c r="D7" s="118" t="str">
        <v>27100050574722</v>
      </c>
      <c r="E7" s="118" t="str">
        <v>쿠팡</v>
      </c>
      <c r="F7" s="118" t="str">
        <v>박노홍</v>
      </c>
      <c r="G7" s="118" t="str">
        <v>Kl*****@na</v>
      </c>
      <c r="H7" s="118" t="str">
        <v>0502-4696-9661</v>
      </c>
      <c r="I7" s="211">
        <v>45446</v>
      </c>
      <c r="J7" s="118" t="str">
        <v>CJ대한통운</v>
      </c>
      <c r="K7" s="118" t="str">
        <v>530213305050</v>
      </c>
      <c r="L7" s="211">
        <v>0</v>
      </c>
      <c r="M7" s="118" t="str">
        <v>SE.102</v>
      </c>
      <c r="N7" s="118" t="str">
        <v>투명</v>
      </c>
      <c r="O7" s="118">
        <v>40</v>
      </c>
      <c r="P7" s="118" t="str">
        <v>박노홍</v>
      </c>
      <c r="Q7" s="118" t="str">
        <v>0502-4696-9661</v>
      </c>
      <c r="R7" s="118">
        <v>0</v>
      </c>
      <c r="S7" s="118" t="str">
        <v>충청북도 음성군 음성읍 시장로 123 치킨이호프를 만났을때</v>
      </c>
      <c r="T7" s="224" t="str">
        <v>직접 받고 부재 시 문 앞</v>
      </c>
      <c r="U7" s="224">
        <v>0</v>
      </c>
      <c r="V7" s="224">
        <v>0</v>
      </c>
      <c r="W7" s="217">
        <v>46000</v>
      </c>
      <c r="X7" s="217">
        <v>0</v>
      </c>
      <c r="Y7" s="217">
        <v>0</v>
      </c>
      <c r="Z7" s="217">
        <v>3500</v>
      </c>
      <c r="AA7" s="217">
        <v>0</v>
      </c>
      <c r="AB7" s="217">
        <v>0</v>
      </c>
      <c r="AC7" s="217">
        <v>0</v>
      </c>
      <c r="AD7" s="118" t="str">
        <v>소폭 12*26</v>
      </c>
      <c r="AE7" s="224">
        <v>0</v>
      </c>
      <c r="AF7" s="217">
        <v>1070</v>
      </c>
      <c r="AG7" s="217">
        <v>660</v>
      </c>
      <c r="AH7" s="217">
        <v>46000</v>
      </c>
      <c r="AI7" s="217">
        <v>29900</v>
      </c>
      <c r="AJ7" s="217">
        <v>5465</v>
      </c>
      <c r="AK7" s="217">
        <v>10635</v>
      </c>
      <c r="AL7" s="227">
        <v>0.23119999999999999</v>
      </c>
      <c r="AM7" s="224">
        <v>0</v>
      </c>
      <c r="AN7" s="118" t="str">
        <v>ptDB47</v>
      </c>
      <c r="AO7" s="229">
        <v>0</v>
      </c>
      <c r="AP7" s="217">
        <v>46000</v>
      </c>
      <c r="AQ7" s="217">
        <v>29900</v>
      </c>
      <c r="AR7" s="217">
        <v>5465</v>
      </c>
      <c r="AS7" s="217">
        <v>10635</v>
      </c>
      <c r="AT7" s="227">
        <v>0.23119999999999999</v>
      </c>
      <c r="AU7" s="224" t="str">
        <v/>
      </c>
      <c r="AV7" s="229">
        <v>0</v>
      </c>
      <c r="AW7" s="118">
        <v>26400</v>
      </c>
    </row>
    <row r="8" spans="1:50">
      <c r="A8" s="118">
        <v>36</v>
      </c>
      <c r="B8" s="118" t="str">
        <v>비닐스토리</v>
      </c>
      <c r="C8" s="211">
        <v>45444</v>
      </c>
      <c r="D8" s="118" t="str">
        <v>15100050838170</v>
      </c>
      <c r="E8" s="118" t="str">
        <v>쿠팡</v>
      </c>
      <c r="F8" s="118" t="str">
        <v>원미경</v>
      </c>
      <c r="G8" s="118" t="str">
        <v>om*****@na</v>
      </c>
      <c r="H8" s="118" t="str">
        <v>0504-4989-8106</v>
      </c>
      <c r="I8" s="211">
        <v>45446</v>
      </c>
      <c r="J8" s="118" t="str">
        <v>CJ대한통운</v>
      </c>
      <c r="K8" s="118" t="str">
        <v>530213304932</v>
      </c>
      <c r="L8" s="211">
        <v>0</v>
      </c>
      <c r="M8" s="118" t="str">
        <v>SE.101</v>
      </c>
      <c r="N8" s="118" t="str">
        <v>투명</v>
      </c>
      <c r="O8" s="118">
        <v>30</v>
      </c>
      <c r="P8" s="118" t="str">
        <v>원미경</v>
      </c>
      <c r="Q8" s="118" t="str">
        <v>0504-4989-8106</v>
      </c>
      <c r="R8" s="118">
        <v>0</v>
      </c>
      <c r="S8" s="118" t="str">
        <v>세종특별자치시 새롬동 373 새뜸마을4단지 417동1204호</v>
      </c>
      <c r="T8" s="224" t="str">
        <v>문 앞</v>
      </c>
      <c r="U8" s="224">
        <v>0</v>
      </c>
      <c r="V8" s="224">
        <v>0</v>
      </c>
      <c r="W8" s="217">
        <v>28200</v>
      </c>
      <c r="X8" s="217">
        <v>0</v>
      </c>
      <c r="Y8" s="217">
        <v>3000</v>
      </c>
      <c r="Z8" s="217">
        <v>3500</v>
      </c>
      <c r="AA8" s="217">
        <v>0</v>
      </c>
      <c r="AB8" s="217">
        <v>0</v>
      </c>
      <c r="AC8" s="217">
        <v>0</v>
      </c>
      <c r="AD8" s="118" t="str">
        <v>소폭 10*26</v>
      </c>
      <c r="AE8" s="224">
        <v>0</v>
      </c>
      <c r="AF8" s="217">
        <v>890</v>
      </c>
      <c r="AG8" s="217">
        <v>550</v>
      </c>
      <c r="AH8" s="217">
        <v>31200</v>
      </c>
      <c r="AI8" s="217">
        <v>20000</v>
      </c>
      <c r="AJ8" s="217">
        <v>3449</v>
      </c>
      <c r="AK8" s="217">
        <v>7751</v>
      </c>
      <c r="AL8" s="227">
        <v>0.24840000000000001</v>
      </c>
      <c r="AM8" s="224">
        <v>0</v>
      </c>
      <c r="AN8" s="118" t="str">
        <v>ptDB47</v>
      </c>
      <c r="AO8" s="229">
        <v>0</v>
      </c>
      <c r="AP8" s="217">
        <v>31200</v>
      </c>
      <c r="AQ8" s="217">
        <v>20000</v>
      </c>
      <c r="AR8" s="217">
        <v>3449</v>
      </c>
      <c r="AS8" s="217">
        <v>7751</v>
      </c>
      <c r="AT8" s="227">
        <v>0.24840000000000001</v>
      </c>
      <c r="AU8" s="224" t="str">
        <v/>
      </c>
      <c r="AV8" s="229">
        <v>0</v>
      </c>
      <c r="AW8" s="118">
        <v>16500</v>
      </c>
    </row>
    <row r="9" spans="1:50">
      <c r="A9" s="118">
        <v>37</v>
      </c>
      <c r="B9" s="118" t="str">
        <v>비닐스토리</v>
      </c>
      <c r="C9" s="211">
        <v>45445</v>
      </c>
      <c r="D9" s="118" t="str">
        <v>16100051423052</v>
      </c>
      <c r="E9" s="118" t="str">
        <v>쿠팡</v>
      </c>
      <c r="F9" s="118" t="str">
        <v>이연재</v>
      </c>
      <c r="G9" s="118" t="str">
        <v>ly*****@na</v>
      </c>
      <c r="H9" s="118" t="str">
        <v>0502-4953-1822</v>
      </c>
      <c r="I9" s="211">
        <v>45446</v>
      </c>
      <c r="J9" s="118" t="str">
        <v>CJ대한통운</v>
      </c>
      <c r="K9" s="118" t="str">
        <v>530213305083</v>
      </c>
      <c r="L9" s="211">
        <v>0</v>
      </c>
      <c r="M9" s="118" t="str">
        <v>SE.108</v>
      </c>
      <c r="N9" s="118" t="str">
        <v>투명</v>
      </c>
      <c r="O9" s="118">
        <v>5</v>
      </c>
      <c r="P9" s="118" t="str">
        <v>이연재</v>
      </c>
      <c r="Q9" s="118" t="str">
        <v>0502-4953-1822</v>
      </c>
      <c r="R9" s="118">
        <v>0</v>
      </c>
      <c r="S9" s="118" t="str">
        <v>전라북도 군산시 옥산면 접산길 22 주택</v>
      </c>
      <c r="T9" s="224" t="str">
        <v>문 앞</v>
      </c>
      <c r="U9" s="224">
        <v>0</v>
      </c>
      <c r="V9" s="224">
        <v>0</v>
      </c>
      <c r="W9" s="217">
        <v>6250</v>
      </c>
      <c r="X9" s="217">
        <v>0</v>
      </c>
      <c r="Y9" s="217">
        <v>3000</v>
      </c>
      <c r="Z9" s="217">
        <v>3000</v>
      </c>
      <c r="AA9" s="217">
        <v>0</v>
      </c>
      <c r="AB9" s="217">
        <v>0</v>
      </c>
      <c r="AC9" s="217">
        <v>0</v>
      </c>
      <c r="AD9" s="118" t="str">
        <v>고추 45*75</v>
      </c>
      <c r="AE9" s="224">
        <v>0</v>
      </c>
      <c r="AF9" s="217">
        <v>1170</v>
      </c>
      <c r="AG9" s="217">
        <v>715</v>
      </c>
      <c r="AH9" s="217">
        <v>9250</v>
      </c>
      <c r="AI9" s="217">
        <v>6575</v>
      </c>
      <c r="AJ9" s="217">
        <v>842</v>
      </c>
      <c r="AK9" s="217">
        <v>1833</v>
      </c>
      <c r="AL9" s="227">
        <v>0.19819999999999999</v>
      </c>
      <c r="AM9" s="224">
        <v>0</v>
      </c>
      <c r="AN9" s="118" t="str">
        <v>ptDB47</v>
      </c>
      <c r="AO9" s="229">
        <v>0</v>
      </c>
      <c r="AP9" s="217">
        <v>9250</v>
      </c>
      <c r="AQ9" s="217">
        <v>6575</v>
      </c>
      <c r="AR9" s="217">
        <v>842</v>
      </c>
      <c r="AS9" s="217">
        <v>1833</v>
      </c>
      <c r="AT9" s="227">
        <v>0.19819999999999999</v>
      </c>
      <c r="AU9" s="224" t="str">
        <v/>
      </c>
      <c r="AV9" s="229">
        <v>0</v>
      </c>
      <c r="AW9" s="118">
        <v>3575</v>
      </c>
    </row>
    <row r="10" spans="1:50">
      <c r="A10" s="118">
        <v>39</v>
      </c>
      <c r="B10" s="118" t="str">
        <v>비닐스토리</v>
      </c>
      <c r="C10" s="211">
        <v>45447</v>
      </c>
      <c r="D10" s="118" t="str">
        <v>45470995</v>
      </c>
      <c r="E10" s="118" t="str">
        <v>스마트 스토어</v>
      </c>
      <c r="F10" s="118" t="str">
        <v>강정환</v>
      </c>
      <c r="G10" s="118" t="str">
        <v>ksl1****</v>
      </c>
      <c r="H10" s="118" t="str">
        <v>010-9226-2126</v>
      </c>
      <c r="I10" s="211">
        <v>45447</v>
      </c>
      <c r="J10" s="118" t="str">
        <v>CJ대한통운</v>
      </c>
      <c r="K10" s="118" t="str">
        <v>530214528101</v>
      </c>
      <c r="L10" s="211">
        <v>0</v>
      </c>
      <c r="M10" s="118" t="str">
        <v>SE.28</v>
      </c>
      <c r="N10" s="118" t="str">
        <v>유백</v>
      </c>
      <c r="O10" s="118">
        <v>6</v>
      </c>
      <c r="P10" s="118" t="str">
        <v>경북대 생활협동조합</v>
      </c>
      <c r="Q10" s="118" t="str">
        <v>010-9226-2126</v>
      </c>
      <c r="R10" s="118">
        <v>0</v>
      </c>
      <c r="S10" s="118" t="str">
        <v>대구광역시 북구 대학로 80 (산격동, 경북대학교) 복현회관 2층 생활협동조합</v>
      </c>
      <c r="T10" s="224" t="str">
        <v>문앞에 배송해주세요 감사합니다</v>
      </c>
      <c r="U10" s="224">
        <v>0</v>
      </c>
      <c r="V10" s="224">
        <v>0</v>
      </c>
      <c r="W10" s="217">
        <v>45360</v>
      </c>
      <c r="X10" s="217">
        <v>0</v>
      </c>
      <c r="Y10" s="217">
        <v>0</v>
      </c>
      <c r="Z10" s="217">
        <v>5500</v>
      </c>
      <c r="AA10" s="217">
        <v>0</v>
      </c>
      <c r="AB10" s="217">
        <v>0</v>
      </c>
      <c r="AC10" s="217">
        <v>0</v>
      </c>
      <c r="AD10" s="118" t="str">
        <v>이불대</v>
      </c>
      <c r="AE10" s="224">
        <v>0</v>
      </c>
      <c r="AF10" s="217">
        <v>7230</v>
      </c>
      <c r="AG10" s="217">
        <v>4620</v>
      </c>
      <c r="AH10" s="217">
        <v>45360</v>
      </c>
      <c r="AI10" s="217">
        <v>33220</v>
      </c>
      <c r="AJ10" s="217">
        <v>1885</v>
      </c>
      <c r="AK10" s="217">
        <v>10255</v>
      </c>
      <c r="AL10" s="227">
        <v>0.2261</v>
      </c>
      <c r="AM10" s="224">
        <v>0</v>
      </c>
      <c r="AN10" s="118" t="str">
        <v>ptDB47</v>
      </c>
      <c r="AO10" s="229">
        <v>0</v>
      </c>
      <c r="AP10" s="217">
        <v>45360</v>
      </c>
      <c r="AQ10" s="217">
        <v>33220</v>
      </c>
      <c r="AR10" s="217">
        <v>1885</v>
      </c>
      <c r="AS10" s="217">
        <v>10255</v>
      </c>
      <c r="AT10" s="227">
        <v>0.2261</v>
      </c>
      <c r="AU10" s="224" t="str">
        <v/>
      </c>
      <c r="AV10" s="229">
        <v>0</v>
      </c>
      <c r="AW10" s="118">
        <v>27720</v>
      </c>
    </row>
    <row r="11" spans="1:50">
      <c r="A11" s="118">
        <v>40</v>
      </c>
      <c r="B11" s="118" t="str">
        <v>비닐스토리</v>
      </c>
      <c r="C11" s="211">
        <v>45447</v>
      </c>
      <c r="D11" s="118" t="str">
        <v>2024060498971601</v>
      </c>
      <c r="E11" s="118" t="str">
        <v>스마트 스토어</v>
      </c>
      <c r="F11" s="118" t="str">
        <v>강정환</v>
      </c>
      <c r="G11" s="118" t="str">
        <v>ksl1****</v>
      </c>
      <c r="H11" s="118" t="str">
        <v>010-9226-2126</v>
      </c>
      <c r="I11" s="211">
        <v>45447</v>
      </c>
      <c r="J11" s="118" t="str">
        <v>CJ대한통운</v>
      </c>
      <c r="K11" s="118" t="str">
        <v>540213347735</v>
      </c>
      <c r="L11" s="211">
        <v>0</v>
      </c>
      <c r="M11" s="118" t="str">
        <v>SE.27</v>
      </c>
      <c r="N11" s="118" t="str">
        <v>유백</v>
      </c>
      <c r="O11" s="118">
        <v>16</v>
      </c>
      <c r="P11" s="118" t="str">
        <v>경북대 생활협동조합</v>
      </c>
      <c r="Q11" s="118" t="str">
        <v>010-9226-2126</v>
      </c>
      <c r="R11" s="118">
        <v>0</v>
      </c>
      <c r="S11" s="118" t="str">
        <v>대구광역시 북구 대학로 80 (산격동, 경북대학교) 복현회관 2층 생활협동조합</v>
      </c>
      <c r="T11" s="224" t="str">
        <v>문앞에 배송해주세요 감사합니다</v>
      </c>
      <c r="U11" s="224">
        <v>0</v>
      </c>
      <c r="V11" s="224">
        <v>0</v>
      </c>
      <c r="W11" s="217">
        <v>92160</v>
      </c>
      <c r="X11" s="217">
        <v>0</v>
      </c>
      <c r="Y11" s="217">
        <v>0</v>
      </c>
      <c r="Z11" s="217">
        <v>0</v>
      </c>
      <c r="AA11" s="217">
        <v>0</v>
      </c>
      <c r="AB11" s="217">
        <v>0</v>
      </c>
      <c r="AC11" s="217">
        <v>0</v>
      </c>
      <c r="AD11" s="118" t="str">
        <v>이불중</v>
      </c>
      <c r="AE11" s="224" t="str">
        <v>재구매</v>
      </c>
      <c r="AF11" s="217">
        <v>5510</v>
      </c>
      <c r="AG11" s="217">
        <v>3520</v>
      </c>
      <c r="AH11" s="217">
        <v>92160</v>
      </c>
      <c r="AI11" s="217">
        <v>56320</v>
      </c>
      <c r="AJ11" s="217">
        <v>3748</v>
      </c>
      <c r="AK11" s="217">
        <v>32092</v>
      </c>
      <c r="AL11" s="227">
        <v>0.34820000000000001</v>
      </c>
      <c r="AM11" s="224">
        <v>0</v>
      </c>
      <c r="AN11" s="118" t="str">
        <v>ptDB47</v>
      </c>
      <c r="AO11" s="229">
        <v>0</v>
      </c>
      <c r="AP11" s="217">
        <v>92160</v>
      </c>
      <c r="AQ11" s="217">
        <v>56320</v>
      </c>
      <c r="AR11" s="217">
        <v>3748</v>
      </c>
      <c r="AS11" s="217">
        <v>32092</v>
      </c>
      <c r="AT11" s="227">
        <v>0.34820000000000001</v>
      </c>
      <c r="AU11" s="224" t="str">
        <v/>
      </c>
      <c r="AV11" s="229">
        <v>0</v>
      </c>
      <c r="AW11" s="118">
        <v>56320</v>
      </c>
    </row>
    <row r="12" spans="1:50">
      <c r="A12" s="118">
        <v>41</v>
      </c>
      <c r="B12" s="118" t="str">
        <v>비닐스토리</v>
      </c>
      <c r="C12" s="211">
        <v>45447</v>
      </c>
      <c r="D12" s="118" t="str">
        <v>2024060498672261</v>
      </c>
      <c r="E12" s="118" t="str">
        <v>스마트 스토어</v>
      </c>
      <c r="F12" s="118" t="str">
        <v>강정환</v>
      </c>
      <c r="G12" s="118" t="str">
        <v>ksl1****</v>
      </c>
      <c r="H12" s="118" t="str">
        <v>010-9226-2126</v>
      </c>
      <c r="I12" s="211">
        <v>45447</v>
      </c>
      <c r="J12" s="118" t="str">
        <v>CJ대한통운</v>
      </c>
      <c r="K12" s="118" t="str">
        <v>540213347735</v>
      </c>
      <c r="L12" s="211">
        <v>0</v>
      </c>
      <c r="M12" s="118" t="str">
        <v>SE.28</v>
      </c>
      <c r="N12" s="118" t="str">
        <v>유백</v>
      </c>
      <c r="O12" s="118">
        <v>6</v>
      </c>
      <c r="P12" s="118" t="str">
        <v>경북대 생활협동조합</v>
      </c>
      <c r="Q12" s="118" t="str">
        <v>010-9226-2126</v>
      </c>
      <c r="R12" s="118">
        <v>0</v>
      </c>
      <c r="S12" s="118" t="str">
        <v>대구광역시 북구 대학로 80 (산격동, 경북대학교) 복현회관 2층 생활협동조합</v>
      </c>
      <c r="T12" s="224" t="str">
        <v>문앞에 배송해주세요 감사합니다</v>
      </c>
      <c r="U12" s="224">
        <v>0</v>
      </c>
      <c r="V12" s="224">
        <v>0</v>
      </c>
      <c r="W12" s="217">
        <v>45360</v>
      </c>
      <c r="X12" s="217">
        <v>0</v>
      </c>
      <c r="Y12" s="217">
        <v>0</v>
      </c>
      <c r="Z12" s="217">
        <v>0</v>
      </c>
      <c r="AA12" s="217">
        <v>0</v>
      </c>
      <c r="AB12" s="217">
        <v>0</v>
      </c>
      <c r="AC12" s="217">
        <v>0</v>
      </c>
      <c r="AD12" s="118" t="str">
        <v>이불대</v>
      </c>
      <c r="AE12" s="224" t="str">
        <v>재구매</v>
      </c>
      <c r="AF12" s="217">
        <v>7230</v>
      </c>
      <c r="AG12" s="217">
        <v>4620</v>
      </c>
      <c r="AH12" s="217">
        <v>45360</v>
      </c>
      <c r="AI12" s="217">
        <v>27720</v>
      </c>
      <c r="AJ12" s="217">
        <v>1885</v>
      </c>
      <c r="AK12" s="217">
        <v>15755</v>
      </c>
      <c r="AL12" s="227">
        <v>0.3473</v>
      </c>
      <c r="AM12" s="224">
        <v>0</v>
      </c>
      <c r="AN12" s="118" t="str">
        <v>ptDB47</v>
      </c>
      <c r="AO12" s="229">
        <v>0</v>
      </c>
      <c r="AP12" s="217">
        <v>45360</v>
      </c>
      <c r="AQ12" s="217">
        <v>27720</v>
      </c>
      <c r="AR12" s="217">
        <v>1885</v>
      </c>
      <c r="AS12" s="217">
        <v>15755</v>
      </c>
      <c r="AT12" s="227">
        <v>0.3473</v>
      </c>
      <c r="AU12" s="224" t="str">
        <v/>
      </c>
      <c r="AV12" s="229">
        <v>0</v>
      </c>
      <c r="AW12" s="118">
        <v>27720</v>
      </c>
    </row>
    <row r="13" spans="1:50">
      <c r="A13" s="118">
        <v>42</v>
      </c>
      <c r="B13" s="118" t="str">
        <v>비닐스토리</v>
      </c>
      <c r="C13" s="211">
        <v>45447</v>
      </c>
      <c r="D13" s="118" t="str">
        <v>2024060497952311</v>
      </c>
      <c r="E13" s="118" t="str">
        <v>스마트 스토어</v>
      </c>
      <c r="F13" s="118" t="str">
        <v>오충석</v>
      </c>
      <c r="G13" s="118" t="str">
        <v>ocs3****</v>
      </c>
      <c r="H13" s="118" t="str">
        <v>010-9873-1982</v>
      </c>
      <c r="I13" s="211">
        <v>45447</v>
      </c>
      <c r="J13" s="118" t="str">
        <v>CJ대한통운</v>
      </c>
      <c r="K13" s="118" t="str">
        <v>530214334433</v>
      </c>
      <c r="L13" s="211">
        <v>0</v>
      </c>
      <c r="M13" s="118" t="str">
        <v>SE.105</v>
      </c>
      <c r="N13" s="118" t="str">
        <v>투명</v>
      </c>
      <c r="O13" s="118">
        <v>10</v>
      </c>
      <c r="P13" s="118" t="str">
        <v>오충석</v>
      </c>
      <c r="Q13" s="118" t="str">
        <v>010-9873-1982</v>
      </c>
      <c r="R13" s="118" t="str">
        <v>02-2612-7094</v>
      </c>
      <c r="S13" s="118" t="str">
        <v>경기도 광명시 오리로964번길 5 (광명동) 세명수산</v>
      </c>
      <c r="T13" s="224">
        <v>0</v>
      </c>
      <c r="U13" s="224">
        <v>0</v>
      </c>
      <c r="V13" s="224">
        <v>0</v>
      </c>
      <c r="W13" s="217">
        <v>27800</v>
      </c>
      <c r="X13" s="217">
        <v>0</v>
      </c>
      <c r="Y13" s="217">
        <v>3000</v>
      </c>
      <c r="Z13" s="217">
        <v>3500</v>
      </c>
      <c r="AA13" s="217">
        <v>0</v>
      </c>
      <c r="AB13" s="217">
        <v>0</v>
      </c>
      <c r="AC13" s="217">
        <v>0</v>
      </c>
      <c r="AD13" s="118" t="str">
        <v>소폭 20*38</v>
      </c>
      <c r="AE13" s="224">
        <v>0</v>
      </c>
      <c r="AF13" s="217">
        <v>2550</v>
      </c>
      <c r="AG13" s="217">
        <v>1650</v>
      </c>
      <c r="AH13" s="217">
        <v>30800</v>
      </c>
      <c r="AI13" s="217">
        <v>20000</v>
      </c>
      <c r="AJ13" s="217">
        <v>1245</v>
      </c>
      <c r="AK13" s="217">
        <v>9555</v>
      </c>
      <c r="AL13" s="227">
        <v>0.31019999999999998</v>
      </c>
      <c r="AM13" s="224">
        <v>0</v>
      </c>
      <c r="AN13" s="118" t="str">
        <v>ptDB47</v>
      </c>
      <c r="AO13" s="229">
        <v>0</v>
      </c>
      <c r="AP13" s="217">
        <v>30800</v>
      </c>
      <c r="AQ13" s="217">
        <v>20000</v>
      </c>
      <c r="AR13" s="217">
        <v>1245</v>
      </c>
      <c r="AS13" s="217">
        <v>9555</v>
      </c>
      <c r="AT13" s="227">
        <v>0.31019999999999998</v>
      </c>
      <c r="AU13" s="224" t="str">
        <v/>
      </c>
      <c r="AV13" s="229">
        <v>0</v>
      </c>
      <c r="AW13" s="118">
        <v>16500</v>
      </c>
    </row>
    <row r="14" spans="1:50">
      <c r="A14" s="118">
        <v>43</v>
      </c>
      <c r="B14" s="118" t="str">
        <v>비닐스토리</v>
      </c>
      <c r="C14" s="211">
        <v>45446</v>
      </c>
      <c r="D14" s="118" t="str">
        <v>2024060373094231</v>
      </c>
      <c r="E14" s="118" t="str">
        <v>스마트 스토어</v>
      </c>
      <c r="F14" s="118" t="str">
        <v>정택균</v>
      </c>
      <c r="G14" s="118" t="str">
        <v>xorr****</v>
      </c>
      <c r="H14" s="118" t="str">
        <v>010-7110-0757</v>
      </c>
      <c r="I14" s="211">
        <v>45447</v>
      </c>
      <c r="J14" s="118" t="str">
        <v>CJ대한통운</v>
      </c>
      <c r="K14" s="118" t="str">
        <v>530214334212</v>
      </c>
      <c r="L14" s="211">
        <v>0</v>
      </c>
      <c r="M14" s="118" t="str">
        <v>SE.306</v>
      </c>
      <c r="N14" s="118" t="str">
        <v>투명</v>
      </c>
      <c r="O14" s="118">
        <v>2</v>
      </c>
      <c r="P14" s="118" t="str">
        <v>정택균</v>
      </c>
      <c r="Q14" s="118" t="str">
        <v>010-7110-0757</v>
      </c>
      <c r="R14" s="118" t="str">
        <v>010-7110-0757</v>
      </c>
      <c r="S14" s="118" t="str">
        <v>강원특별자치도 동해시 공단6로 67-17 (구호동) 주식회사 루트</v>
      </c>
      <c r="T14" s="224" t="str">
        <v>2층사무실로 배송부탁드려요</v>
      </c>
      <c r="U14" s="224">
        <v>0</v>
      </c>
      <c r="V14" s="224">
        <v>0</v>
      </c>
      <c r="W14" s="217">
        <v>28500</v>
      </c>
      <c r="X14" s="217">
        <v>3180</v>
      </c>
      <c r="Y14" s="217">
        <v>3000</v>
      </c>
      <c r="Z14" s="217">
        <v>3500</v>
      </c>
      <c r="AA14" s="217">
        <v>0</v>
      </c>
      <c r="AB14" s="217">
        <v>0</v>
      </c>
      <c r="AC14" s="217">
        <v>0</v>
      </c>
      <c r="AD14" s="118" t="str">
        <v>떡외겹 20*20</v>
      </c>
      <c r="AE14" s="224">
        <v>0</v>
      </c>
      <c r="AF14" s="217">
        <v>14960</v>
      </c>
      <c r="AG14" s="217">
        <v>9680</v>
      </c>
      <c r="AH14" s="217">
        <v>31500</v>
      </c>
      <c r="AI14" s="217">
        <v>22860</v>
      </c>
      <c r="AJ14" s="217">
        <v>1273</v>
      </c>
      <c r="AK14" s="217">
        <v>7367</v>
      </c>
      <c r="AL14" s="227">
        <v>0.2339</v>
      </c>
      <c r="AM14" s="224">
        <v>0</v>
      </c>
      <c r="AN14" s="118" t="str">
        <v>ptDB47</v>
      </c>
      <c r="AO14" s="229">
        <v>0</v>
      </c>
      <c r="AP14" s="217">
        <v>31500</v>
      </c>
      <c r="AQ14" s="217">
        <v>22860</v>
      </c>
      <c r="AR14" s="217">
        <v>1273</v>
      </c>
      <c r="AS14" s="217">
        <v>7367</v>
      </c>
      <c r="AT14" s="227">
        <v>0.2339</v>
      </c>
      <c r="AU14" s="224" t="str">
        <v/>
      </c>
      <c r="AV14" s="229">
        <v>0</v>
      </c>
      <c r="AW14" s="118">
        <v>19360</v>
      </c>
    </row>
    <row r="15" spans="1:50">
      <c r="A15" s="118">
        <v>44</v>
      </c>
      <c r="B15" s="118" t="str">
        <v>비닐스토리</v>
      </c>
      <c r="C15" s="211">
        <v>45446</v>
      </c>
      <c r="D15" s="118" t="str">
        <v>7100051227112</v>
      </c>
      <c r="E15" s="118" t="str">
        <v>쿠팡</v>
      </c>
      <c r="F15" s="118" t="str">
        <v>방국희</v>
      </c>
      <c r="G15" s="118" t="str">
        <v>sp*****@ho</v>
      </c>
      <c r="H15" s="118" t="str">
        <v>0502-1431-1508</v>
      </c>
      <c r="I15" s="211">
        <v>45447</v>
      </c>
      <c r="J15" s="118" t="str">
        <v>CJ대한통운</v>
      </c>
      <c r="K15" s="118" t="str">
        <v>540213347853</v>
      </c>
      <c r="L15" s="211">
        <v>0</v>
      </c>
      <c r="M15" s="118" t="str">
        <v>SE.307</v>
      </c>
      <c r="N15" s="118" t="str">
        <v>투명</v>
      </c>
      <c r="O15" s="118">
        <v>1</v>
      </c>
      <c r="P15" s="118" t="str">
        <v>방국희(부산집)</v>
      </c>
      <c r="Q15" s="118" t="str">
        <v>0502-1431-1508</v>
      </c>
      <c r="R15" s="118">
        <v>0</v>
      </c>
      <c r="S15" s="118" t="str">
        <v>부산광역시 사하구 괴정동 427-68번지 14/2</v>
      </c>
      <c r="T15" s="224" t="str">
        <v xml:space="preserve"> 연락이 안될시 대영슈퍼에 맡겨주세요</v>
      </c>
      <c r="U15" s="224">
        <v>0</v>
      </c>
      <c r="V15" s="224">
        <v>0</v>
      </c>
      <c r="W15" s="217">
        <v>12470</v>
      </c>
      <c r="X15" s="217">
        <v>0</v>
      </c>
      <c r="Y15" s="217">
        <v>3000</v>
      </c>
      <c r="Z15" s="217">
        <v>3000</v>
      </c>
      <c r="AA15" s="217">
        <v>0</v>
      </c>
      <c r="AB15" s="217">
        <v>0</v>
      </c>
      <c r="AC15" s="217">
        <v>0</v>
      </c>
      <c r="AD15" s="118" t="str">
        <v>떡외겹 30*30</v>
      </c>
      <c r="AE15" s="224">
        <v>0</v>
      </c>
      <c r="AF15" s="217">
        <v>11780</v>
      </c>
      <c r="AG15" s="217">
        <v>7260</v>
      </c>
      <c r="AH15" s="217">
        <v>15470</v>
      </c>
      <c r="AI15" s="217">
        <v>10260</v>
      </c>
      <c r="AJ15" s="217">
        <v>1580</v>
      </c>
      <c r="AK15" s="217">
        <v>3630</v>
      </c>
      <c r="AL15" s="227">
        <v>0.2346</v>
      </c>
      <c r="AM15" s="224">
        <v>0</v>
      </c>
      <c r="AN15" s="118" t="str">
        <v>ptDB47</v>
      </c>
      <c r="AO15" s="229">
        <v>0</v>
      </c>
      <c r="AP15" s="217">
        <v>15470</v>
      </c>
      <c r="AQ15" s="217">
        <v>10260</v>
      </c>
      <c r="AR15" s="217">
        <v>1580</v>
      </c>
      <c r="AS15" s="217">
        <v>3630</v>
      </c>
      <c r="AT15" s="227">
        <v>0.2346</v>
      </c>
      <c r="AU15" s="224" t="str">
        <v/>
      </c>
      <c r="AV15" s="229">
        <v>0</v>
      </c>
      <c r="AW15" s="118">
        <v>7260</v>
      </c>
    </row>
    <row r="16" spans="1:50">
      <c r="A16" s="118">
        <v>45</v>
      </c>
      <c r="B16" s="118" t="str">
        <v>비닐스토리</v>
      </c>
      <c r="C16" s="211">
        <v>45447</v>
      </c>
      <c r="D16" s="118" t="str">
        <v>21100051322437</v>
      </c>
      <c r="E16" s="118" t="str">
        <v>쿠팡</v>
      </c>
      <c r="F16" s="118" t="str">
        <v>성준우</v>
      </c>
      <c r="G16" s="118" t="str">
        <v>wa*****@na</v>
      </c>
      <c r="H16" s="118" t="str">
        <v>0502-1752-6141</v>
      </c>
      <c r="I16" s="211">
        <v>45447</v>
      </c>
      <c r="J16" s="118" t="str">
        <v>CJ대한통운</v>
      </c>
      <c r="K16" s="118" t="str">
        <v>540213347094</v>
      </c>
      <c r="L16" s="211">
        <v>0</v>
      </c>
      <c r="M16" s="118" t="str">
        <v>SE.102</v>
      </c>
      <c r="N16" s="118" t="str">
        <v>투명</v>
      </c>
      <c r="O16" s="118">
        <v>1</v>
      </c>
      <c r="P16" s="118" t="str">
        <v>성준우</v>
      </c>
      <c r="Q16" s="118" t="str">
        <v>0502-1752-6141</v>
      </c>
      <c r="R16" s="118">
        <v>0</v>
      </c>
      <c r="S16" s="118" t="str">
        <v>대전광역시 유성구 원내동 383 진잠타운아파트 207동1203호</v>
      </c>
      <c r="T16" s="224" t="str">
        <v>문 앞</v>
      </c>
      <c r="U16" s="224">
        <v>0</v>
      </c>
      <c r="V16" s="224">
        <v>0</v>
      </c>
      <c r="W16" s="217">
        <v>1150</v>
      </c>
      <c r="X16" s="217">
        <v>0</v>
      </c>
      <c r="Y16" s="217">
        <v>3000</v>
      </c>
      <c r="Z16" s="217">
        <v>3000</v>
      </c>
      <c r="AA16" s="217">
        <v>0</v>
      </c>
      <c r="AB16" s="217">
        <v>0</v>
      </c>
      <c r="AC16" s="217">
        <v>0</v>
      </c>
      <c r="AD16" s="118" t="str">
        <v>소폭 12*26</v>
      </c>
      <c r="AE16" s="224">
        <v>0</v>
      </c>
      <c r="AF16" s="217">
        <v>1070</v>
      </c>
      <c r="AG16" s="217">
        <v>660</v>
      </c>
      <c r="AH16" s="217">
        <v>4150</v>
      </c>
      <c r="AI16" s="217">
        <v>3660</v>
      </c>
      <c r="AJ16" s="217">
        <v>236</v>
      </c>
      <c r="AK16" s="217">
        <v>254</v>
      </c>
      <c r="AL16" s="227">
        <v>6.1199999999999997E-2</v>
      </c>
      <c r="AM16" s="224">
        <v>0</v>
      </c>
      <c r="AN16" s="118" t="str">
        <v>ptDB47</v>
      </c>
      <c r="AO16" s="229">
        <v>0</v>
      </c>
      <c r="AP16" s="217">
        <v>4150</v>
      </c>
      <c r="AQ16" s="217">
        <v>3660</v>
      </c>
      <c r="AR16" s="217">
        <v>236</v>
      </c>
      <c r="AS16" s="217">
        <v>254</v>
      </c>
      <c r="AT16" s="227">
        <v>6.1199999999999997E-2</v>
      </c>
      <c r="AU16" s="224" t="str">
        <v/>
      </c>
      <c r="AV16" s="229">
        <v>0</v>
      </c>
      <c r="AW16" s="118">
        <v>660</v>
      </c>
    </row>
    <row r="17" spans="1:49">
      <c r="A17" s="118">
        <v>46</v>
      </c>
      <c r="B17" s="118" t="str">
        <v>비닐스토리</v>
      </c>
      <c r="C17" s="211">
        <v>45447</v>
      </c>
      <c r="D17" s="118" t="str">
        <v>11100051193765</v>
      </c>
      <c r="E17" s="118" t="str">
        <v>쿠팡</v>
      </c>
      <c r="F17" s="118" t="str">
        <v>김명준</v>
      </c>
      <c r="G17" s="118" t="str">
        <v>wo*****@na</v>
      </c>
      <c r="H17" s="118" t="str">
        <v>0504-4953-1243</v>
      </c>
      <c r="I17" s="211">
        <v>45447</v>
      </c>
      <c r="J17" s="118" t="str">
        <v>CJ대한통운</v>
      </c>
      <c r="K17" s="118" t="str">
        <v>530214334735</v>
      </c>
      <c r="L17" s="211">
        <v>0</v>
      </c>
      <c r="M17" s="118" t="str">
        <v>SE.206</v>
      </c>
      <c r="N17" s="118" t="str">
        <v>투명</v>
      </c>
      <c r="O17" s="118">
        <v>1</v>
      </c>
      <c r="P17" s="118" t="str">
        <v>김범준</v>
      </c>
      <c r="Q17" s="118" t="str">
        <v>0504-4953-1243</v>
      </c>
      <c r="R17" s="118">
        <v>0</v>
      </c>
      <c r="S17" s="118" t="str">
        <v>인천광역시 서구 경서로31번길 15 단지내상가1층 웰니스카페 ( 경서동, 북청라하우스토리 )</v>
      </c>
      <c r="T17" s="224" t="str">
        <v>문 앞</v>
      </c>
      <c r="U17" s="224">
        <v>0</v>
      </c>
      <c r="V17" s="224">
        <v>0</v>
      </c>
      <c r="W17" s="217">
        <v>34020</v>
      </c>
      <c r="X17" s="217">
        <v>0</v>
      </c>
      <c r="Y17" s="217">
        <v>3000</v>
      </c>
      <c r="Z17" s="217">
        <v>3500</v>
      </c>
      <c r="AA17" s="217">
        <v>0</v>
      </c>
      <c r="AB17" s="217">
        <v>0</v>
      </c>
      <c r="AC17" s="217">
        <v>0</v>
      </c>
      <c r="AD17" s="118" t="str">
        <v>떡롤 45*330</v>
      </c>
      <c r="AE17" s="224">
        <v>0</v>
      </c>
      <c r="AF17" s="217">
        <v>32130</v>
      </c>
      <c r="AG17" s="217">
        <v>19800</v>
      </c>
      <c r="AH17" s="217">
        <v>37020</v>
      </c>
      <c r="AI17" s="217">
        <v>23300</v>
      </c>
      <c r="AJ17" s="217">
        <v>4141</v>
      </c>
      <c r="AK17" s="217">
        <v>9579</v>
      </c>
      <c r="AL17" s="227">
        <v>0.25879999999999997</v>
      </c>
      <c r="AM17" s="224">
        <v>0</v>
      </c>
      <c r="AN17" s="118" t="str">
        <v>ptDB47</v>
      </c>
      <c r="AO17" s="229">
        <v>0</v>
      </c>
      <c r="AP17" s="217">
        <v>37020</v>
      </c>
      <c r="AQ17" s="217">
        <v>23300</v>
      </c>
      <c r="AR17" s="217">
        <v>4141</v>
      </c>
      <c r="AS17" s="217">
        <v>9579</v>
      </c>
      <c r="AT17" s="227">
        <v>0.25879999999999997</v>
      </c>
      <c r="AU17" s="224" t="str">
        <v/>
      </c>
      <c r="AV17" s="229">
        <v>0</v>
      </c>
      <c r="AW17" s="118">
        <v>19800</v>
      </c>
    </row>
    <row r="18" spans="1:49">
      <c r="A18" s="118">
        <v>53</v>
      </c>
      <c r="B18" s="118" t="str">
        <v>비닐스토리</v>
      </c>
      <c r="C18" s="211">
        <v>45447</v>
      </c>
      <c r="D18" s="118" t="str">
        <v>24060402</v>
      </c>
      <c r="E18" s="118" t="str">
        <v>올웨이즈</v>
      </c>
      <c r="F18" s="118">
        <v>0</v>
      </c>
      <c r="G18" s="118">
        <v>0</v>
      </c>
      <c r="H18" s="118">
        <v>0</v>
      </c>
      <c r="I18" s="211">
        <v>45447</v>
      </c>
      <c r="J18" s="118" t="str">
        <v>CJ대한통운</v>
      </c>
      <c r="K18" s="118" t="str">
        <v>540213347260</v>
      </c>
      <c r="L18" s="211">
        <v>0</v>
      </c>
      <c r="M18" s="118" t="str">
        <v>SE.118</v>
      </c>
      <c r="N18" s="118" t="str">
        <v>투명</v>
      </c>
      <c r="O18" s="118">
        <v>1</v>
      </c>
      <c r="P18" s="118" t="str">
        <v>여나</v>
      </c>
      <c r="Q18" s="118" t="str">
        <v>010-2959-1232</v>
      </c>
      <c r="R18" s="118">
        <v>0</v>
      </c>
      <c r="S18" s="118" t="str">
        <v>울산 북구 두부곡4길 8 2층</v>
      </c>
      <c r="T18" s="224">
        <v>0</v>
      </c>
      <c r="U18" s="224">
        <v>0</v>
      </c>
      <c r="V18" s="224">
        <v>0</v>
      </c>
      <c r="W18" s="217">
        <v>0</v>
      </c>
      <c r="X18" s="217">
        <v>0</v>
      </c>
      <c r="Y18" s="217">
        <v>0</v>
      </c>
      <c r="Z18" s="217">
        <v>3000</v>
      </c>
      <c r="AA18" s="217">
        <v>0</v>
      </c>
      <c r="AB18" s="217">
        <v>0</v>
      </c>
      <c r="AC18" s="217">
        <v>0</v>
      </c>
      <c r="AD18" s="118" t="str">
        <v>막지 40*60</v>
      </c>
      <c r="AE18" s="224" t="str">
        <v>재구매</v>
      </c>
      <c r="AF18" s="217">
        <v>3900</v>
      </c>
      <c r="AG18" s="217">
        <v>2530</v>
      </c>
      <c r="AH18" s="217">
        <v>0</v>
      </c>
      <c r="AI18" s="217">
        <v>0</v>
      </c>
      <c r="AJ18" s="217">
        <v>0</v>
      </c>
      <c r="AK18" s="217">
        <v>0</v>
      </c>
      <c r="AL18" s="227">
        <v>0</v>
      </c>
      <c r="AM18" s="224">
        <v>0</v>
      </c>
      <c r="AN18" s="118" t="str">
        <v>ptDB46</v>
      </c>
      <c r="AO18" s="229">
        <v>0</v>
      </c>
      <c r="AP18" s="217">
        <v>0</v>
      </c>
      <c r="AQ18" s="217">
        <v>5530</v>
      </c>
      <c r="AR18" s="217">
        <v>80</v>
      </c>
      <c r="AS18" s="217">
        <v>-5610</v>
      </c>
      <c r="AT18" s="227">
        <v>0</v>
      </c>
      <c r="AU18" s="224" t="str">
        <v>Check</v>
      </c>
      <c r="AV18" s="229">
        <v>0</v>
      </c>
      <c r="AW18" s="118">
        <v>2530</v>
      </c>
    </row>
    <row r="19" spans="1:49">
      <c r="A19" s="118">
        <v>54</v>
      </c>
      <c r="B19" s="118" t="str">
        <v>비닐스토리</v>
      </c>
      <c r="C19" s="211">
        <v>45447</v>
      </c>
      <c r="D19" s="118" t="str">
        <v>24060401</v>
      </c>
      <c r="E19" s="118" t="str">
        <v>올웨이즈</v>
      </c>
      <c r="F19" s="118">
        <v>0</v>
      </c>
      <c r="G19" s="118">
        <v>0</v>
      </c>
      <c r="H19" s="118">
        <v>0</v>
      </c>
      <c r="I19" s="211">
        <v>45447</v>
      </c>
      <c r="J19" s="118" t="str">
        <v>CJ대한통운</v>
      </c>
      <c r="K19" s="118" t="str">
        <v>530214334411</v>
      </c>
      <c r="L19" s="211">
        <v>0</v>
      </c>
      <c r="M19" s="118" t="str">
        <v>SE.121</v>
      </c>
      <c r="N19" s="118" t="str">
        <v>투명</v>
      </c>
      <c r="O19" s="118">
        <v>1</v>
      </c>
      <c r="P19" s="118" t="str">
        <v xml:space="preserve">김양순	</v>
      </c>
      <c r="Q19" s="118" t="str">
        <v>010-3637-9321</v>
      </c>
      <c r="R19" s="118">
        <v>0</v>
      </c>
      <c r="S19" s="118" t="str">
        <v>경기 화성시 장안면 온수골1길 55-1</v>
      </c>
      <c r="T19" s="224">
        <v>0</v>
      </c>
      <c r="U19" s="224">
        <v>0</v>
      </c>
      <c r="V19" s="224">
        <v>0</v>
      </c>
      <c r="W19" s="217">
        <v>0</v>
      </c>
      <c r="X19" s="217">
        <v>0</v>
      </c>
      <c r="Y19" s="217">
        <v>0</v>
      </c>
      <c r="Z19" s="217">
        <v>3000</v>
      </c>
      <c r="AA19" s="217">
        <v>0</v>
      </c>
      <c r="AB19" s="217">
        <v>0</v>
      </c>
      <c r="AC19" s="217">
        <v>0</v>
      </c>
      <c r="AD19" s="118" t="str">
        <v>막지 63*90</v>
      </c>
      <c r="AE19" s="224" t="str">
        <v>재구매</v>
      </c>
      <c r="AF19" s="217">
        <v>5250</v>
      </c>
      <c r="AG19" s="217">
        <v>3410</v>
      </c>
      <c r="AH19" s="217">
        <v>0</v>
      </c>
      <c r="AI19" s="217">
        <v>0</v>
      </c>
      <c r="AJ19" s="217">
        <v>0</v>
      </c>
      <c r="AK19" s="217">
        <v>0</v>
      </c>
      <c r="AL19" s="227">
        <v>0</v>
      </c>
      <c r="AM19" s="224">
        <v>0</v>
      </c>
      <c r="AN19" s="118" t="str">
        <v>ptDB46</v>
      </c>
      <c r="AO19" s="229">
        <v>0</v>
      </c>
      <c r="AP19" s="217">
        <v>0</v>
      </c>
      <c r="AQ19" s="217">
        <v>6410</v>
      </c>
      <c r="AR19" s="217">
        <v>80</v>
      </c>
      <c r="AS19" s="217">
        <v>-6490</v>
      </c>
      <c r="AT19" s="227">
        <v>0</v>
      </c>
      <c r="AU19" s="224" t="str">
        <v>Check</v>
      </c>
      <c r="AV19" s="229">
        <v>0</v>
      </c>
      <c r="AW19" s="118">
        <v>3410</v>
      </c>
    </row>
    <row r="20" spans="1:49">
      <c r="A20" s="118">
        <v>60</v>
      </c>
      <c r="B20" s="118" t="str">
        <v>비닐스토리</v>
      </c>
      <c r="C20" s="211">
        <v>45448</v>
      </c>
      <c r="D20" s="118" t="str">
        <v>2024060553504051</v>
      </c>
      <c r="E20" s="118" t="str">
        <v>스마트 스토어</v>
      </c>
      <c r="F20" s="118" t="str">
        <v>이상숙</v>
      </c>
      <c r="G20" s="118" t="str">
        <v>sang****</v>
      </c>
      <c r="H20" s="118" t="str">
        <v>010-7458-6672</v>
      </c>
      <c r="I20" s="211">
        <v>45448</v>
      </c>
      <c r="J20" s="118" t="str">
        <v>CJ대한통운</v>
      </c>
      <c r="K20" s="118" t="str">
        <v>530215355501</v>
      </c>
      <c r="L20" s="211">
        <v>0</v>
      </c>
      <c r="M20" s="118" t="str">
        <v>SE.201</v>
      </c>
      <c r="N20" s="118" t="str">
        <v>투명</v>
      </c>
      <c r="O20" s="118">
        <v>1</v>
      </c>
      <c r="P20" s="118" t="str">
        <v>카페모들</v>
      </c>
      <c r="Q20" s="118" t="str">
        <v>010-7458-6672</v>
      </c>
      <c r="R20" s="118">
        <v>0</v>
      </c>
      <c r="S20" s="118" t="str">
        <v>경기도 화성시 동탄기흥로 393-20 (오산동, 동탄역 파라곤) 1층190호 내측상가(선명희피자맞은편</v>
      </c>
      <c r="T20" s="224">
        <v>0</v>
      </c>
      <c r="U20" s="224">
        <v>0</v>
      </c>
      <c r="V20" s="224">
        <v>0</v>
      </c>
      <c r="W20" s="217">
        <v>14580</v>
      </c>
      <c r="X20" s="217">
        <v>1620</v>
      </c>
      <c r="Y20" s="217">
        <v>3000</v>
      </c>
      <c r="Z20" s="217">
        <v>3000</v>
      </c>
      <c r="AA20" s="217">
        <v>0</v>
      </c>
      <c r="AB20" s="217">
        <v>0</v>
      </c>
      <c r="AC20" s="217">
        <v>0</v>
      </c>
      <c r="AD20" s="118" t="str">
        <v>떡롤 20*400</v>
      </c>
      <c r="AE20" s="224">
        <v>0</v>
      </c>
      <c r="AF20" s="217">
        <v>15300</v>
      </c>
      <c r="AG20" s="217">
        <v>9900</v>
      </c>
      <c r="AH20" s="217">
        <v>17580</v>
      </c>
      <c r="AI20" s="217">
        <v>12900</v>
      </c>
      <c r="AJ20" s="217">
        <v>719</v>
      </c>
      <c r="AK20" s="217">
        <v>3961</v>
      </c>
      <c r="AL20" s="227">
        <v>0.2253</v>
      </c>
      <c r="AM20" s="224">
        <v>0</v>
      </c>
      <c r="AN20" s="118" t="str">
        <v>ptDB47</v>
      </c>
      <c r="AO20" s="229">
        <v>0</v>
      </c>
      <c r="AP20" s="217">
        <v>17580</v>
      </c>
      <c r="AQ20" s="217">
        <v>12900</v>
      </c>
      <c r="AR20" s="217">
        <v>719</v>
      </c>
      <c r="AS20" s="217">
        <v>3961</v>
      </c>
      <c r="AT20" s="227">
        <v>0.2253</v>
      </c>
      <c r="AU20" s="224" t="str">
        <v/>
      </c>
      <c r="AV20" s="229">
        <v>0</v>
      </c>
      <c r="AW20" s="118">
        <v>9900</v>
      </c>
    </row>
    <row r="21" spans="1:49">
      <c r="A21" s="118">
        <v>61</v>
      </c>
      <c r="B21" s="118" t="str">
        <v>비닐스토리</v>
      </c>
      <c r="C21" s="211">
        <v>45448</v>
      </c>
      <c r="D21" s="118" t="str">
        <v>2024060541249481</v>
      </c>
      <c r="E21" s="118" t="str">
        <v>스마트 스토어</v>
      </c>
      <c r="F21" s="118" t="str">
        <v>송순희</v>
      </c>
      <c r="G21" s="118" t="str">
        <v>sshh****</v>
      </c>
      <c r="H21" s="118" t="str">
        <v>010-4118-9402</v>
      </c>
      <c r="I21" s="211">
        <v>45448</v>
      </c>
      <c r="J21" s="118" t="str">
        <v>CJ대한통운</v>
      </c>
      <c r="K21" s="118" t="str">
        <v>530215273800</v>
      </c>
      <c r="L21" s="211">
        <v>0</v>
      </c>
      <c r="M21" s="118" t="str">
        <v>SE.204</v>
      </c>
      <c r="N21" s="118" t="str">
        <v>투명</v>
      </c>
      <c r="O21" s="118">
        <v>2</v>
      </c>
      <c r="P21" s="118" t="str">
        <v>이레떡방</v>
      </c>
      <c r="Q21" s="118" t="str">
        <v>010-4118-9402</v>
      </c>
      <c r="R21" s="118" t="str">
        <v>010-3706-7755</v>
      </c>
      <c r="S21" s="118" t="str">
        <v>서울특별시 강서구 허준로 121 (가양동, 대림경동아파트) 대림경동상가 114호</v>
      </c>
      <c r="T21" s="224" t="str">
        <v>문 앞에 놓아주세요</v>
      </c>
      <c r="U21" s="224">
        <v>0</v>
      </c>
      <c r="V21" s="224">
        <v>0</v>
      </c>
      <c r="W21" s="217">
        <v>42120</v>
      </c>
      <c r="X21" s="217">
        <v>4680</v>
      </c>
      <c r="Y21" s="217">
        <v>0</v>
      </c>
      <c r="Z21" s="217">
        <v>4400</v>
      </c>
      <c r="AA21" s="217">
        <v>0</v>
      </c>
      <c r="AB21" s="217">
        <v>0</v>
      </c>
      <c r="AC21" s="217">
        <v>0</v>
      </c>
      <c r="AD21" s="118" t="str">
        <v>떡롤 30*400</v>
      </c>
      <c r="AE21" s="224">
        <v>0</v>
      </c>
      <c r="AF21" s="217">
        <v>22100</v>
      </c>
      <c r="AG21" s="217">
        <v>14300</v>
      </c>
      <c r="AH21" s="217">
        <v>42120</v>
      </c>
      <c r="AI21" s="217">
        <v>33000</v>
      </c>
      <c r="AJ21" s="217">
        <v>1756</v>
      </c>
      <c r="AK21" s="217">
        <v>7364</v>
      </c>
      <c r="AL21" s="227">
        <v>0.17480000000000001</v>
      </c>
      <c r="AM21" s="224">
        <v>0</v>
      </c>
      <c r="AN21" s="118" t="str">
        <v>ptDB47</v>
      </c>
      <c r="AO21" s="229">
        <v>0</v>
      </c>
      <c r="AP21" s="217">
        <v>42120</v>
      </c>
      <c r="AQ21" s="217">
        <v>33000</v>
      </c>
      <c r="AR21" s="217">
        <v>1756</v>
      </c>
      <c r="AS21" s="217">
        <v>7364</v>
      </c>
      <c r="AT21" s="227">
        <v>0.17480000000000001</v>
      </c>
      <c r="AU21" s="224" t="str">
        <v/>
      </c>
      <c r="AV21" s="229">
        <v>0</v>
      </c>
      <c r="AW21" s="118">
        <v>28600</v>
      </c>
    </row>
    <row r="22" spans="1:49">
      <c r="A22" s="118">
        <v>62</v>
      </c>
      <c r="B22" s="118" t="str">
        <v>비닐스토리</v>
      </c>
      <c r="C22" s="211">
        <v>45447</v>
      </c>
      <c r="D22" s="118" t="str">
        <v>2024060427503191</v>
      </c>
      <c r="E22" s="118" t="str">
        <v>스마트 스토어</v>
      </c>
      <c r="F22" s="118" t="str">
        <v>박경숙</v>
      </c>
      <c r="G22" s="118" t="str">
        <v>bobd****</v>
      </c>
      <c r="H22" s="118" t="str">
        <v>010-2684-8642</v>
      </c>
      <c r="I22" s="211">
        <v>45448</v>
      </c>
      <c r="J22" s="118" t="str">
        <v>CJ대한통운</v>
      </c>
      <c r="K22" s="118" t="str">
        <v>530215273892</v>
      </c>
      <c r="L22" s="211">
        <v>0</v>
      </c>
      <c r="M22" s="118" t="str">
        <v>SE.22</v>
      </c>
      <c r="N22" s="118" t="str">
        <v>검정</v>
      </c>
      <c r="O22" s="118">
        <v>4</v>
      </c>
      <c r="P22" s="118" t="str">
        <v>박경숙</v>
      </c>
      <c r="Q22" s="118" t="str">
        <v>010-2684-8642</v>
      </c>
      <c r="R22" s="118">
        <v>0</v>
      </c>
      <c r="S22" s="118" t="str">
        <v>경기도 파주시 책향기로 439 (동패동, 책향기마을동문굿모닝힐) 10단지 1016동1106</v>
      </c>
      <c r="T22" s="224">
        <v>0</v>
      </c>
      <c r="U22" s="224">
        <v>0</v>
      </c>
      <c r="V22" s="224">
        <v>0</v>
      </c>
      <c r="W22" s="217">
        <v>15480</v>
      </c>
      <c r="X22" s="217">
        <v>0</v>
      </c>
      <c r="Y22" s="217">
        <v>3000</v>
      </c>
      <c r="Z22" s="217">
        <v>3000</v>
      </c>
      <c r="AA22" s="217">
        <v>0</v>
      </c>
      <c r="AB22" s="217">
        <v>0</v>
      </c>
      <c r="AC22" s="217">
        <v>0</v>
      </c>
      <c r="AD22" s="118" t="str">
        <v xml:space="preserve">왕특A </v>
      </c>
      <c r="AE22" s="224">
        <v>0</v>
      </c>
      <c r="AF22" s="217">
        <v>3700</v>
      </c>
      <c r="AG22" s="217">
        <v>2365</v>
      </c>
      <c r="AH22" s="217">
        <v>18480</v>
      </c>
      <c r="AI22" s="217">
        <v>12460</v>
      </c>
      <c r="AJ22" s="217">
        <v>755</v>
      </c>
      <c r="AK22" s="217">
        <v>5265</v>
      </c>
      <c r="AL22" s="227">
        <v>0.28489999999999999</v>
      </c>
      <c r="AM22" s="224">
        <v>0</v>
      </c>
      <c r="AN22" s="118" t="str">
        <v>ptDB47</v>
      </c>
      <c r="AO22" s="229">
        <v>0</v>
      </c>
      <c r="AP22" s="217">
        <v>18480</v>
      </c>
      <c r="AQ22" s="217">
        <v>12460</v>
      </c>
      <c r="AR22" s="217">
        <v>755</v>
      </c>
      <c r="AS22" s="217">
        <v>5265</v>
      </c>
      <c r="AT22" s="227">
        <v>0.28489999999999999</v>
      </c>
      <c r="AU22" s="224" t="str">
        <v/>
      </c>
      <c r="AV22" s="229">
        <v>0</v>
      </c>
      <c r="AW22" s="118">
        <v>9460</v>
      </c>
    </row>
    <row r="23" spans="1:49">
      <c r="A23" s="118">
        <v>63</v>
      </c>
      <c r="B23" s="118" t="str">
        <v>비닐스토리</v>
      </c>
      <c r="C23" s="211">
        <v>45447</v>
      </c>
      <c r="D23" s="118" t="str">
        <v>2024060414211401</v>
      </c>
      <c r="E23" s="118" t="str">
        <v>스마트 스토어</v>
      </c>
      <c r="F23" s="118" t="str">
        <v>장미미</v>
      </c>
      <c r="G23" s="118" t="str">
        <v>alal****</v>
      </c>
      <c r="H23" s="118" t="str">
        <v>010-9415-1378</v>
      </c>
      <c r="I23" s="211">
        <v>45448</v>
      </c>
      <c r="J23" s="118" t="str">
        <v>CJ대한통운</v>
      </c>
      <c r="K23" s="118" t="str">
        <v>540214280673</v>
      </c>
      <c r="L23" s="211">
        <v>0</v>
      </c>
      <c r="M23" s="118" t="str">
        <v>SE.303</v>
      </c>
      <c r="N23" s="118" t="str">
        <v>투명</v>
      </c>
      <c r="O23" s="118">
        <v>1</v>
      </c>
      <c r="P23" s="118" t="str">
        <v>장미미</v>
      </c>
      <c r="Q23" s="118" t="str">
        <v>010-9415-1378</v>
      </c>
      <c r="R23" s="118">
        <v>0</v>
      </c>
      <c r="S23" s="118" t="str">
        <v>경기도 양평군 양동면 양동역길 9 (양동면) 역전방앗간</v>
      </c>
      <c r="T23" s="224">
        <v>0</v>
      </c>
      <c r="U23" s="224">
        <v>0</v>
      </c>
      <c r="V23" s="224">
        <v>0</v>
      </c>
      <c r="W23" s="217">
        <v>22190</v>
      </c>
      <c r="X23" s="217">
        <v>2470</v>
      </c>
      <c r="Y23" s="217">
        <v>3000</v>
      </c>
      <c r="Z23" s="217">
        <v>3000</v>
      </c>
      <c r="AA23" s="217">
        <v>0</v>
      </c>
      <c r="AB23" s="217">
        <v>0</v>
      </c>
      <c r="AC23" s="217">
        <v>0</v>
      </c>
      <c r="AD23" s="118" t="str">
        <v>떡외겹 25*25</v>
      </c>
      <c r="AE23" s="224">
        <v>0</v>
      </c>
      <c r="AF23" s="217">
        <v>23290</v>
      </c>
      <c r="AG23" s="217">
        <v>15070</v>
      </c>
      <c r="AH23" s="217">
        <v>25190</v>
      </c>
      <c r="AI23" s="217">
        <v>18070</v>
      </c>
      <c r="AJ23" s="217">
        <v>1022</v>
      </c>
      <c r="AK23" s="217">
        <v>6098</v>
      </c>
      <c r="AL23" s="227">
        <v>0.24210000000000001</v>
      </c>
      <c r="AM23" s="224">
        <v>0</v>
      </c>
      <c r="AN23" s="118" t="str">
        <v>ptDB47</v>
      </c>
      <c r="AO23" s="229">
        <v>0</v>
      </c>
      <c r="AP23" s="217">
        <v>25190</v>
      </c>
      <c r="AQ23" s="217">
        <v>18070</v>
      </c>
      <c r="AR23" s="217">
        <v>1022</v>
      </c>
      <c r="AS23" s="217">
        <v>6098</v>
      </c>
      <c r="AT23" s="227">
        <v>0.24210000000000001</v>
      </c>
      <c r="AU23" s="224" t="str">
        <v/>
      </c>
      <c r="AV23" s="229">
        <v>0</v>
      </c>
      <c r="AW23" s="118">
        <v>15070</v>
      </c>
    </row>
    <row r="24" spans="1:49">
      <c r="A24" s="118">
        <v>67</v>
      </c>
      <c r="B24" s="118" t="str">
        <v>비닐스토리</v>
      </c>
      <c r="C24" s="211">
        <v>45447</v>
      </c>
      <c r="D24" s="118" t="str">
        <v>17100051349040</v>
      </c>
      <c r="E24" s="118" t="str">
        <v>쿠팡</v>
      </c>
      <c r="F24" s="118" t="str">
        <v>유윤정</v>
      </c>
      <c r="G24" s="118" t="str">
        <v>bu*****@ka</v>
      </c>
      <c r="H24" s="118" t="str">
        <v>0504-4333-5093</v>
      </c>
      <c r="I24" s="211">
        <v>45448</v>
      </c>
      <c r="J24" s="118" t="str">
        <v>CJ대한통운</v>
      </c>
      <c r="K24" s="118" t="str">
        <v>540214280640</v>
      </c>
      <c r="L24" s="211">
        <v>0</v>
      </c>
      <c r="M24" s="118" t="str">
        <v>SE.102</v>
      </c>
      <c r="N24" s="118" t="str">
        <v>투명</v>
      </c>
      <c r="O24" s="118">
        <v>10</v>
      </c>
      <c r="P24" s="118" t="str">
        <v>유윤정</v>
      </c>
      <c r="Q24" s="118" t="str">
        <v>0504-4333-5093</v>
      </c>
      <c r="R24" s="118">
        <v>0</v>
      </c>
      <c r="S24" s="118" t="str">
        <v>경기도 안양시 만안구 안양동 190-6 광신프로그레스리버뷰203동702호</v>
      </c>
      <c r="T24" s="224" t="str">
        <v>문 앞</v>
      </c>
      <c r="U24" s="224">
        <v>0</v>
      </c>
      <c r="V24" s="224">
        <v>0</v>
      </c>
      <c r="W24" s="217">
        <v>11500</v>
      </c>
      <c r="X24" s="217">
        <v>0</v>
      </c>
      <c r="Y24" s="217">
        <v>3000</v>
      </c>
      <c r="Z24" s="217">
        <v>3000</v>
      </c>
      <c r="AA24" s="217">
        <v>0</v>
      </c>
      <c r="AB24" s="217">
        <v>0</v>
      </c>
      <c r="AC24" s="217">
        <v>0</v>
      </c>
      <c r="AD24" s="118" t="str">
        <v>소폭 12*26</v>
      </c>
      <c r="AE24" s="224">
        <v>0</v>
      </c>
      <c r="AF24" s="217">
        <v>1070</v>
      </c>
      <c r="AG24" s="217">
        <v>660</v>
      </c>
      <c r="AH24" s="217">
        <v>14500</v>
      </c>
      <c r="AI24" s="217">
        <v>9600</v>
      </c>
      <c r="AJ24" s="217">
        <v>1465</v>
      </c>
      <c r="AK24" s="217">
        <v>3435</v>
      </c>
      <c r="AL24" s="227">
        <v>0.2369</v>
      </c>
      <c r="AM24" s="224">
        <v>0</v>
      </c>
      <c r="AN24" s="118" t="str">
        <v>ptDB47</v>
      </c>
      <c r="AO24" s="229">
        <v>0</v>
      </c>
      <c r="AP24" s="217">
        <v>14500</v>
      </c>
      <c r="AQ24" s="217">
        <v>9600</v>
      </c>
      <c r="AR24" s="217">
        <v>1465</v>
      </c>
      <c r="AS24" s="217">
        <v>3435</v>
      </c>
      <c r="AT24" s="227">
        <v>0.2369</v>
      </c>
      <c r="AU24" s="224" t="str">
        <v/>
      </c>
      <c r="AV24" s="229">
        <v>0</v>
      </c>
      <c r="AW24" s="118">
        <v>6600</v>
      </c>
    </row>
    <row r="25" spans="1:49">
      <c r="A25" s="118">
        <v>68</v>
      </c>
      <c r="B25" s="118" t="str">
        <v>비닐스토리</v>
      </c>
      <c r="C25" s="211">
        <v>45447</v>
      </c>
      <c r="D25" s="118" t="str">
        <v>24100051338432</v>
      </c>
      <c r="E25" s="118" t="str">
        <v>쿠팡</v>
      </c>
      <c r="F25" s="118" t="str">
        <v>고성관</v>
      </c>
      <c r="G25" s="118" t="str">
        <v>dk*****@na</v>
      </c>
      <c r="H25" s="118" t="str">
        <v>0502-4654-2053</v>
      </c>
      <c r="I25" s="211">
        <v>45448</v>
      </c>
      <c r="J25" s="118" t="str">
        <v>CJ대한통운</v>
      </c>
      <c r="K25" s="118" t="str">
        <v>530215273796</v>
      </c>
      <c r="L25" s="211">
        <v>0</v>
      </c>
      <c r="M25" s="118" t="str">
        <v>SE.307</v>
      </c>
      <c r="N25" s="118" t="str">
        <v>투명</v>
      </c>
      <c r="O25" s="118">
        <v>1</v>
      </c>
      <c r="P25" s="118" t="str">
        <v>을찌로떡볶이</v>
      </c>
      <c r="Q25" s="118" t="str">
        <v>0502-4654-2053</v>
      </c>
      <c r="R25" s="118">
        <v>0</v>
      </c>
      <c r="S25" s="118" t="str">
        <v>경기도 광명시 안재로6번길 24 1층 을찌로떡볶이 ( 하안동 )</v>
      </c>
      <c r="T25" s="224" t="str">
        <v>문 앞</v>
      </c>
      <c r="U25" s="224">
        <v>0</v>
      </c>
      <c r="V25" s="224">
        <v>0</v>
      </c>
      <c r="W25" s="217">
        <v>12470</v>
      </c>
      <c r="X25" s="217">
        <v>0</v>
      </c>
      <c r="Y25" s="217">
        <v>3000</v>
      </c>
      <c r="Z25" s="217">
        <v>3000</v>
      </c>
      <c r="AA25" s="217">
        <v>0</v>
      </c>
      <c r="AB25" s="217">
        <v>0</v>
      </c>
      <c r="AC25" s="217">
        <v>0</v>
      </c>
      <c r="AD25" s="118" t="str">
        <v>떡외겹 30*30</v>
      </c>
      <c r="AE25" s="224">
        <v>0</v>
      </c>
      <c r="AF25" s="217">
        <v>11780</v>
      </c>
      <c r="AG25" s="217">
        <v>7260</v>
      </c>
      <c r="AH25" s="217">
        <v>15470</v>
      </c>
      <c r="AI25" s="217">
        <v>10260</v>
      </c>
      <c r="AJ25" s="217">
        <v>1580</v>
      </c>
      <c r="AK25" s="217">
        <v>3630</v>
      </c>
      <c r="AL25" s="227">
        <v>0.2346</v>
      </c>
      <c r="AM25" s="224">
        <v>0</v>
      </c>
      <c r="AN25" s="118" t="str">
        <v>ptDB47</v>
      </c>
      <c r="AO25" s="229">
        <v>0</v>
      </c>
      <c r="AP25" s="217">
        <v>15470</v>
      </c>
      <c r="AQ25" s="217">
        <v>10260</v>
      </c>
      <c r="AR25" s="217">
        <v>1580</v>
      </c>
      <c r="AS25" s="217">
        <v>3630</v>
      </c>
      <c r="AT25" s="227">
        <v>0.2346</v>
      </c>
      <c r="AU25" s="224" t="str">
        <v/>
      </c>
      <c r="AV25" s="229">
        <v>0</v>
      </c>
      <c r="AW25" s="118">
        <v>7260</v>
      </c>
    </row>
    <row r="26" spans="1:49">
      <c r="A26" s="118">
        <v>77</v>
      </c>
      <c r="B26" s="118" t="str">
        <v>비닐스토리</v>
      </c>
      <c r="C26" s="211">
        <v>45450</v>
      </c>
      <c r="D26" s="118" t="str">
        <v>2024060719461551</v>
      </c>
      <c r="E26" s="118" t="str">
        <v>스마트 스토어</v>
      </c>
      <c r="F26" s="118" t="str">
        <v>이재영</v>
      </c>
      <c r="G26" s="118" t="str">
        <v>usal****</v>
      </c>
      <c r="H26" s="118" t="str">
        <v>010-9358-1362</v>
      </c>
      <c r="I26" s="211">
        <v>45450</v>
      </c>
      <c r="J26" s="118" t="str">
        <v>CJ대한통운</v>
      </c>
      <c r="K26" s="118" t="str">
        <v>540215391525</v>
      </c>
      <c r="L26" s="211">
        <v>0</v>
      </c>
      <c r="M26" s="118" t="str">
        <v>SE.21</v>
      </c>
      <c r="N26" s="118" t="str">
        <v>유백</v>
      </c>
      <c r="O26" s="118">
        <v>5</v>
      </c>
      <c r="P26" s="118" t="str">
        <v>더리터 경산 사동점</v>
      </c>
      <c r="Q26" s="118" t="str">
        <v>053-814-3337</v>
      </c>
      <c r="R26" s="118">
        <v>0</v>
      </c>
      <c r="S26" s="118" t="str">
        <v>경상북도 경산시 백자로 61 (사동) 106호(더리터 경산 사동점)</v>
      </c>
      <c r="T26" s="224">
        <v>0</v>
      </c>
      <c r="U26" s="224">
        <v>0</v>
      </c>
      <c r="V26" s="224">
        <v>0</v>
      </c>
      <c r="W26" s="217">
        <v>18900</v>
      </c>
      <c r="X26" s="217">
        <v>0</v>
      </c>
      <c r="Y26" s="217">
        <v>3000</v>
      </c>
      <c r="Z26" s="217">
        <v>3000</v>
      </c>
      <c r="AA26" s="217">
        <v>0</v>
      </c>
      <c r="AB26" s="217">
        <v>0</v>
      </c>
      <c r="AC26" s="217">
        <v>0</v>
      </c>
      <c r="AD26" s="118" t="str">
        <v>왕특B</v>
      </c>
      <c r="AE26" s="224">
        <v>0</v>
      </c>
      <c r="AF26" s="217">
        <v>3620</v>
      </c>
      <c r="AG26" s="217">
        <v>2310</v>
      </c>
      <c r="AH26" s="217">
        <v>21900</v>
      </c>
      <c r="AI26" s="217">
        <v>14550</v>
      </c>
      <c r="AJ26" s="217">
        <v>891</v>
      </c>
      <c r="AK26" s="217">
        <v>6459</v>
      </c>
      <c r="AL26" s="227">
        <v>0.2949</v>
      </c>
      <c r="AM26" s="224">
        <v>0</v>
      </c>
      <c r="AN26" s="118" t="str">
        <v>ptDB47</v>
      </c>
      <c r="AO26" s="229">
        <v>0</v>
      </c>
      <c r="AP26" s="217">
        <v>21900</v>
      </c>
      <c r="AQ26" s="217">
        <v>14550</v>
      </c>
      <c r="AR26" s="217">
        <v>891</v>
      </c>
      <c r="AS26" s="217">
        <v>6459</v>
      </c>
      <c r="AT26" s="227">
        <v>0.2949</v>
      </c>
      <c r="AU26" s="224" t="str">
        <v/>
      </c>
      <c r="AV26" s="229">
        <v>0</v>
      </c>
      <c r="AW26" s="118">
        <v>11550</v>
      </c>
    </row>
    <row r="27" spans="1:49">
      <c r="A27" s="118">
        <v>78</v>
      </c>
      <c r="B27" s="118" t="str">
        <v>비닐스토리</v>
      </c>
      <c r="C27" s="211">
        <v>45450</v>
      </c>
      <c r="D27" s="118" t="str">
        <v>2024060715739931</v>
      </c>
      <c r="E27" s="118" t="str">
        <v>스마트 스토어</v>
      </c>
      <c r="F27" s="118" t="str">
        <v>최동호</v>
      </c>
      <c r="G27" s="118" t="str">
        <v>hoeh****</v>
      </c>
      <c r="H27" s="118" t="str">
        <v>010-3465-3768</v>
      </c>
      <c r="I27" s="211">
        <v>45450</v>
      </c>
      <c r="J27" s="118" t="str">
        <v>CJ대한통운</v>
      </c>
      <c r="K27" s="118" t="str">
        <v>540215391433</v>
      </c>
      <c r="L27" s="211">
        <v>0</v>
      </c>
      <c r="M27" s="118" t="str">
        <v>SE.206</v>
      </c>
      <c r="N27" s="118" t="str">
        <v>투명</v>
      </c>
      <c r="O27" s="118">
        <v>1</v>
      </c>
      <c r="P27" s="118" t="str">
        <v>최동호</v>
      </c>
      <c r="Q27" s="118" t="str">
        <v>010-3465-3768</v>
      </c>
      <c r="R27" s="118">
        <v>0</v>
      </c>
      <c r="S27" s="118" t="str">
        <v>충청북도 청주시 상당구 남일면 단재로 469 (남일면) 효자촌묵집</v>
      </c>
      <c r="T27" s="224">
        <v>0</v>
      </c>
      <c r="U27" s="224">
        <v>0</v>
      </c>
      <c r="V27" s="224">
        <v>0</v>
      </c>
      <c r="W27" s="217">
        <v>28620</v>
      </c>
      <c r="X27" s="217">
        <v>3180</v>
      </c>
      <c r="Y27" s="217">
        <v>3000</v>
      </c>
      <c r="Z27" s="217">
        <v>3500</v>
      </c>
      <c r="AA27" s="217">
        <v>0</v>
      </c>
      <c r="AB27" s="217">
        <v>0</v>
      </c>
      <c r="AC27" s="217">
        <v>0</v>
      </c>
      <c r="AD27" s="118" t="str">
        <v>떡롤 45*330</v>
      </c>
      <c r="AE27" s="224">
        <v>0</v>
      </c>
      <c r="AF27" s="217">
        <v>30600</v>
      </c>
      <c r="AG27" s="217">
        <v>19800</v>
      </c>
      <c r="AH27" s="217">
        <v>31620</v>
      </c>
      <c r="AI27" s="217">
        <v>23300</v>
      </c>
      <c r="AJ27" s="217">
        <v>1278</v>
      </c>
      <c r="AK27" s="217">
        <v>7042</v>
      </c>
      <c r="AL27" s="227">
        <v>0.22270000000000001</v>
      </c>
      <c r="AM27" s="224">
        <v>0</v>
      </c>
      <c r="AN27" s="118" t="str">
        <v>ptDB47</v>
      </c>
      <c r="AO27" s="229">
        <v>0</v>
      </c>
      <c r="AP27" s="217">
        <v>31620</v>
      </c>
      <c r="AQ27" s="217">
        <v>23300</v>
      </c>
      <c r="AR27" s="217">
        <v>1278</v>
      </c>
      <c r="AS27" s="217">
        <v>7042</v>
      </c>
      <c r="AT27" s="227">
        <v>0.22270000000000001</v>
      </c>
      <c r="AU27" s="224" t="str">
        <v/>
      </c>
      <c r="AV27" s="229">
        <v>0</v>
      </c>
      <c r="AW27" s="118">
        <v>19800</v>
      </c>
    </row>
    <row r="28" spans="1:49">
      <c r="A28" s="118">
        <v>79</v>
      </c>
      <c r="B28" s="118" t="str">
        <v>비닐스토리</v>
      </c>
      <c r="C28" s="211">
        <v>45449</v>
      </c>
      <c r="D28" s="118" t="str">
        <v>2024060689730391</v>
      </c>
      <c r="E28" s="118" t="str">
        <v>스마트 스토어</v>
      </c>
      <c r="F28" s="118" t="str">
        <v>이정민</v>
      </c>
      <c r="G28" s="118" t="str">
        <v>leij****</v>
      </c>
      <c r="H28" s="118" t="str">
        <v>010-3712-4033</v>
      </c>
      <c r="I28" s="211">
        <v>45450</v>
      </c>
      <c r="J28" s="118" t="str">
        <v>CJ대한통운</v>
      </c>
      <c r="K28" s="118" t="str">
        <v>540215391746</v>
      </c>
      <c r="L28" s="211">
        <v>0</v>
      </c>
      <c r="M28" s="118" t="str">
        <v>SE.18</v>
      </c>
      <c r="N28" s="118" t="str">
        <v>청백</v>
      </c>
      <c r="O28" s="118">
        <v>4</v>
      </c>
      <c r="P28" s="118" t="str">
        <v>이정민</v>
      </c>
      <c r="Q28" s="118" t="str">
        <v>010-3712-4033</v>
      </c>
      <c r="R28" s="118">
        <v>0</v>
      </c>
      <c r="S28" s="118" t="str">
        <v>전라북도 부안군 부안읍 선돌로 208-8 (부안읍) 신흥리 741번지 두레골가든</v>
      </c>
      <c r="T28" s="224">
        <v>0</v>
      </c>
      <c r="U28" s="224">
        <v>0</v>
      </c>
      <c r="V28" s="224">
        <v>0</v>
      </c>
      <c r="W28" s="217">
        <v>8480</v>
      </c>
      <c r="X28" s="217">
        <v>0</v>
      </c>
      <c r="Y28" s="217">
        <v>3000</v>
      </c>
      <c r="Z28" s="217">
        <v>3000</v>
      </c>
      <c r="AA28" s="217">
        <v>0</v>
      </c>
      <c r="AB28" s="217">
        <v>0</v>
      </c>
      <c r="AC28" s="217">
        <v>0</v>
      </c>
      <c r="AD28" s="118" t="str">
        <v>왕대A</v>
      </c>
      <c r="AE28" s="224">
        <v>0</v>
      </c>
      <c r="AF28" s="217">
        <v>2030</v>
      </c>
      <c r="AG28" s="217">
        <v>1293</v>
      </c>
      <c r="AH28" s="217">
        <v>11480</v>
      </c>
      <c r="AI28" s="217">
        <v>8172</v>
      </c>
      <c r="AJ28" s="217">
        <v>477</v>
      </c>
      <c r="AK28" s="217">
        <v>2831</v>
      </c>
      <c r="AL28" s="227">
        <v>0.24660000000000001</v>
      </c>
      <c r="AM28" s="224">
        <v>0</v>
      </c>
      <c r="AN28" s="118" t="str">
        <v>ptDB47</v>
      </c>
      <c r="AO28" s="229">
        <v>0</v>
      </c>
      <c r="AP28" s="217">
        <v>11480</v>
      </c>
      <c r="AQ28" s="217">
        <v>8172</v>
      </c>
      <c r="AR28" s="217">
        <v>477</v>
      </c>
      <c r="AS28" s="217">
        <v>2831</v>
      </c>
      <c r="AT28" s="227">
        <v>0.24660000000000001</v>
      </c>
      <c r="AU28" s="224" t="str">
        <v/>
      </c>
      <c r="AV28" s="229">
        <v>0</v>
      </c>
      <c r="AW28" s="118">
        <v>5172</v>
      </c>
    </row>
    <row r="29" spans="1:49">
      <c r="A29" s="118">
        <v>80</v>
      </c>
      <c r="B29" s="118" t="str">
        <v>비닐스토리</v>
      </c>
      <c r="C29" s="211">
        <v>45448</v>
      </c>
      <c r="D29" s="118" t="str">
        <v>2024060556292961</v>
      </c>
      <c r="E29" s="118" t="str">
        <v>스마트 스토어</v>
      </c>
      <c r="F29" s="118" t="str">
        <v>임선화</v>
      </c>
      <c r="G29" s="118" t="str">
        <v>ssou****</v>
      </c>
      <c r="H29" s="118" t="str">
        <v>010-8991-4862</v>
      </c>
      <c r="I29" s="211">
        <v>45450</v>
      </c>
      <c r="J29" s="118" t="str">
        <v>CJ대한통운</v>
      </c>
      <c r="K29" s="118" t="str">
        <v>540215391643</v>
      </c>
      <c r="L29" s="211">
        <v>0</v>
      </c>
      <c r="M29" s="118" t="str">
        <v>SE.105</v>
      </c>
      <c r="N29" s="118" t="str">
        <v>투명</v>
      </c>
      <c r="O29" s="118">
        <v>1</v>
      </c>
      <c r="P29" s="118" t="str">
        <v>임선화</v>
      </c>
      <c r="Q29" s="118" t="str">
        <v>010-4696-2023</v>
      </c>
      <c r="R29" s="118">
        <v>0</v>
      </c>
      <c r="S29" s="118" t="str">
        <v>경상남도 양산시 동면 금오3길 12-1 (동면) 1층 상가</v>
      </c>
      <c r="T29" s="224">
        <v>0</v>
      </c>
      <c r="U29" s="224">
        <v>0</v>
      </c>
      <c r="V29" s="224">
        <v>0</v>
      </c>
      <c r="W29" s="217">
        <v>2780</v>
      </c>
      <c r="X29" s="217">
        <v>0</v>
      </c>
      <c r="Y29" s="217">
        <v>3000</v>
      </c>
      <c r="Z29" s="217">
        <v>3000</v>
      </c>
      <c r="AA29" s="217">
        <v>0</v>
      </c>
      <c r="AB29" s="217">
        <v>0</v>
      </c>
      <c r="AC29" s="217">
        <v>0</v>
      </c>
      <c r="AD29" s="118" t="str">
        <v>소폭 20*38</v>
      </c>
      <c r="AE29" s="224">
        <v>0</v>
      </c>
      <c r="AF29" s="217">
        <v>2550</v>
      </c>
      <c r="AG29" s="217">
        <v>1650</v>
      </c>
      <c r="AH29" s="217">
        <v>5780</v>
      </c>
      <c r="AI29" s="217">
        <v>4650</v>
      </c>
      <c r="AJ29" s="217">
        <v>250</v>
      </c>
      <c r="AK29" s="217">
        <v>-2120</v>
      </c>
      <c r="AL29" s="227">
        <v>-0.36680000000000001</v>
      </c>
      <c r="AM29" s="224">
        <v>0</v>
      </c>
      <c r="AN29" s="118" t="str">
        <v>ptDB47</v>
      </c>
      <c r="AO29" s="229">
        <v>0</v>
      </c>
      <c r="AP29" s="217">
        <v>5780</v>
      </c>
      <c r="AQ29" s="217">
        <v>4650</v>
      </c>
      <c r="AR29" s="217">
        <v>250</v>
      </c>
      <c r="AS29" s="217">
        <v>880</v>
      </c>
      <c r="AT29" s="227">
        <v>0.1522</v>
      </c>
      <c r="AU29" s="224" t="str">
        <v>Check</v>
      </c>
      <c r="AV29" s="229">
        <v>0</v>
      </c>
      <c r="AW29" s="118">
        <v>1650</v>
      </c>
    </row>
    <row r="30" spans="1:49">
      <c r="A30" s="118">
        <v>81</v>
      </c>
      <c r="B30" s="118" t="str">
        <v>비닐스토리</v>
      </c>
      <c r="C30" s="211">
        <v>45448</v>
      </c>
      <c r="D30" s="118" t="str">
        <v>2024060556292951</v>
      </c>
      <c r="E30" s="118" t="str">
        <v>스마트 스토어</v>
      </c>
      <c r="F30" s="118" t="str">
        <v>임선화</v>
      </c>
      <c r="G30" s="118" t="str">
        <v>ssou****</v>
      </c>
      <c r="H30" s="118" t="str">
        <v>010-8991-4862</v>
      </c>
      <c r="I30" s="211">
        <v>45450</v>
      </c>
      <c r="J30" s="118" t="str">
        <v>CJ대한통운</v>
      </c>
      <c r="K30" s="118" t="str">
        <v>540215391643</v>
      </c>
      <c r="L30" s="211">
        <v>0</v>
      </c>
      <c r="M30" s="118" t="str">
        <v>SE.107</v>
      </c>
      <c r="N30" s="118" t="str">
        <v>투명</v>
      </c>
      <c r="O30" s="118">
        <v>1</v>
      </c>
      <c r="P30" s="118" t="str">
        <v>임선화</v>
      </c>
      <c r="Q30" s="118" t="str">
        <v>010-4696-2023</v>
      </c>
      <c r="R30" s="118">
        <v>0</v>
      </c>
      <c r="S30" s="118" t="str">
        <v>경상남도 양산시 동면 금오3길 12-1 (동면) 1층 상가</v>
      </c>
      <c r="T30" s="224">
        <v>0</v>
      </c>
      <c r="U30" s="224">
        <v>0</v>
      </c>
      <c r="V30" s="224">
        <v>0</v>
      </c>
      <c r="W30" s="217">
        <v>3330</v>
      </c>
      <c r="X30" s="217">
        <v>0</v>
      </c>
      <c r="Y30" s="217">
        <v>0</v>
      </c>
      <c r="Z30" s="217">
        <v>0</v>
      </c>
      <c r="AA30" s="217">
        <v>0</v>
      </c>
      <c r="AB30" s="217">
        <v>0</v>
      </c>
      <c r="AC30" s="217">
        <v>0</v>
      </c>
      <c r="AD30" s="118" t="str">
        <v>소폭 30*51</v>
      </c>
      <c r="AE30" s="224" t="str">
        <v>재구매</v>
      </c>
      <c r="AF30" s="217">
        <v>3340</v>
      </c>
      <c r="AG30" s="217">
        <v>2156</v>
      </c>
      <c r="AH30" s="217">
        <v>3330</v>
      </c>
      <c r="AI30" s="217">
        <v>2156</v>
      </c>
      <c r="AJ30" s="217">
        <v>213</v>
      </c>
      <c r="AK30" s="217">
        <v>961</v>
      </c>
      <c r="AL30" s="227">
        <v>0.28860000000000002</v>
      </c>
      <c r="AM30" s="224">
        <v>0</v>
      </c>
      <c r="AN30" s="118" t="str">
        <v>ptDB47</v>
      </c>
      <c r="AO30" s="229">
        <v>0</v>
      </c>
      <c r="AP30" s="217">
        <v>3330</v>
      </c>
      <c r="AQ30" s="217">
        <v>2156</v>
      </c>
      <c r="AR30" s="217">
        <v>213</v>
      </c>
      <c r="AS30" s="217">
        <v>961</v>
      </c>
      <c r="AT30" s="227">
        <v>0.28860000000000002</v>
      </c>
      <c r="AU30" s="224" t="str">
        <v/>
      </c>
      <c r="AV30" s="229">
        <v>0</v>
      </c>
      <c r="AW30" s="118">
        <v>2156</v>
      </c>
    </row>
    <row r="31" spans="1:49">
      <c r="A31" s="118">
        <v>82</v>
      </c>
      <c r="B31" s="118" t="str">
        <v>비닐스토리</v>
      </c>
      <c r="C31" s="211">
        <v>45448</v>
      </c>
      <c r="D31" s="118" t="str">
        <v>2024060556292941</v>
      </c>
      <c r="E31" s="118" t="str">
        <v>스마트 스토어</v>
      </c>
      <c r="F31" s="118" t="str">
        <v>임선화</v>
      </c>
      <c r="G31" s="118" t="str">
        <v>ssou****</v>
      </c>
      <c r="H31" s="118" t="str">
        <v>010-8991-4862</v>
      </c>
      <c r="I31" s="211">
        <v>45450</v>
      </c>
      <c r="J31" s="118" t="str">
        <v>CJ대한통운</v>
      </c>
      <c r="K31" s="118" t="str">
        <v>540215391643</v>
      </c>
      <c r="L31" s="211">
        <v>0</v>
      </c>
      <c r="M31" s="118" t="str">
        <v>SE.108</v>
      </c>
      <c r="N31" s="118" t="str">
        <v>투명</v>
      </c>
      <c r="O31" s="118">
        <v>1</v>
      </c>
      <c r="P31" s="118" t="str">
        <v>임선화</v>
      </c>
      <c r="Q31" s="118" t="str">
        <v>010-4696-2023</v>
      </c>
      <c r="R31" s="118">
        <v>0</v>
      </c>
      <c r="S31" s="118" t="str">
        <v>경상남도 양산시 동면 금오3길 12-1 (동면) 1층 상가</v>
      </c>
      <c r="T31" s="224">
        <v>0</v>
      </c>
      <c r="U31" s="224">
        <v>0</v>
      </c>
      <c r="V31" s="224">
        <v>0</v>
      </c>
      <c r="W31" s="217">
        <v>1640</v>
      </c>
      <c r="X31" s="217">
        <v>0</v>
      </c>
      <c r="Y31" s="217">
        <v>0</v>
      </c>
      <c r="Z31" s="217">
        <v>0</v>
      </c>
      <c r="AA31" s="217">
        <v>0</v>
      </c>
      <c r="AB31" s="217">
        <v>0</v>
      </c>
      <c r="AC31" s="217">
        <v>0</v>
      </c>
      <c r="AD31" s="118" t="str">
        <v>고추 45*75</v>
      </c>
      <c r="AE31" s="224" t="str">
        <v>재구매</v>
      </c>
      <c r="AF31" s="217">
        <v>1110</v>
      </c>
      <c r="AG31" s="217">
        <v>715</v>
      </c>
      <c r="AH31" s="217">
        <v>1640</v>
      </c>
      <c r="AI31" s="217">
        <v>715</v>
      </c>
      <c r="AJ31" s="217">
        <v>145</v>
      </c>
      <c r="AK31" s="217">
        <v>780</v>
      </c>
      <c r="AL31" s="227">
        <v>0.47560000000000002</v>
      </c>
      <c r="AM31" s="224">
        <v>0</v>
      </c>
      <c r="AN31" s="118" t="str">
        <v>ptDB47</v>
      </c>
      <c r="AO31" s="229">
        <v>0</v>
      </c>
      <c r="AP31" s="217">
        <v>1640</v>
      </c>
      <c r="AQ31" s="217">
        <v>715</v>
      </c>
      <c r="AR31" s="217">
        <v>145</v>
      </c>
      <c r="AS31" s="217">
        <v>780</v>
      </c>
      <c r="AT31" s="227">
        <v>0.47560000000000002</v>
      </c>
      <c r="AU31" s="224" t="str">
        <v/>
      </c>
      <c r="AV31" s="229">
        <v>0</v>
      </c>
      <c r="AW31" s="118">
        <v>715</v>
      </c>
    </row>
    <row r="32" spans="1:49">
      <c r="A32" s="118">
        <v>83</v>
      </c>
      <c r="B32" s="118" t="str">
        <v>비닐스토리</v>
      </c>
      <c r="C32" s="211">
        <v>45448</v>
      </c>
      <c r="D32" s="118" t="str">
        <v>2024060556292931</v>
      </c>
      <c r="E32" s="118" t="str">
        <v>스마트 스토어</v>
      </c>
      <c r="F32" s="118" t="str">
        <v>임선화</v>
      </c>
      <c r="G32" s="118" t="str">
        <v>ssou****</v>
      </c>
      <c r="H32" s="118" t="str">
        <v>010-8991-4862</v>
      </c>
      <c r="I32" s="211">
        <v>45450</v>
      </c>
      <c r="J32" s="118" t="str">
        <v>CJ대한통운</v>
      </c>
      <c r="K32" s="118" t="str">
        <v>540215391643</v>
      </c>
      <c r="L32" s="211">
        <v>0</v>
      </c>
      <c r="M32" s="118" t="str">
        <v>SE.103</v>
      </c>
      <c r="N32" s="118" t="str">
        <v>투명</v>
      </c>
      <c r="O32" s="118">
        <v>1</v>
      </c>
      <c r="P32" s="118" t="str">
        <v>임선화</v>
      </c>
      <c r="Q32" s="118" t="str">
        <v>010-4696-2023</v>
      </c>
      <c r="R32" s="118">
        <v>0</v>
      </c>
      <c r="S32" s="118" t="str">
        <v>경상남도 양산시 동면 금오3길 12-1 (동면) 1층 상가</v>
      </c>
      <c r="T32" s="224">
        <v>0</v>
      </c>
      <c r="U32" s="224">
        <v>0</v>
      </c>
      <c r="V32" s="224">
        <v>0</v>
      </c>
      <c r="W32" s="217">
        <v>1800</v>
      </c>
      <c r="X32" s="217">
        <v>0</v>
      </c>
      <c r="Y32" s="217">
        <v>0</v>
      </c>
      <c r="Z32" s="217">
        <v>0</v>
      </c>
      <c r="AA32" s="217">
        <v>0</v>
      </c>
      <c r="AB32" s="217">
        <v>0</v>
      </c>
      <c r="AC32" s="217">
        <v>0</v>
      </c>
      <c r="AD32" s="118" t="str">
        <v>소폭 15*32</v>
      </c>
      <c r="AE32" s="224" t="str">
        <v>재구매</v>
      </c>
      <c r="AF32" s="217">
        <v>1700</v>
      </c>
      <c r="AG32" s="217">
        <v>1100</v>
      </c>
      <c r="AH32" s="217">
        <v>1800</v>
      </c>
      <c r="AI32" s="217">
        <v>1100</v>
      </c>
      <c r="AJ32" s="217">
        <v>152</v>
      </c>
      <c r="AK32" s="217">
        <v>3548</v>
      </c>
      <c r="AL32" s="227">
        <v>1.9711000000000001</v>
      </c>
      <c r="AM32" s="224">
        <v>0</v>
      </c>
      <c r="AN32" s="118" t="str">
        <v>ptDB47</v>
      </c>
      <c r="AO32" s="229">
        <v>0</v>
      </c>
      <c r="AP32" s="217">
        <v>1800</v>
      </c>
      <c r="AQ32" s="217">
        <v>1100</v>
      </c>
      <c r="AR32" s="217">
        <v>152</v>
      </c>
      <c r="AS32" s="217">
        <v>548</v>
      </c>
      <c r="AT32" s="227">
        <v>0.3044</v>
      </c>
      <c r="AU32" s="224" t="str">
        <v>Check</v>
      </c>
      <c r="AV32" s="229">
        <v>0</v>
      </c>
      <c r="AW32" s="118">
        <v>1100</v>
      </c>
    </row>
    <row r="33" spans="1:49">
      <c r="A33" s="118">
        <v>86</v>
      </c>
      <c r="B33" s="118" t="str">
        <v>비닐스토리</v>
      </c>
      <c r="C33" s="211">
        <v>45448</v>
      </c>
      <c r="D33" s="118" t="str">
        <v>25100051580368</v>
      </c>
      <c r="E33" s="118" t="str">
        <v>쿠팡</v>
      </c>
      <c r="F33" s="118" t="str">
        <v>권유진</v>
      </c>
      <c r="G33" s="118" t="str">
        <v>lo*****@ho</v>
      </c>
      <c r="H33" s="118" t="str">
        <v>0502-1654-1737</v>
      </c>
      <c r="I33" s="211">
        <v>45450</v>
      </c>
      <c r="J33" s="118" t="str">
        <v>CJ대한통운</v>
      </c>
      <c r="K33" s="118" t="str">
        <v>540215391470</v>
      </c>
      <c r="L33" s="211">
        <v>0</v>
      </c>
      <c r="M33" s="118" t="str">
        <v>SE.206</v>
      </c>
      <c r="N33" s="118" t="str">
        <v>투명</v>
      </c>
      <c r="O33" s="118">
        <v>1</v>
      </c>
      <c r="P33" s="118" t="str">
        <v>다다하다장산점</v>
      </c>
      <c r="Q33" s="118" t="str">
        <v>0502-1654-1737</v>
      </c>
      <c r="R33" s="118">
        <v>0</v>
      </c>
      <c r="S33" s="118" t="str">
        <v>부산광역시 해운대구 좌동로 105 1층 ( 좌동 )</v>
      </c>
      <c r="T33" s="224" t="str">
        <v>매장안에 부탁드립니다</v>
      </c>
      <c r="U33" s="224">
        <v>0</v>
      </c>
      <c r="V33" s="224">
        <v>0</v>
      </c>
      <c r="W33" s="217">
        <v>34020</v>
      </c>
      <c r="X33" s="217">
        <v>0</v>
      </c>
      <c r="Y33" s="217">
        <v>3000</v>
      </c>
      <c r="Z33" s="217">
        <v>3500</v>
      </c>
      <c r="AA33" s="217">
        <v>0</v>
      </c>
      <c r="AB33" s="217">
        <v>0</v>
      </c>
      <c r="AC33" s="217">
        <v>0</v>
      </c>
      <c r="AD33" s="118" t="str">
        <v>떡롤 45*330</v>
      </c>
      <c r="AE33" s="224">
        <v>0</v>
      </c>
      <c r="AF33" s="217">
        <v>32130</v>
      </c>
      <c r="AG33" s="217">
        <v>19800</v>
      </c>
      <c r="AH33" s="217">
        <v>37020</v>
      </c>
      <c r="AI33" s="217">
        <v>23300</v>
      </c>
      <c r="AJ33" s="217">
        <v>4141</v>
      </c>
      <c r="AK33" s="217">
        <v>9579</v>
      </c>
      <c r="AL33" s="227">
        <v>0.25879999999999997</v>
      </c>
      <c r="AM33" s="224">
        <v>0</v>
      </c>
      <c r="AN33" s="118" t="str">
        <v>ptDB47</v>
      </c>
      <c r="AO33" s="229">
        <v>0</v>
      </c>
      <c r="AP33" s="217">
        <v>37020</v>
      </c>
      <c r="AQ33" s="217">
        <v>23300</v>
      </c>
      <c r="AR33" s="217">
        <v>4141</v>
      </c>
      <c r="AS33" s="217">
        <v>9579</v>
      </c>
      <c r="AT33" s="227">
        <v>0.25879999999999997</v>
      </c>
      <c r="AU33" s="224" t="str">
        <v/>
      </c>
      <c r="AV33" s="229">
        <v>0</v>
      </c>
      <c r="AW33" s="118">
        <v>19800</v>
      </c>
    </row>
    <row r="34" spans="1:49">
      <c r="A34" s="118">
        <v>87</v>
      </c>
      <c r="B34" s="118" t="str">
        <v>비닐스토리</v>
      </c>
      <c r="C34" s="211">
        <v>45448</v>
      </c>
      <c r="D34" s="118" t="str">
        <v>21100051630553</v>
      </c>
      <c r="E34" s="118" t="str">
        <v>쿠팡</v>
      </c>
      <c r="F34" s="118" t="str">
        <v>임무열</v>
      </c>
      <c r="G34" s="118" t="str">
        <v>gg*****@na</v>
      </c>
      <c r="H34" s="118" t="str">
        <v>0502-1744-6419</v>
      </c>
      <c r="I34" s="211">
        <v>45450</v>
      </c>
      <c r="J34" s="118" t="str">
        <v>CJ대한통운</v>
      </c>
      <c r="K34" s="118" t="str">
        <v>540215391632</v>
      </c>
      <c r="L34" s="211">
        <v>0</v>
      </c>
      <c r="M34" s="118" t="str">
        <v>SE.305</v>
      </c>
      <c r="N34" s="118" t="str">
        <v>투명</v>
      </c>
      <c r="O34" s="118">
        <v>2</v>
      </c>
      <c r="P34" s="118" t="str">
        <v>임무열</v>
      </c>
      <c r="Q34" s="118" t="str">
        <v>0502-1744-6419</v>
      </c>
      <c r="R34" s="118">
        <v>0</v>
      </c>
      <c r="S34" s="118" t="str">
        <v>경상북도 영천시 시장로 47-2 조은밥상 ( 완산동 )</v>
      </c>
      <c r="T34" s="224" t="str">
        <v>문 앞</v>
      </c>
      <c r="U34" s="224">
        <v>0</v>
      </c>
      <c r="V34" s="224">
        <v>0</v>
      </c>
      <c r="W34" s="217">
        <v>43480</v>
      </c>
      <c r="X34" s="217">
        <v>0</v>
      </c>
      <c r="Y34" s="217">
        <v>0</v>
      </c>
      <c r="Z34" s="217">
        <v>3500</v>
      </c>
      <c r="AA34" s="217">
        <v>0</v>
      </c>
      <c r="AB34" s="217">
        <v>0</v>
      </c>
      <c r="AC34" s="217">
        <v>0</v>
      </c>
      <c r="AD34" s="118" t="str">
        <v>떡외겹 39*40</v>
      </c>
      <c r="AE34" s="224">
        <v>0</v>
      </c>
      <c r="AF34" s="217">
        <v>20530</v>
      </c>
      <c r="AG34" s="217">
        <v>12650</v>
      </c>
      <c r="AH34" s="217">
        <v>43480</v>
      </c>
      <c r="AI34" s="217">
        <v>28800</v>
      </c>
      <c r="AJ34" s="217">
        <v>5165</v>
      </c>
      <c r="AK34" s="217">
        <v>9515</v>
      </c>
      <c r="AL34" s="227">
        <v>0.21879999999999999</v>
      </c>
      <c r="AM34" s="224">
        <v>0</v>
      </c>
      <c r="AN34" s="118" t="str">
        <v>ptDB47</v>
      </c>
      <c r="AO34" s="229">
        <v>0</v>
      </c>
      <c r="AP34" s="217">
        <v>43480</v>
      </c>
      <c r="AQ34" s="217">
        <v>28800</v>
      </c>
      <c r="AR34" s="217">
        <v>5165</v>
      </c>
      <c r="AS34" s="217">
        <v>9515</v>
      </c>
      <c r="AT34" s="227">
        <v>0.21879999999999999</v>
      </c>
      <c r="AU34" s="224" t="str">
        <v/>
      </c>
      <c r="AV34" s="229">
        <v>0</v>
      </c>
      <c r="AW34" s="118">
        <v>25300</v>
      </c>
    </row>
    <row r="35" spans="1:49">
      <c r="A35" s="118">
        <v>90</v>
      </c>
      <c r="B35" s="118" t="str">
        <v>비닐스토리</v>
      </c>
      <c r="C35" s="211">
        <v>45450</v>
      </c>
      <c r="D35" s="118" t="str">
        <v>16100052233808</v>
      </c>
      <c r="E35" s="118" t="str">
        <v>쿠팡</v>
      </c>
      <c r="F35" s="118" t="str">
        <v>박명미란</v>
      </c>
      <c r="G35" s="118" t="str">
        <v>to*****@ha</v>
      </c>
      <c r="H35" s="118" t="str">
        <v>0502-1675-6673</v>
      </c>
      <c r="I35" s="211">
        <v>45453</v>
      </c>
      <c r="J35" s="118" t="str">
        <v>CJ대한통운</v>
      </c>
      <c r="K35" s="118" t="str">
        <v>540216967170</v>
      </c>
      <c r="L35" s="211">
        <v>0</v>
      </c>
      <c r="M35" s="118" t="str">
        <v>SE.204</v>
      </c>
      <c r="N35" s="118" t="str">
        <v>투명</v>
      </c>
      <c r="O35" s="118">
        <v>1</v>
      </c>
      <c r="P35" s="118" t="str">
        <v>박명미란</v>
      </c>
      <c r="Q35" s="118" t="str">
        <v>0502-1675-6673</v>
      </c>
      <c r="R35" s="118">
        <v>0</v>
      </c>
      <c r="S35" s="118" t="str">
        <v>전라남도 나주시 다시면 문동리 770 지엘</v>
      </c>
      <c r="T35" s="224" t="str">
        <v>지엘 창고 안에 넣어주세요.</v>
      </c>
      <c r="U35" s="224">
        <v>0</v>
      </c>
      <c r="V35" s="224">
        <v>0</v>
      </c>
      <c r="W35" s="217">
        <v>24570</v>
      </c>
      <c r="X35" s="217">
        <v>0</v>
      </c>
      <c r="Y35" s="217">
        <v>0</v>
      </c>
      <c r="Z35" s="217">
        <v>4400</v>
      </c>
      <c r="AA35" s="217">
        <v>0</v>
      </c>
      <c r="AB35" s="217">
        <v>0</v>
      </c>
      <c r="AC35" s="217">
        <v>0</v>
      </c>
      <c r="AD35" s="118" t="str">
        <v>떡롤 30*400</v>
      </c>
      <c r="AE35" s="224">
        <v>0</v>
      </c>
      <c r="AF35" s="217">
        <v>23210</v>
      </c>
      <c r="AG35" s="217">
        <v>14300</v>
      </c>
      <c r="AH35" s="217">
        <v>24570</v>
      </c>
      <c r="AI35" s="217">
        <v>18700</v>
      </c>
      <c r="AJ35" s="217">
        <v>2919</v>
      </c>
      <c r="AK35" s="217">
        <v>2951</v>
      </c>
      <c r="AL35" s="227">
        <v>0.1201</v>
      </c>
      <c r="AM35" s="224">
        <v>0</v>
      </c>
      <c r="AN35" s="118" t="str">
        <v>ptDB47</v>
      </c>
      <c r="AO35" s="229">
        <v>0</v>
      </c>
      <c r="AP35" s="217">
        <v>24570</v>
      </c>
      <c r="AQ35" s="217">
        <v>18700</v>
      </c>
      <c r="AR35" s="217">
        <v>2919</v>
      </c>
      <c r="AS35" s="217">
        <v>2951</v>
      </c>
      <c r="AT35" s="227">
        <v>0.1201</v>
      </c>
      <c r="AU35" s="224" t="str">
        <v/>
      </c>
      <c r="AV35" s="229">
        <v>0</v>
      </c>
      <c r="AW35" s="118">
        <v>14300</v>
      </c>
    </row>
    <row r="36" spans="1:49">
      <c r="A36" s="118">
        <v>91</v>
      </c>
      <c r="B36" s="118" t="str">
        <v>비닐스토리</v>
      </c>
      <c r="C36" s="211">
        <v>45450</v>
      </c>
      <c r="D36" s="118" t="str">
        <v>16100052233808</v>
      </c>
      <c r="E36" s="118" t="str">
        <v>쿠팡</v>
      </c>
      <c r="F36" s="118" t="str">
        <v>박명미란</v>
      </c>
      <c r="G36" s="118" t="str">
        <v>to*****@ha</v>
      </c>
      <c r="H36" s="118" t="str">
        <v>0502-1675-6673</v>
      </c>
      <c r="I36" s="211">
        <v>45453</v>
      </c>
      <c r="J36" s="118" t="str">
        <v>CJ대한통운</v>
      </c>
      <c r="K36" s="118" t="str">
        <v>540216967170</v>
      </c>
      <c r="L36" s="211">
        <v>0</v>
      </c>
      <c r="M36" s="118" t="str">
        <v>SE.205</v>
      </c>
      <c r="N36" s="118" t="str">
        <v>투명</v>
      </c>
      <c r="O36" s="118">
        <v>1</v>
      </c>
      <c r="P36" s="118" t="str">
        <v>박명미란</v>
      </c>
      <c r="Q36" s="118" t="str">
        <v>0502-1675-6673</v>
      </c>
      <c r="R36" s="118">
        <v>0</v>
      </c>
      <c r="S36" s="118" t="str">
        <v>전라남도 나주시 다시면 문동리 770 지엘</v>
      </c>
      <c r="T36" s="224" t="str">
        <v>지엘 창고 안에 넣어주세요.</v>
      </c>
      <c r="U36" s="224">
        <v>0</v>
      </c>
      <c r="V36" s="224">
        <v>0</v>
      </c>
      <c r="W36" s="217">
        <v>28350</v>
      </c>
      <c r="X36" s="217">
        <v>0</v>
      </c>
      <c r="Y36" s="217">
        <v>0</v>
      </c>
      <c r="Z36" s="217">
        <v>0</v>
      </c>
      <c r="AA36" s="217">
        <v>0</v>
      </c>
      <c r="AB36" s="217">
        <v>0</v>
      </c>
      <c r="AC36" s="217">
        <v>0</v>
      </c>
      <c r="AD36" s="118" t="str">
        <v>떡롤 35*400</v>
      </c>
      <c r="AE36" s="224" t="str">
        <v>재구매</v>
      </c>
      <c r="AF36" s="217">
        <v>26780</v>
      </c>
      <c r="AG36" s="217">
        <v>16500</v>
      </c>
      <c r="AH36" s="217">
        <v>28350</v>
      </c>
      <c r="AI36" s="217">
        <v>16500</v>
      </c>
      <c r="AJ36" s="217">
        <v>3368</v>
      </c>
      <c r="AK36" s="217">
        <v>8482</v>
      </c>
      <c r="AL36" s="227">
        <v>0.29920000000000002</v>
      </c>
      <c r="AM36" s="224">
        <v>0</v>
      </c>
      <c r="AN36" s="118" t="str">
        <v>ptDB47</v>
      </c>
      <c r="AO36" s="229">
        <v>0</v>
      </c>
      <c r="AP36" s="217">
        <v>28350</v>
      </c>
      <c r="AQ36" s="217">
        <v>16500</v>
      </c>
      <c r="AR36" s="217">
        <v>3368</v>
      </c>
      <c r="AS36" s="217">
        <v>8482</v>
      </c>
      <c r="AT36" s="227">
        <v>0.29920000000000002</v>
      </c>
      <c r="AU36" s="224" t="str">
        <v/>
      </c>
      <c r="AV36" s="229">
        <v>0</v>
      </c>
      <c r="AW36" s="118">
        <v>16500</v>
      </c>
    </row>
    <row r="37" spans="1:49">
      <c r="A37" s="118">
        <v>92</v>
      </c>
      <c r="B37" s="118" t="str">
        <v>비닐스토리</v>
      </c>
      <c r="C37" s="211">
        <v>45450</v>
      </c>
      <c r="D37" s="118" t="str">
        <v>16100052244396</v>
      </c>
      <c r="E37" s="118" t="str">
        <v>쿠팡</v>
      </c>
      <c r="F37" s="118" t="str">
        <v>류용재</v>
      </c>
      <c r="G37" s="118" t="str">
        <v>ry*****@ha</v>
      </c>
      <c r="H37" s="118" t="str">
        <v>0502-1241-0308</v>
      </c>
      <c r="I37" s="211">
        <v>45453</v>
      </c>
      <c r="J37" s="118" t="str">
        <v>CJ대한통운</v>
      </c>
      <c r="K37" s="118" t="str">
        <v>540216957786</v>
      </c>
      <c r="L37" s="211">
        <v>0</v>
      </c>
      <c r="M37" s="118" t="str">
        <v>SE.206</v>
      </c>
      <c r="N37" s="118" t="str">
        <v>투명</v>
      </c>
      <c r="O37" s="118">
        <v>1</v>
      </c>
      <c r="P37" s="118" t="str">
        <v>류용재</v>
      </c>
      <c r="Q37" s="118" t="str">
        <v>0502-1241-0308</v>
      </c>
      <c r="R37" s="118">
        <v>0</v>
      </c>
      <c r="S37" s="118" t="str">
        <v>경상북도 구미시 수출대로21길 4 107호 동구미떡집 ( 황상동, 신화오페라하우스 )</v>
      </c>
      <c r="T37" s="224" t="str">
        <v>직접 받고 부재 시 문 앞</v>
      </c>
      <c r="U37" s="224">
        <v>0</v>
      </c>
      <c r="V37" s="224">
        <v>0</v>
      </c>
      <c r="W37" s="217">
        <v>34020</v>
      </c>
      <c r="X37" s="217">
        <v>0</v>
      </c>
      <c r="Y37" s="217">
        <v>3000</v>
      </c>
      <c r="Z37" s="217">
        <v>3500</v>
      </c>
      <c r="AA37" s="217">
        <v>0</v>
      </c>
      <c r="AB37" s="217">
        <v>0</v>
      </c>
      <c r="AC37" s="217">
        <v>0</v>
      </c>
      <c r="AD37" s="118" t="str">
        <v>떡롤 45*330</v>
      </c>
      <c r="AE37" s="224">
        <v>0</v>
      </c>
      <c r="AF37" s="217">
        <v>32130</v>
      </c>
      <c r="AG37" s="217">
        <v>19800</v>
      </c>
      <c r="AH37" s="217">
        <v>37020</v>
      </c>
      <c r="AI37" s="217">
        <v>23300</v>
      </c>
      <c r="AJ37" s="217">
        <v>4141</v>
      </c>
      <c r="AK37" s="217">
        <v>9579</v>
      </c>
      <c r="AL37" s="227">
        <v>0.25879999999999997</v>
      </c>
      <c r="AM37" s="224">
        <v>0</v>
      </c>
      <c r="AN37" s="118" t="str">
        <v>ptDB47</v>
      </c>
      <c r="AO37" s="229">
        <v>0</v>
      </c>
      <c r="AP37" s="217">
        <v>37020</v>
      </c>
      <c r="AQ37" s="217">
        <v>23300</v>
      </c>
      <c r="AR37" s="217">
        <v>4141</v>
      </c>
      <c r="AS37" s="217">
        <v>9579</v>
      </c>
      <c r="AT37" s="227">
        <v>0.25879999999999997</v>
      </c>
      <c r="AU37" s="224" t="str">
        <v/>
      </c>
      <c r="AV37" s="229">
        <v>0</v>
      </c>
      <c r="AW37" s="118">
        <v>19800</v>
      </c>
    </row>
    <row r="38" spans="1:49">
      <c r="A38" s="118">
        <v>93</v>
      </c>
      <c r="B38" s="118" t="str">
        <v>비닐스토리</v>
      </c>
      <c r="C38" s="211">
        <v>45450</v>
      </c>
      <c r="D38" s="118" t="str">
        <v>8100051985118</v>
      </c>
      <c r="E38" s="118" t="str">
        <v>쿠팡</v>
      </c>
      <c r="F38" s="118" t="str">
        <v>권보민</v>
      </c>
      <c r="G38" s="118" t="str">
        <v>sk*****@na</v>
      </c>
      <c r="H38" s="118" t="str">
        <v>0502-1253-6938</v>
      </c>
      <c r="I38" s="211">
        <v>45453</v>
      </c>
      <c r="J38" s="118" t="str">
        <v>CJ대한통운</v>
      </c>
      <c r="K38" s="118" t="str">
        <v>530217935675</v>
      </c>
      <c r="L38" s="211">
        <v>0</v>
      </c>
      <c r="M38" s="118" t="str">
        <v>SE.307</v>
      </c>
      <c r="N38" s="118" t="str">
        <v>투명</v>
      </c>
      <c r="O38" s="118">
        <v>1</v>
      </c>
      <c r="P38" s="118" t="str">
        <v>해피앤댕</v>
      </c>
      <c r="Q38" s="118" t="str">
        <v>0502-1253-6938</v>
      </c>
      <c r="R38" s="118">
        <v>0</v>
      </c>
      <c r="S38" s="118" t="str">
        <v>충청북도 청주시 청원구 율봉로116번길 24 102호 해피앤댕 ( 율량동 )</v>
      </c>
      <c r="T38" s="224" t="str">
        <v>문 앞</v>
      </c>
      <c r="U38" s="224">
        <v>0</v>
      </c>
      <c r="V38" s="224">
        <v>0</v>
      </c>
      <c r="W38" s="217">
        <v>12470</v>
      </c>
      <c r="X38" s="217">
        <v>0</v>
      </c>
      <c r="Y38" s="217">
        <v>3000</v>
      </c>
      <c r="Z38" s="217">
        <v>3000</v>
      </c>
      <c r="AA38" s="217">
        <v>0</v>
      </c>
      <c r="AB38" s="217">
        <v>0</v>
      </c>
      <c r="AC38" s="217">
        <v>0</v>
      </c>
      <c r="AD38" s="118" t="str">
        <v>떡외겹 30*30</v>
      </c>
      <c r="AE38" s="224">
        <v>0</v>
      </c>
      <c r="AF38" s="217">
        <v>11780</v>
      </c>
      <c r="AG38" s="217">
        <v>7260</v>
      </c>
      <c r="AH38" s="217">
        <v>15470</v>
      </c>
      <c r="AI38" s="217">
        <v>10260</v>
      </c>
      <c r="AJ38" s="217">
        <v>1580</v>
      </c>
      <c r="AK38" s="217">
        <v>3630</v>
      </c>
      <c r="AL38" s="227">
        <v>0.2346</v>
      </c>
      <c r="AM38" s="224">
        <v>0</v>
      </c>
      <c r="AN38" s="118" t="str">
        <v>ptDB47</v>
      </c>
      <c r="AO38" s="229">
        <v>0</v>
      </c>
      <c r="AP38" s="217">
        <v>15470</v>
      </c>
      <c r="AQ38" s="217">
        <v>10260</v>
      </c>
      <c r="AR38" s="217">
        <v>1580</v>
      </c>
      <c r="AS38" s="217">
        <v>3630</v>
      </c>
      <c r="AT38" s="227">
        <v>0.2346</v>
      </c>
      <c r="AU38" s="224" t="str">
        <v/>
      </c>
      <c r="AV38" s="229">
        <v>0</v>
      </c>
      <c r="AW38" s="118">
        <v>7260</v>
      </c>
    </row>
    <row r="39" spans="1:49">
      <c r="A39" s="118">
        <v>94</v>
      </c>
      <c r="B39" s="118" t="str">
        <v>비닐스토리</v>
      </c>
      <c r="C39" s="211">
        <v>45451</v>
      </c>
      <c r="D39" s="118" t="str">
        <v>3100052051031</v>
      </c>
      <c r="E39" s="118" t="str">
        <v>쿠팡</v>
      </c>
      <c r="F39" s="118" t="str">
        <v>김유리</v>
      </c>
      <c r="G39" s="118" t="str">
        <v>ky*****@na</v>
      </c>
      <c r="H39" s="118" t="str">
        <v>0502-1492-5252</v>
      </c>
      <c r="I39" s="211">
        <v>45453</v>
      </c>
      <c r="J39" s="118" t="str">
        <v>CJ대한통운</v>
      </c>
      <c r="K39" s="118" t="str">
        <v>540216957602</v>
      </c>
      <c r="L39" s="211">
        <v>0</v>
      </c>
      <c r="M39" s="118" t="str">
        <v>SE.102</v>
      </c>
      <c r="N39" s="118" t="str">
        <v>투명</v>
      </c>
      <c r="O39" s="118">
        <v>1</v>
      </c>
      <c r="P39" s="118" t="str">
        <v>부평집</v>
      </c>
      <c r="Q39" s="118" t="str">
        <v>0502-1492-5252</v>
      </c>
      <c r="R39" s="118">
        <v>0</v>
      </c>
      <c r="S39" s="118" t="str">
        <v>인천광역시 부평구 길주남로10번길 21 105동 1803호 ( 부평동, 래미안부평 )</v>
      </c>
      <c r="T39" s="224" t="str">
        <v>문 앞</v>
      </c>
      <c r="U39" s="224">
        <v>0</v>
      </c>
      <c r="V39" s="224">
        <v>0</v>
      </c>
      <c r="W39" s="217">
        <v>1150</v>
      </c>
      <c r="X39" s="217">
        <v>0</v>
      </c>
      <c r="Y39" s="217">
        <v>3000</v>
      </c>
      <c r="Z39" s="217">
        <v>3000</v>
      </c>
      <c r="AA39" s="217">
        <v>0</v>
      </c>
      <c r="AB39" s="217">
        <v>0</v>
      </c>
      <c r="AC39" s="217">
        <v>0</v>
      </c>
      <c r="AD39" s="118" t="str">
        <v>소폭 12*26</v>
      </c>
      <c r="AE39" s="224">
        <v>0</v>
      </c>
      <c r="AF39" s="217">
        <v>1070</v>
      </c>
      <c r="AG39" s="217">
        <v>660</v>
      </c>
      <c r="AH39" s="217">
        <v>4150</v>
      </c>
      <c r="AI39" s="217">
        <v>3660</v>
      </c>
      <c r="AJ39" s="217">
        <v>236</v>
      </c>
      <c r="AK39" s="217">
        <v>254</v>
      </c>
      <c r="AL39" s="227">
        <v>6.1199999999999997E-2</v>
      </c>
      <c r="AM39" s="224">
        <v>0</v>
      </c>
      <c r="AN39" s="118" t="str">
        <v>ptDB47</v>
      </c>
      <c r="AO39" s="229">
        <v>0</v>
      </c>
      <c r="AP39" s="217">
        <v>4150</v>
      </c>
      <c r="AQ39" s="217">
        <v>3660</v>
      </c>
      <c r="AR39" s="217">
        <v>236</v>
      </c>
      <c r="AS39" s="217">
        <v>254</v>
      </c>
      <c r="AT39" s="227">
        <v>6.1199999999999997E-2</v>
      </c>
      <c r="AU39" s="224" t="str">
        <v/>
      </c>
      <c r="AV39" s="229">
        <v>0</v>
      </c>
      <c r="AW39" s="118">
        <v>660</v>
      </c>
    </row>
    <row r="40" spans="1:49">
      <c r="A40" s="118">
        <v>95</v>
      </c>
      <c r="B40" s="118" t="str">
        <v>비닐스토리</v>
      </c>
      <c r="C40" s="211">
        <v>45451</v>
      </c>
      <c r="D40" s="118" t="str">
        <v>29100051943650</v>
      </c>
      <c r="E40" s="118" t="str">
        <v>쿠팡</v>
      </c>
      <c r="F40" s="118" t="str">
        <v>이향수</v>
      </c>
      <c r="G40" s="118" t="str">
        <v>36*****@gm</v>
      </c>
      <c r="H40" s="118" t="str">
        <v>0502-1355-3176</v>
      </c>
      <c r="I40" s="211">
        <v>45453</v>
      </c>
      <c r="J40" s="118" t="str">
        <v>CJ대한통운</v>
      </c>
      <c r="K40" s="118" t="str">
        <v>540216957624</v>
      </c>
      <c r="L40" s="211">
        <v>0</v>
      </c>
      <c r="M40" s="118" t="str">
        <v>SE.306</v>
      </c>
      <c r="N40" s="118" t="str">
        <v>투명</v>
      </c>
      <c r="O40" s="118">
        <v>1</v>
      </c>
      <c r="P40" s="118" t="str">
        <v>이향수</v>
      </c>
      <c r="Q40" s="118" t="str">
        <v>0502-1355-3176</v>
      </c>
      <c r="R40" s="118">
        <v>0</v>
      </c>
      <c r="S40" s="118" t="str">
        <v>전라북도 정읍시 산내면 태산로 683-18 스테이옥정</v>
      </c>
      <c r="T40" s="224" t="str">
        <v>직접 받고 부재 시 문 앞</v>
      </c>
      <c r="U40" s="224">
        <v>0</v>
      </c>
      <c r="V40" s="224">
        <v>0</v>
      </c>
      <c r="W40" s="217">
        <v>16630</v>
      </c>
      <c r="X40" s="217">
        <v>0</v>
      </c>
      <c r="Y40" s="217">
        <v>3000</v>
      </c>
      <c r="Z40" s="217">
        <v>3000</v>
      </c>
      <c r="AA40" s="217">
        <v>0</v>
      </c>
      <c r="AB40" s="217">
        <v>0</v>
      </c>
      <c r="AC40" s="217">
        <v>0</v>
      </c>
      <c r="AD40" s="118" t="str">
        <v>떡외겹 20*20</v>
      </c>
      <c r="AE40" s="224">
        <v>0</v>
      </c>
      <c r="AF40" s="217">
        <v>15710</v>
      </c>
      <c r="AG40" s="217">
        <v>9680</v>
      </c>
      <c r="AH40" s="217">
        <v>19630</v>
      </c>
      <c r="AI40" s="217">
        <v>12680</v>
      </c>
      <c r="AJ40" s="217">
        <v>2075</v>
      </c>
      <c r="AK40" s="217">
        <v>4875</v>
      </c>
      <c r="AL40" s="227">
        <v>0.24829999999999999</v>
      </c>
      <c r="AM40" s="224">
        <v>0</v>
      </c>
      <c r="AN40" s="118" t="str">
        <v>ptDB47</v>
      </c>
      <c r="AO40" s="229">
        <v>0</v>
      </c>
      <c r="AP40" s="217">
        <v>19630</v>
      </c>
      <c r="AQ40" s="217">
        <v>12680</v>
      </c>
      <c r="AR40" s="217">
        <v>2075</v>
      </c>
      <c r="AS40" s="217">
        <v>4875</v>
      </c>
      <c r="AT40" s="227">
        <v>0.24829999999999999</v>
      </c>
      <c r="AU40" s="224" t="str">
        <v/>
      </c>
      <c r="AV40" s="229">
        <v>0</v>
      </c>
      <c r="AW40" s="118">
        <v>9680</v>
      </c>
    </row>
    <row r="41" spans="1:49">
      <c r="A41" s="118">
        <v>96</v>
      </c>
      <c r="B41" s="118" t="str">
        <v>비닐스토리</v>
      </c>
      <c r="C41" s="211">
        <v>45451</v>
      </c>
      <c r="D41" s="118" t="str">
        <v>2100051837419</v>
      </c>
      <c r="E41" s="118" t="str">
        <v>쿠팡</v>
      </c>
      <c r="F41" s="118" t="str">
        <v>이혜영</v>
      </c>
      <c r="G41" s="118" t="str">
        <v>pi*****@na</v>
      </c>
      <c r="H41" s="118" t="str">
        <v>0502-1490-2390</v>
      </c>
      <c r="I41" s="211">
        <v>45453</v>
      </c>
      <c r="J41" s="118" t="str">
        <v>CJ대한통운</v>
      </c>
      <c r="K41" s="118" t="str">
        <v>540216957565</v>
      </c>
      <c r="L41" s="211">
        <v>0</v>
      </c>
      <c r="M41" s="118" t="str">
        <v>SE.111</v>
      </c>
      <c r="N41" s="118" t="str">
        <v>투명</v>
      </c>
      <c r="O41" s="118">
        <v>2</v>
      </c>
      <c r="P41" s="118" t="str">
        <v>이혜영</v>
      </c>
      <c r="Q41" s="118" t="str">
        <v>0502-1490-2390</v>
      </c>
      <c r="R41" s="118">
        <v>0</v>
      </c>
      <c r="S41" s="118" t="str">
        <v>경기도 고양시 일산서구 후곡로 10 905동 304호 ( 일산동, 후곡마을9단지아파트 )</v>
      </c>
      <c r="T41" s="224" t="str">
        <v>문 앞</v>
      </c>
      <c r="U41" s="224">
        <v>0</v>
      </c>
      <c r="V41" s="224">
        <v>0</v>
      </c>
      <c r="W41" s="217">
        <v>7700</v>
      </c>
      <c r="X41" s="217">
        <v>0</v>
      </c>
      <c r="Y41" s="217">
        <v>0</v>
      </c>
      <c r="Z41" s="217">
        <v>3500</v>
      </c>
      <c r="AA41" s="217">
        <v>0</v>
      </c>
      <c r="AB41" s="217">
        <v>0</v>
      </c>
      <c r="AC41" s="217">
        <v>0</v>
      </c>
      <c r="AD41" s="118" t="str">
        <v>고추 70*110</v>
      </c>
      <c r="AE41" s="224">
        <v>0</v>
      </c>
      <c r="AF41" s="217">
        <v>3570</v>
      </c>
      <c r="AG41" s="217">
        <v>2200</v>
      </c>
      <c r="AH41" s="217">
        <v>7700</v>
      </c>
      <c r="AI41" s="217">
        <v>7900</v>
      </c>
      <c r="AJ41" s="217">
        <v>915</v>
      </c>
      <c r="AK41" s="217">
        <v>-1115</v>
      </c>
      <c r="AL41" s="227">
        <v>-0.14480000000000001</v>
      </c>
      <c r="AM41" s="224">
        <v>0</v>
      </c>
      <c r="AN41" s="118" t="str">
        <v>ptDB47</v>
      </c>
      <c r="AO41" s="229">
        <v>0</v>
      </c>
      <c r="AP41" s="217">
        <v>7700</v>
      </c>
      <c r="AQ41" s="217">
        <v>7900</v>
      </c>
      <c r="AR41" s="217">
        <v>915</v>
      </c>
      <c r="AS41" s="217">
        <v>-1115</v>
      </c>
      <c r="AT41" s="227">
        <v>-0.14480000000000001</v>
      </c>
      <c r="AU41" s="224" t="str">
        <v/>
      </c>
      <c r="AV41" s="229">
        <v>0</v>
      </c>
      <c r="AW41" s="118">
        <v>4400</v>
      </c>
    </row>
    <row r="42" spans="1:49">
      <c r="A42" s="118">
        <v>97</v>
      </c>
      <c r="B42" s="118" t="str">
        <v>비닐스토리</v>
      </c>
      <c r="C42" s="211">
        <v>45451</v>
      </c>
      <c r="D42" s="118" t="str">
        <v>2100051837419</v>
      </c>
      <c r="E42" s="118" t="str">
        <v>쿠팡</v>
      </c>
      <c r="F42" s="118" t="str">
        <v>이혜영</v>
      </c>
      <c r="G42" s="118" t="str">
        <v>pi*****@na</v>
      </c>
      <c r="H42" s="118" t="str">
        <v>0502-1490-2390</v>
      </c>
      <c r="I42" s="211">
        <v>45453</v>
      </c>
      <c r="J42" s="118" t="str">
        <v>CJ대한통운</v>
      </c>
      <c r="K42" s="118" t="str">
        <v>540216957565</v>
      </c>
      <c r="L42" s="211">
        <v>0</v>
      </c>
      <c r="M42" s="118" t="str">
        <v>SE.114</v>
      </c>
      <c r="N42" s="118" t="str">
        <v>투명</v>
      </c>
      <c r="O42" s="118">
        <v>2</v>
      </c>
      <c r="P42" s="118" t="str">
        <v>이혜영</v>
      </c>
      <c r="Q42" s="118" t="str">
        <v>0502-1490-2390</v>
      </c>
      <c r="R42" s="118">
        <v>0</v>
      </c>
      <c r="S42" s="118" t="str">
        <v>경기도 고양시 일산서구 후곡로 10 905동 304호 ( 일산동, 후곡마을9단지아파트 )</v>
      </c>
      <c r="T42" s="224" t="str">
        <v>문 앞</v>
      </c>
      <c r="U42" s="224">
        <v>0</v>
      </c>
      <c r="V42" s="224">
        <v>0</v>
      </c>
      <c r="W42" s="217">
        <v>12240</v>
      </c>
      <c r="X42" s="217">
        <v>1360</v>
      </c>
      <c r="Y42" s="217">
        <v>0</v>
      </c>
      <c r="Z42" s="217">
        <v>0</v>
      </c>
      <c r="AA42" s="217">
        <v>0</v>
      </c>
      <c r="AB42" s="217">
        <v>0</v>
      </c>
      <c r="AC42" s="217">
        <v>0</v>
      </c>
      <c r="AD42" s="118" t="str">
        <v>고추 90*130</v>
      </c>
      <c r="AE42" s="224" t="str">
        <v>재구매</v>
      </c>
      <c r="AF42" s="217">
        <v>6430</v>
      </c>
      <c r="AG42" s="217">
        <v>3960</v>
      </c>
      <c r="AH42" s="217">
        <v>12240</v>
      </c>
      <c r="AI42" s="217">
        <v>7920</v>
      </c>
      <c r="AJ42" s="217">
        <v>1454</v>
      </c>
      <c r="AK42" s="217">
        <v>2866</v>
      </c>
      <c r="AL42" s="227">
        <v>0.23419999999999999</v>
      </c>
      <c r="AM42" s="224">
        <v>0</v>
      </c>
      <c r="AN42" s="118" t="str">
        <v>ptDB47</v>
      </c>
      <c r="AO42" s="229">
        <v>0</v>
      </c>
      <c r="AP42" s="217">
        <v>12240</v>
      </c>
      <c r="AQ42" s="217">
        <v>7920</v>
      </c>
      <c r="AR42" s="217">
        <v>1454</v>
      </c>
      <c r="AS42" s="217">
        <v>2866</v>
      </c>
      <c r="AT42" s="227">
        <v>0.23419999999999999</v>
      </c>
      <c r="AU42" s="224" t="str">
        <v/>
      </c>
      <c r="AV42" s="229">
        <v>0</v>
      </c>
      <c r="AW42" s="118">
        <v>7920</v>
      </c>
    </row>
    <row r="43" spans="1:49">
      <c r="A43" s="118">
        <v>98</v>
      </c>
      <c r="B43" s="118" t="str">
        <v>비닐스토리</v>
      </c>
      <c r="C43" s="211">
        <v>45451</v>
      </c>
      <c r="D43" s="118" t="str">
        <v>2100051837419</v>
      </c>
      <c r="E43" s="118" t="str">
        <v>쿠팡</v>
      </c>
      <c r="F43" s="118" t="str">
        <v>이혜영</v>
      </c>
      <c r="G43" s="118" t="str">
        <v>pi*****@na</v>
      </c>
      <c r="H43" s="118" t="str">
        <v>0502-1490-2390</v>
      </c>
      <c r="I43" s="211">
        <v>45453</v>
      </c>
      <c r="J43" s="118" t="str">
        <v>CJ대한통운</v>
      </c>
      <c r="K43" s="118" t="str">
        <v>540216957565</v>
      </c>
      <c r="L43" s="211">
        <v>0</v>
      </c>
      <c r="M43" s="118" t="str">
        <v>SE.115</v>
      </c>
      <c r="N43" s="118" t="str">
        <v>투명</v>
      </c>
      <c r="O43" s="118">
        <v>1</v>
      </c>
      <c r="P43" s="118" t="str">
        <v>이혜영</v>
      </c>
      <c r="Q43" s="118" t="str">
        <v>0502-1490-2390</v>
      </c>
      <c r="R43" s="118">
        <v>0</v>
      </c>
      <c r="S43" s="118" t="str">
        <v>경기도 고양시 일산서구 후곡로 10 905동 304호 ( 일산동, 후곡마을9단지아파트 )</v>
      </c>
      <c r="T43" s="224" t="str">
        <v>문 앞</v>
      </c>
      <c r="U43" s="224">
        <v>0</v>
      </c>
      <c r="V43" s="224">
        <v>0</v>
      </c>
      <c r="W43" s="217">
        <v>5320</v>
      </c>
      <c r="X43" s="217">
        <v>0</v>
      </c>
      <c r="Y43" s="217">
        <v>0</v>
      </c>
      <c r="Z43" s="217">
        <v>0</v>
      </c>
      <c r="AA43" s="217">
        <v>0</v>
      </c>
      <c r="AB43" s="217">
        <v>0</v>
      </c>
      <c r="AC43" s="217">
        <v>0</v>
      </c>
      <c r="AD43" s="118" t="str">
        <v>고추 100*150</v>
      </c>
      <c r="AE43" s="224" t="str">
        <v>재구매</v>
      </c>
      <c r="AF43" s="217">
        <v>4910</v>
      </c>
      <c r="AG43" s="217">
        <v>3025</v>
      </c>
      <c r="AH43" s="217">
        <v>5320</v>
      </c>
      <c r="AI43" s="217">
        <v>3025</v>
      </c>
      <c r="AJ43" s="217">
        <v>632</v>
      </c>
      <c r="AK43" s="217">
        <v>1663</v>
      </c>
      <c r="AL43" s="227">
        <v>0.31259999999999999</v>
      </c>
      <c r="AM43" s="224">
        <v>0</v>
      </c>
      <c r="AN43" s="118" t="str">
        <v>ptDB47</v>
      </c>
      <c r="AO43" s="229">
        <v>0</v>
      </c>
      <c r="AP43" s="217">
        <v>5320</v>
      </c>
      <c r="AQ43" s="217">
        <v>3025</v>
      </c>
      <c r="AR43" s="217">
        <v>632</v>
      </c>
      <c r="AS43" s="217">
        <v>1663</v>
      </c>
      <c r="AT43" s="227">
        <v>0.31259999999999999</v>
      </c>
      <c r="AU43" s="224" t="str">
        <v/>
      </c>
      <c r="AV43" s="229">
        <v>0</v>
      </c>
      <c r="AW43" s="118">
        <v>3025</v>
      </c>
    </row>
    <row r="44" spans="1:49">
      <c r="A44" s="118">
        <v>99</v>
      </c>
      <c r="B44" s="118" t="str">
        <v>비닐스토리</v>
      </c>
      <c r="C44" s="211">
        <v>45451</v>
      </c>
      <c r="D44" s="118" t="str">
        <v>21100052102927</v>
      </c>
      <c r="E44" s="118" t="str">
        <v>쿠팡</v>
      </c>
      <c r="F44" s="118" t="str">
        <v>성준우</v>
      </c>
      <c r="G44" s="118" t="str">
        <v>wa*****@na</v>
      </c>
      <c r="H44" s="118" t="str">
        <v>0502-5189-7894</v>
      </c>
      <c r="I44" s="211">
        <v>45453</v>
      </c>
      <c r="J44" s="118" t="str">
        <v>CJ대한통운</v>
      </c>
      <c r="K44" s="118" t="str">
        <v>540216957672</v>
      </c>
      <c r="L44" s="211">
        <v>0</v>
      </c>
      <c r="M44" s="118" t="str">
        <v>SE.102</v>
      </c>
      <c r="N44" s="118" t="str">
        <v>투명</v>
      </c>
      <c r="O44" s="118">
        <v>20</v>
      </c>
      <c r="P44" s="118" t="str">
        <v>성준우</v>
      </c>
      <c r="Q44" s="118" t="str">
        <v>0502-5189-7894</v>
      </c>
      <c r="R44" s="118">
        <v>0</v>
      </c>
      <c r="S44" s="118" t="str">
        <v>대전광역시 유성구 원내동 383 진잠타운아파트 207동1203호</v>
      </c>
      <c r="T44" s="224" t="str">
        <v>문 앞</v>
      </c>
      <c r="U44" s="224">
        <v>0</v>
      </c>
      <c r="V44" s="224">
        <v>0</v>
      </c>
      <c r="W44" s="217">
        <v>23000</v>
      </c>
      <c r="X44" s="217">
        <v>0</v>
      </c>
      <c r="Y44" s="217">
        <v>3000</v>
      </c>
      <c r="Z44" s="217">
        <v>3500</v>
      </c>
      <c r="AA44" s="217">
        <v>0</v>
      </c>
      <c r="AB44" s="217">
        <v>0</v>
      </c>
      <c r="AC44" s="217">
        <v>0</v>
      </c>
      <c r="AD44" s="118" t="str">
        <v>소폭 12*26</v>
      </c>
      <c r="AE44" s="224" t="str">
        <v>재구매</v>
      </c>
      <c r="AF44" s="217">
        <v>1070</v>
      </c>
      <c r="AG44" s="217">
        <v>660</v>
      </c>
      <c r="AH44" s="217">
        <v>26000</v>
      </c>
      <c r="AI44" s="217">
        <v>16700</v>
      </c>
      <c r="AJ44" s="217">
        <v>2831</v>
      </c>
      <c r="AK44" s="217">
        <v>6469</v>
      </c>
      <c r="AL44" s="227">
        <v>0.24879999999999999</v>
      </c>
      <c r="AM44" s="224">
        <v>0</v>
      </c>
      <c r="AN44" s="118" t="str">
        <v>ptDB47</v>
      </c>
      <c r="AO44" s="229">
        <v>0</v>
      </c>
      <c r="AP44" s="217">
        <v>26000</v>
      </c>
      <c r="AQ44" s="217">
        <v>16700</v>
      </c>
      <c r="AR44" s="217">
        <v>2831</v>
      </c>
      <c r="AS44" s="217">
        <v>6469</v>
      </c>
      <c r="AT44" s="227">
        <v>0.24879999999999999</v>
      </c>
      <c r="AU44" s="224" t="str">
        <v/>
      </c>
      <c r="AV44" s="229">
        <v>0</v>
      </c>
      <c r="AW44" s="118">
        <v>13200</v>
      </c>
    </row>
    <row r="45" spans="1:49">
      <c r="A45" s="118">
        <v>100</v>
      </c>
      <c r="B45" s="118" t="str">
        <v>비닐스토리</v>
      </c>
      <c r="C45" s="211">
        <v>45452</v>
      </c>
      <c r="D45" s="118" t="str">
        <v>22100051795908</v>
      </c>
      <c r="E45" s="118" t="str">
        <v>쿠팡</v>
      </c>
      <c r="F45" s="118" t="str">
        <v>박창보</v>
      </c>
      <c r="G45" s="118" t="str">
        <v>c8*****@na</v>
      </c>
      <c r="H45" s="118" t="str">
        <v>0504-4963-2948</v>
      </c>
      <c r="I45" s="211">
        <v>45453</v>
      </c>
      <c r="J45" s="118" t="str">
        <v>CJ대한통운</v>
      </c>
      <c r="K45" s="118" t="str">
        <v>540216957543</v>
      </c>
      <c r="L45" s="211">
        <v>0</v>
      </c>
      <c r="M45" s="118" t="str">
        <v>SE.201</v>
      </c>
      <c r="N45" s="118" t="str">
        <v>투명</v>
      </c>
      <c r="O45" s="118">
        <v>1</v>
      </c>
      <c r="P45" s="118" t="str">
        <v>박창보</v>
      </c>
      <c r="Q45" s="118" t="str">
        <v>0504-4963-2948</v>
      </c>
      <c r="R45" s="118">
        <v>0</v>
      </c>
      <c r="S45" s="118" t="str">
        <v>경기도 안양시 동안구 호계동 555-2 지하1층 b122, 123, 124호 하루,한끼</v>
      </c>
      <c r="T45" s="224" t="str">
        <v>문 앞</v>
      </c>
      <c r="U45" s="224">
        <v>0</v>
      </c>
      <c r="V45" s="224">
        <v>0</v>
      </c>
      <c r="W45" s="217">
        <v>17010</v>
      </c>
      <c r="X45" s="217">
        <v>0</v>
      </c>
      <c r="Y45" s="217">
        <v>3000</v>
      </c>
      <c r="Z45" s="217">
        <v>3000</v>
      </c>
      <c r="AA45" s="217">
        <v>0</v>
      </c>
      <c r="AB45" s="217">
        <v>0</v>
      </c>
      <c r="AC45" s="217">
        <v>0</v>
      </c>
      <c r="AD45" s="118" t="str">
        <v>떡롤 20*400</v>
      </c>
      <c r="AE45" s="224">
        <v>0</v>
      </c>
      <c r="AF45" s="217">
        <v>16070</v>
      </c>
      <c r="AG45" s="217">
        <v>9900</v>
      </c>
      <c r="AH45" s="217">
        <v>20010</v>
      </c>
      <c r="AI45" s="217">
        <v>12900</v>
      </c>
      <c r="AJ45" s="217">
        <v>2120</v>
      </c>
      <c r="AK45" s="217">
        <v>4990</v>
      </c>
      <c r="AL45" s="227">
        <v>0.24940000000000001</v>
      </c>
      <c r="AM45" s="224">
        <v>0</v>
      </c>
      <c r="AN45" s="118" t="str">
        <v>ptDB47</v>
      </c>
      <c r="AO45" s="229">
        <v>0</v>
      </c>
      <c r="AP45" s="217">
        <v>20010</v>
      </c>
      <c r="AQ45" s="217">
        <v>12900</v>
      </c>
      <c r="AR45" s="217">
        <v>2120</v>
      </c>
      <c r="AS45" s="217">
        <v>4990</v>
      </c>
      <c r="AT45" s="227">
        <v>0.24940000000000001</v>
      </c>
      <c r="AU45" s="224" t="str">
        <v/>
      </c>
      <c r="AV45" s="229">
        <v>0</v>
      </c>
      <c r="AW45" s="118">
        <v>9900</v>
      </c>
    </row>
    <row r="46" spans="1:49">
      <c r="A46" s="118">
        <v>101</v>
      </c>
      <c r="B46" s="118" t="str">
        <v>비닐스토리</v>
      </c>
      <c r="C46" s="211">
        <v>45452</v>
      </c>
      <c r="D46" s="118" t="str">
        <v>13100052165268</v>
      </c>
      <c r="E46" s="118" t="str">
        <v>쿠팡</v>
      </c>
      <c r="F46" s="118" t="str">
        <v>한동현</v>
      </c>
      <c r="G46" s="118" t="str">
        <v>ha*****@na</v>
      </c>
      <c r="H46" s="118" t="str">
        <v>0502-4368-8242</v>
      </c>
      <c r="I46" s="211">
        <v>45453</v>
      </c>
      <c r="J46" s="118" t="str">
        <v>CJ대한통운</v>
      </c>
      <c r="K46" s="118" t="str">
        <v>540216957451</v>
      </c>
      <c r="L46" s="211">
        <v>0</v>
      </c>
      <c r="M46" s="118" t="str">
        <v>SE.122</v>
      </c>
      <c r="N46" s="118" t="str">
        <v>청색</v>
      </c>
      <c r="O46" s="118">
        <v>2</v>
      </c>
      <c r="P46" s="118" t="str">
        <v>하노이맥주밤거리</v>
      </c>
      <c r="Q46" s="118" t="str">
        <v>0502-4368-8242</v>
      </c>
      <c r="R46" s="118">
        <v>0</v>
      </c>
      <c r="S46" s="118" t="str">
        <v>경기도 부천시 역곡동 78-7 1층 하노이맥주</v>
      </c>
      <c r="T46" s="224" t="str">
        <v>문 앞</v>
      </c>
      <c r="U46" s="224">
        <v>0</v>
      </c>
      <c r="V46" s="224">
        <v>0</v>
      </c>
      <c r="W46" s="217">
        <v>12560</v>
      </c>
      <c r="X46" s="217">
        <v>680</v>
      </c>
      <c r="Y46" s="217">
        <v>0</v>
      </c>
      <c r="Z46" s="217">
        <v>3500</v>
      </c>
      <c r="AA46" s="217">
        <v>0</v>
      </c>
      <c r="AB46" s="217">
        <v>0</v>
      </c>
      <c r="AC46" s="217">
        <v>0</v>
      </c>
      <c r="AD46" s="118" t="str">
        <v>막지 75*100</v>
      </c>
      <c r="AE46" s="224">
        <v>0</v>
      </c>
      <c r="AF46" s="217">
        <v>5890</v>
      </c>
      <c r="AG46" s="217">
        <v>3740</v>
      </c>
      <c r="AH46" s="217">
        <v>12560</v>
      </c>
      <c r="AI46" s="217">
        <v>10980</v>
      </c>
      <c r="AJ46" s="217">
        <v>1492</v>
      </c>
      <c r="AK46" s="217">
        <v>88</v>
      </c>
      <c r="AL46" s="227">
        <v>7.0000000000000001E-3</v>
      </c>
      <c r="AM46" s="224">
        <v>0</v>
      </c>
      <c r="AN46" s="118" t="str">
        <v>ptDB47</v>
      </c>
      <c r="AO46" s="229">
        <v>0</v>
      </c>
      <c r="AP46" s="217">
        <v>12560</v>
      </c>
      <c r="AQ46" s="217">
        <v>10980</v>
      </c>
      <c r="AR46" s="217">
        <v>1492</v>
      </c>
      <c r="AS46" s="217">
        <v>88</v>
      </c>
      <c r="AT46" s="227">
        <v>7.0000000000000001E-3</v>
      </c>
      <c r="AU46" s="224" t="str">
        <v/>
      </c>
      <c r="AV46" s="229">
        <v>0</v>
      </c>
      <c r="AW46" s="118">
        <v>7480</v>
      </c>
    </row>
    <row r="47" spans="1:49">
      <c r="A47" s="118">
        <v>102</v>
      </c>
      <c r="B47" s="118" t="str">
        <v>비닐스토리</v>
      </c>
      <c r="C47" s="211">
        <v>45452</v>
      </c>
      <c r="D47" s="118" t="str">
        <v>23100052114583</v>
      </c>
      <c r="E47" s="118" t="str">
        <v>쿠팡</v>
      </c>
      <c r="F47" s="118" t="str">
        <v>김은희</v>
      </c>
      <c r="G47" s="118" t="str">
        <v>mi*****@da</v>
      </c>
      <c r="H47" s="118" t="str">
        <v>0502-4284-9467</v>
      </c>
      <c r="I47" s="211">
        <v>45453</v>
      </c>
      <c r="J47" s="118" t="str">
        <v>CJ대한통운</v>
      </c>
      <c r="K47" s="118" t="str">
        <v>530217935815</v>
      </c>
      <c r="L47" s="211">
        <v>0</v>
      </c>
      <c r="M47" s="118" t="str">
        <v>SE.206</v>
      </c>
      <c r="N47" s="118" t="str">
        <v>투명</v>
      </c>
      <c r="O47" s="118">
        <v>1</v>
      </c>
      <c r="P47" s="118" t="str">
        <v>김은희</v>
      </c>
      <c r="Q47" s="118" t="str">
        <v>0502-4284-9467</v>
      </c>
      <c r="R47" s="118">
        <v>0</v>
      </c>
      <c r="S47" s="118" t="str">
        <v>충청북도 청주시 흥덕구 오송읍 봉산2길 16 OK타워 203호 살롱 마인</v>
      </c>
      <c r="T47" s="224" t="str">
        <v>문 앞</v>
      </c>
      <c r="U47" s="224">
        <v>0</v>
      </c>
      <c r="V47" s="224">
        <v>0</v>
      </c>
      <c r="W47" s="217">
        <v>34020</v>
      </c>
      <c r="X47" s="217">
        <v>0</v>
      </c>
      <c r="Y47" s="217">
        <v>3000</v>
      </c>
      <c r="Z47" s="217">
        <v>3500</v>
      </c>
      <c r="AA47" s="217">
        <v>0</v>
      </c>
      <c r="AB47" s="217">
        <v>0</v>
      </c>
      <c r="AC47" s="217">
        <v>0</v>
      </c>
      <c r="AD47" s="118" t="str">
        <v>떡롤 45*330</v>
      </c>
      <c r="AE47" s="224">
        <v>0</v>
      </c>
      <c r="AF47" s="217">
        <v>32130</v>
      </c>
      <c r="AG47" s="217">
        <v>19800</v>
      </c>
      <c r="AH47" s="217">
        <v>37020</v>
      </c>
      <c r="AI47" s="217">
        <v>23300</v>
      </c>
      <c r="AJ47" s="217">
        <v>4141</v>
      </c>
      <c r="AK47" s="217">
        <v>9579</v>
      </c>
      <c r="AL47" s="227">
        <v>0.25879999999999997</v>
      </c>
      <c r="AM47" s="224">
        <v>0</v>
      </c>
      <c r="AN47" s="118" t="str">
        <v>ptDB47</v>
      </c>
      <c r="AO47" s="229">
        <v>0</v>
      </c>
      <c r="AP47" s="217">
        <v>37020</v>
      </c>
      <c r="AQ47" s="217">
        <v>23300</v>
      </c>
      <c r="AR47" s="217">
        <v>4141</v>
      </c>
      <c r="AS47" s="217">
        <v>9579</v>
      </c>
      <c r="AT47" s="227">
        <v>0.25879999999999997</v>
      </c>
      <c r="AU47" s="224" t="str">
        <v/>
      </c>
      <c r="AV47" s="229">
        <v>0</v>
      </c>
      <c r="AW47" s="118">
        <v>19800</v>
      </c>
    </row>
    <row r="48" spans="1:49">
      <c r="A48" s="118">
        <v>103</v>
      </c>
      <c r="B48" s="118" t="str">
        <v>비닐스토리</v>
      </c>
      <c r="C48" s="211">
        <v>45453</v>
      </c>
      <c r="D48" s="118" t="str">
        <v>13100052294586</v>
      </c>
      <c r="E48" s="118" t="str">
        <v>쿠팡</v>
      </c>
      <c r="F48" s="118" t="str">
        <v>최희지</v>
      </c>
      <c r="G48" s="118" t="str">
        <v>as*****@na</v>
      </c>
      <c r="H48" s="118" t="str">
        <v>0502-4218-4060</v>
      </c>
      <c r="I48" s="211">
        <v>45453</v>
      </c>
      <c r="J48" s="118" t="str">
        <v>CJ대한통운</v>
      </c>
      <c r="K48" s="118" t="str">
        <v>530217935760</v>
      </c>
      <c r="L48" s="211">
        <v>0</v>
      </c>
      <c r="M48" s="118" t="str">
        <v>SE.101</v>
      </c>
      <c r="N48" s="118" t="str">
        <v>투명</v>
      </c>
      <c r="O48" s="118">
        <v>40</v>
      </c>
      <c r="P48" s="118" t="str">
        <v>최희지</v>
      </c>
      <c r="Q48" s="118" t="str">
        <v>0502-4218-4060</v>
      </c>
      <c r="R48" s="118">
        <v>0</v>
      </c>
      <c r="S48" s="118" t="str">
        <v>경기도 화성시 남양읍 남양로 671 더굿메이트빌딩 110호 (정직유부 화성시청점)</v>
      </c>
      <c r="T48" s="224" t="str">
        <v>살살 다뤄주세요!! 뒷문에(상가 안) 놔두고 연락주세요</v>
      </c>
      <c r="U48" s="224">
        <v>0</v>
      </c>
      <c r="V48" s="224">
        <v>0</v>
      </c>
      <c r="W48" s="217">
        <v>37600</v>
      </c>
      <c r="X48" s="217">
        <v>0</v>
      </c>
      <c r="Y48" s="217">
        <v>0</v>
      </c>
      <c r="Z48" s="217">
        <v>3500</v>
      </c>
      <c r="AA48" s="217">
        <v>0</v>
      </c>
      <c r="AB48" s="217">
        <v>0</v>
      </c>
      <c r="AC48" s="217">
        <v>0</v>
      </c>
      <c r="AD48" s="118" t="str">
        <v>소폭 10*26</v>
      </c>
      <c r="AE48" s="224">
        <v>0</v>
      </c>
      <c r="AF48" s="217">
        <v>890</v>
      </c>
      <c r="AG48" s="217">
        <v>550</v>
      </c>
      <c r="AH48" s="217">
        <v>37600</v>
      </c>
      <c r="AI48" s="217">
        <v>25500</v>
      </c>
      <c r="AJ48" s="217">
        <v>4467</v>
      </c>
      <c r="AK48" s="217">
        <v>7633</v>
      </c>
      <c r="AL48" s="227">
        <v>0.20300000000000001</v>
      </c>
      <c r="AM48" s="224">
        <v>0</v>
      </c>
      <c r="AN48" s="118" t="str">
        <v>ptDB47</v>
      </c>
      <c r="AO48" s="229">
        <v>0</v>
      </c>
      <c r="AP48" s="217">
        <v>37600</v>
      </c>
      <c r="AQ48" s="217">
        <v>25500</v>
      </c>
      <c r="AR48" s="217">
        <v>4467</v>
      </c>
      <c r="AS48" s="217">
        <v>7633</v>
      </c>
      <c r="AT48" s="227">
        <v>0.20300000000000001</v>
      </c>
      <c r="AU48" s="224" t="str">
        <v/>
      </c>
      <c r="AV48" s="229">
        <v>0</v>
      </c>
      <c r="AW48" s="118">
        <v>22000</v>
      </c>
    </row>
    <row r="49" spans="1:49">
      <c r="A49" s="118">
        <v>107</v>
      </c>
      <c r="B49" s="118" t="str">
        <v>비닐스토리</v>
      </c>
      <c r="C49" s="211">
        <v>45452</v>
      </c>
      <c r="D49" s="118" t="str">
        <v>2024060990524471</v>
      </c>
      <c r="E49" s="118" t="str">
        <v>스마트 스토어</v>
      </c>
      <c r="F49" s="118" t="str">
        <v>유금숙</v>
      </c>
      <c r="G49" s="118" t="str">
        <v>koak****</v>
      </c>
      <c r="H49" s="118" t="str">
        <v>010-8636-4037</v>
      </c>
      <c r="I49" s="211">
        <v>45453</v>
      </c>
      <c r="J49" s="118" t="str">
        <v>CJ대한통운</v>
      </c>
      <c r="K49" s="118" t="str">
        <v>540216957716</v>
      </c>
      <c r="L49" s="211">
        <v>0</v>
      </c>
      <c r="M49" s="118" t="str">
        <v>SE.304</v>
      </c>
      <c r="N49" s="118" t="str">
        <v>투명</v>
      </c>
      <c r="O49" s="118">
        <v>2</v>
      </c>
      <c r="P49" s="118" t="str">
        <v>유금숙</v>
      </c>
      <c r="Q49" s="118" t="str">
        <v>010-8636-4037</v>
      </c>
      <c r="R49" s="118">
        <v>0</v>
      </c>
      <c r="S49" s="118" t="str">
        <v>경상북도 경주시 금성로395번길 15 (성건동) 고산숯불</v>
      </c>
      <c r="T49" s="224">
        <v>0</v>
      </c>
      <c r="U49" s="224">
        <v>0</v>
      </c>
      <c r="V49" s="224">
        <v>0</v>
      </c>
      <c r="W49" s="217">
        <v>27540</v>
      </c>
      <c r="X49" s="217">
        <v>3060</v>
      </c>
      <c r="Y49" s="217">
        <v>0</v>
      </c>
      <c r="Z49" s="217">
        <v>3500</v>
      </c>
      <c r="AA49" s="217">
        <v>0</v>
      </c>
      <c r="AB49" s="217">
        <v>0</v>
      </c>
      <c r="AC49" s="217">
        <v>0</v>
      </c>
      <c r="AD49" s="118" t="str">
        <v>떡외겹 30*38</v>
      </c>
      <c r="AE49" s="224">
        <v>0</v>
      </c>
      <c r="AF49" s="217">
        <v>14450</v>
      </c>
      <c r="AG49" s="217">
        <v>9350</v>
      </c>
      <c r="AH49" s="217">
        <v>27540</v>
      </c>
      <c r="AI49" s="217">
        <v>22200</v>
      </c>
      <c r="AJ49" s="217">
        <v>1176</v>
      </c>
      <c r="AK49" s="217">
        <v>4164</v>
      </c>
      <c r="AL49" s="227">
        <v>0.1512</v>
      </c>
      <c r="AM49" s="224">
        <v>0</v>
      </c>
      <c r="AN49" s="118" t="str">
        <v>ptDB47</v>
      </c>
      <c r="AO49" s="229">
        <v>0</v>
      </c>
      <c r="AP49" s="217">
        <v>27540</v>
      </c>
      <c r="AQ49" s="217">
        <v>22200</v>
      </c>
      <c r="AR49" s="217">
        <v>1176</v>
      </c>
      <c r="AS49" s="217">
        <v>4164</v>
      </c>
      <c r="AT49" s="227">
        <v>0.1512</v>
      </c>
      <c r="AU49" s="224" t="str">
        <v/>
      </c>
      <c r="AV49" s="229">
        <v>0</v>
      </c>
      <c r="AW49" s="118">
        <v>18700</v>
      </c>
    </row>
    <row r="50" spans="1:49">
      <c r="A50" s="118">
        <v>108</v>
      </c>
      <c r="B50" s="118" t="str">
        <v>비닐스토리</v>
      </c>
      <c r="C50" s="211">
        <v>45452</v>
      </c>
      <c r="D50" s="118" t="str">
        <v>2024060990524461</v>
      </c>
      <c r="E50" s="118" t="str">
        <v>스마트 스토어</v>
      </c>
      <c r="F50" s="118" t="str">
        <v>유금숙</v>
      </c>
      <c r="G50" s="118" t="str">
        <v>koak****</v>
      </c>
      <c r="H50" s="118" t="str">
        <v>010-8636-4037</v>
      </c>
      <c r="I50" s="211">
        <v>45453</v>
      </c>
      <c r="J50" s="118" t="str">
        <v>CJ대한통운</v>
      </c>
      <c r="K50" s="118" t="str">
        <v>540216957716</v>
      </c>
      <c r="L50" s="211">
        <v>0</v>
      </c>
      <c r="M50" s="118" t="str">
        <v>SE.307</v>
      </c>
      <c r="N50" s="118" t="str">
        <v>투명</v>
      </c>
      <c r="O50" s="118">
        <v>1</v>
      </c>
      <c r="P50" s="118" t="str">
        <v>유금숙</v>
      </c>
      <c r="Q50" s="118" t="str">
        <v>010-8636-4037</v>
      </c>
      <c r="R50" s="118">
        <v>0</v>
      </c>
      <c r="S50" s="118" t="str">
        <v>경상북도 경주시 금성로395번길 15 (성건동) 고산숯불</v>
      </c>
      <c r="T50" s="224">
        <v>0</v>
      </c>
      <c r="U50" s="224">
        <v>0</v>
      </c>
      <c r="V50" s="224">
        <v>0</v>
      </c>
      <c r="W50" s="217">
        <v>10690</v>
      </c>
      <c r="X50" s="217">
        <v>1190</v>
      </c>
      <c r="Y50" s="217">
        <v>0</v>
      </c>
      <c r="Z50" s="217">
        <v>0</v>
      </c>
      <c r="AA50" s="217">
        <v>0</v>
      </c>
      <c r="AB50" s="217">
        <v>0</v>
      </c>
      <c r="AC50" s="217">
        <v>0</v>
      </c>
      <c r="AD50" s="118" t="str">
        <v>떡외겹 30*30</v>
      </c>
      <c r="AE50" s="224" t="str">
        <v>재구매</v>
      </c>
      <c r="AF50" s="217">
        <v>11220</v>
      </c>
      <c r="AG50" s="217">
        <v>7260</v>
      </c>
      <c r="AH50" s="217">
        <v>10690</v>
      </c>
      <c r="AI50" s="217">
        <v>7260</v>
      </c>
      <c r="AJ50" s="217">
        <v>505</v>
      </c>
      <c r="AK50" s="217">
        <v>2925</v>
      </c>
      <c r="AL50" s="227">
        <v>0.27360000000000001</v>
      </c>
      <c r="AM50" s="224">
        <v>0</v>
      </c>
      <c r="AN50" s="118" t="str">
        <v>ptDB47</v>
      </c>
      <c r="AO50" s="229">
        <v>0</v>
      </c>
      <c r="AP50" s="217">
        <v>10690</v>
      </c>
      <c r="AQ50" s="217">
        <v>7260</v>
      </c>
      <c r="AR50" s="217">
        <v>505</v>
      </c>
      <c r="AS50" s="217">
        <v>2925</v>
      </c>
      <c r="AT50" s="227">
        <v>0.27360000000000001</v>
      </c>
      <c r="AU50" s="224" t="str">
        <v/>
      </c>
      <c r="AV50" s="229">
        <v>0</v>
      </c>
      <c r="AW50" s="118">
        <v>7260</v>
      </c>
    </row>
    <row r="51" spans="1:49">
      <c r="A51" s="118">
        <v>109</v>
      </c>
      <c r="B51" s="118" t="str">
        <v>비닐스토리</v>
      </c>
      <c r="C51" s="211">
        <v>45452</v>
      </c>
      <c r="D51" s="118" t="str">
        <v>2024060970463081</v>
      </c>
      <c r="E51" s="118" t="str">
        <v>스마트 스토어</v>
      </c>
      <c r="F51" s="118" t="str">
        <v>윤혜영</v>
      </c>
      <c r="G51" s="118" t="str">
        <v>chac****</v>
      </c>
      <c r="H51" s="118" t="str">
        <v>010-4599-0208</v>
      </c>
      <c r="I51" s="211">
        <v>45453</v>
      </c>
      <c r="J51" s="118" t="str">
        <v>CJ대한통운</v>
      </c>
      <c r="K51" s="118" t="str">
        <v>540216957801</v>
      </c>
      <c r="L51" s="211">
        <v>0</v>
      </c>
      <c r="M51" s="118" t="str">
        <v>SE.206</v>
      </c>
      <c r="N51" s="118" t="str">
        <v>투명</v>
      </c>
      <c r="O51" s="118">
        <v>1</v>
      </c>
      <c r="P51" s="118" t="str">
        <v>윤혜영</v>
      </c>
      <c r="Q51" s="118" t="str">
        <v>010-4599-0208</v>
      </c>
      <c r="R51" s="118" t="str">
        <v>010-4599-0208</v>
      </c>
      <c r="S51" s="118" t="str">
        <v>경기도 구리시 아치울길 34-9 (아천동) 호성아트빌 301호</v>
      </c>
      <c r="T51" s="224" t="str">
        <v>배송 전 미리 연락해 주세요</v>
      </c>
      <c r="U51" s="224">
        <v>0</v>
      </c>
      <c r="V51" s="224">
        <v>0</v>
      </c>
      <c r="W51" s="217">
        <v>28620</v>
      </c>
      <c r="X51" s="217">
        <v>3180</v>
      </c>
      <c r="Y51" s="217">
        <v>3000</v>
      </c>
      <c r="Z51" s="217">
        <v>3500</v>
      </c>
      <c r="AA51" s="217">
        <v>0</v>
      </c>
      <c r="AB51" s="217">
        <v>0</v>
      </c>
      <c r="AC51" s="217">
        <v>0</v>
      </c>
      <c r="AD51" s="118" t="str">
        <v>떡롤 45*330</v>
      </c>
      <c r="AE51" s="224">
        <v>0</v>
      </c>
      <c r="AF51" s="217">
        <v>30600</v>
      </c>
      <c r="AG51" s="217">
        <v>19800</v>
      </c>
      <c r="AH51" s="217">
        <v>31620</v>
      </c>
      <c r="AI51" s="217">
        <v>23300</v>
      </c>
      <c r="AJ51" s="217">
        <v>1278</v>
      </c>
      <c r="AK51" s="217">
        <v>7042</v>
      </c>
      <c r="AL51" s="227">
        <v>0.22270000000000001</v>
      </c>
      <c r="AM51" s="224">
        <v>0</v>
      </c>
      <c r="AN51" s="118" t="str">
        <v>ptDB47</v>
      </c>
      <c r="AO51" s="229">
        <v>0</v>
      </c>
      <c r="AP51" s="217">
        <v>31620</v>
      </c>
      <c r="AQ51" s="217">
        <v>23300</v>
      </c>
      <c r="AR51" s="217">
        <v>1278</v>
      </c>
      <c r="AS51" s="217">
        <v>7042</v>
      </c>
      <c r="AT51" s="227">
        <v>0.22270000000000001</v>
      </c>
      <c r="AU51" s="224" t="str">
        <v/>
      </c>
      <c r="AV51" s="229">
        <v>0</v>
      </c>
      <c r="AW51" s="118">
        <v>19800</v>
      </c>
    </row>
    <row r="52" spans="1:49">
      <c r="A52" s="118">
        <v>110</v>
      </c>
      <c r="B52" s="118" t="str">
        <v>비닐스토리</v>
      </c>
      <c r="C52" s="211">
        <v>45452</v>
      </c>
      <c r="D52" s="118" t="str">
        <v>2024060970394221</v>
      </c>
      <c r="E52" s="118" t="str">
        <v>스마트 스토어</v>
      </c>
      <c r="F52" s="118" t="str">
        <v>김영균</v>
      </c>
      <c r="G52" s="118" t="str">
        <v>kyg7****</v>
      </c>
      <c r="H52" s="118" t="str">
        <v>010-3481-7254</v>
      </c>
      <c r="I52" s="211">
        <v>45453</v>
      </c>
      <c r="J52" s="118" t="str">
        <v>CJ대한통운</v>
      </c>
      <c r="K52" s="118" t="str">
        <v>540216957510</v>
      </c>
      <c r="L52" s="211">
        <v>0</v>
      </c>
      <c r="M52" s="118" t="str">
        <v>SE.306</v>
      </c>
      <c r="N52" s="118" t="str">
        <v>투명</v>
      </c>
      <c r="O52" s="118">
        <v>4</v>
      </c>
      <c r="P52" s="118" t="str">
        <v>김영균</v>
      </c>
      <c r="Q52" s="118" t="str">
        <v>010-3481-7254</v>
      </c>
      <c r="R52" s="118">
        <v>0</v>
      </c>
      <c r="S52" s="118" t="str">
        <v>세종특별자치시 금남면 성강길 35 서가네떡방</v>
      </c>
      <c r="T52" s="224">
        <v>0</v>
      </c>
      <c r="U52" s="224">
        <v>0</v>
      </c>
      <c r="V52" s="224">
        <v>0</v>
      </c>
      <c r="W52" s="217">
        <v>57000</v>
      </c>
      <c r="X52" s="217">
        <v>6360</v>
      </c>
      <c r="Y52" s="217">
        <v>0</v>
      </c>
      <c r="Z52" s="217">
        <v>4400</v>
      </c>
      <c r="AA52" s="217">
        <v>0</v>
      </c>
      <c r="AB52" s="217">
        <v>0</v>
      </c>
      <c r="AC52" s="217">
        <v>0</v>
      </c>
      <c r="AD52" s="118" t="str">
        <v>떡외겹 20*20</v>
      </c>
      <c r="AE52" s="224">
        <v>0</v>
      </c>
      <c r="AF52" s="217">
        <v>14960</v>
      </c>
      <c r="AG52" s="217">
        <v>9680</v>
      </c>
      <c r="AH52" s="217">
        <v>57000</v>
      </c>
      <c r="AI52" s="217">
        <v>43120</v>
      </c>
      <c r="AJ52" s="217">
        <v>2349</v>
      </c>
      <c r="AK52" s="217">
        <v>11531</v>
      </c>
      <c r="AL52" s="227">
        <v>0.20230000000000001</v>
      </c>
      <c r="AM52" s="224">
        <v>0</v>
      </c>
      <c r="AN52" s="118" t="str">
        <v>ptDB47</v>
      </c>
      <c r="AO52" s="229">
        <v>0</v>
      </c>
      <c r="AP52" s="217">
        <v>57000</v>
      </c>
      <c r="AQ52" s="217">
        <v>43120</v>
      </c>
      <c r="AR52" s="217">
        <v>2349</v>
      </c>
      <c r="AS52" s="217">
        <v>11531</v>
      </c>
      <c r="AT52" s="227">
        <v>0.20230000000000001</v>
      </c>
      <c r="AU52" s="224" t="str">
        <v/>
      </c>
      <c r="AV52" s="229">
        <v>0</v>
      </c>
      <c r="AW52" s="118">
        <v>38720</v>
      </c>
    </row>
    <row r="53" spans="1:49">
      <c r="A53" s="118">
        <v>111</v>
      </c>
      <c r="B53" s="118" t="str">
        <v>비닐스토리</v>
      </c>
      <c r="C53" s="211">
        <v>45451</v>
      </c>
      <c r="D53" s="118" t="str">
        <v>2024060843149951</v>
      </c>
      <c r="E53" s="118" t="str">
        <v>스마트 스토어</v>
      </c>
      <c r="F53" s="118" t="str">
        <v>박일섭</v>
      </c>
      <c r="G53" s="118" t="str">
        <v>hggd****</v>
      </c>
      <c r="H53" s="118" t="str">
        <v>010-4812-3989</v>
      </c>
      <c r="I53" s="211">
        <v>45453</v>
      </c>
      <c r="J53" s="118" t="str">
        <v>CJ대한통운</v>
      </c>
      <c r="K53" s="118" t="str">
        <v>530217935701</v>
      </c>
      <c r="L53" s="211">
        <v>0</v>
      </c>
      <c r="M53" s="118" t="str">
        <v>SE.206</v>
      </c>
      <c r="N53" s="118" t="str">
        <v>투명</v>
      </c>
      <c r="O53" s="118">
        <v>1</v>
      </c>
      <c r="P53" s="118" t="str">
        <v>소풍가다</v>
      </c>
      <c r="Q53" s="118" t="str">
        <v>010-4812-3989</v>
      </c>
      <c r="R53" s="118">
        <v>0</v>
      </c>
      <c r="S53" s="118" t="str">
        <v>경상북도 경주시 양남면 다래길 15 (양남면) 소풍가다</v>
      </c>
      <c r="T53" s="224">
        <v>0</v>
      </c>
      <c r="U53" s="224">
        <v>0</v>
      </c>
      <c r="V53" s="224">
        <v>0</v>
      </c>
      <c r="W53" s="217">
        <v>28620</v>
      </c>
      <c r="X53" s="217">
        <v>3180</v>
      </c>
      <c r="Y53" s="217">
        <v>3000</v>
      </c>
      <c r="Z53" s="217">
        <v>3500</v>
      </c>
      <c r="AA53" s="217">
        <v>0</v>
      </c>
      <c r="AB53" s="217">
        <v>0</v>
      </c>
      <c r="AC53" s="217">
        <v>0</v>
      </c>
      <c r="AD53" s="118" t="str">
        <v>떡롤 45*330</v>
      </c>
      <c r="AE53" s="224">
        <v>0</v>
      </c>
      <c r="AF53" s="217">
        <v>30600</v>
      </c>
      <c r="AG53" s="217">
        <v>19800</v>
      </c>
      <c r="AH53" s="217">
        <v>31620</v>
      </c>
      <c r="AI53" s="217">
        <v>23300</v>
      </c>
      <c r="AJ53" s="217">
        <v>1278</v>
      </c>
      <c r="AK53" s="217">
        <v>7042</v>
      </c>
      <c r="AL53" s="227">
        <v>0.22270000000000001</v>
      </c>
      <c r="AM53" s="224">
        <v>0</v>
      </c>
      <c r="AN53" s="118" t="str">
        <v>ptDB47</v>
      </c>
      <c r="AO53" s="229">
        <v>0</v>
      </c>
      <c r="AP53" s="217">
        <v>31620</v>
      </c>
      <c r="AQ53" s="217">
        <v>23300</v>
      </c>
      <c r="AR53" s="217">
        <v>1278</v>
      </c>
      <c r="AS53" s="217">
        <v>7042</v>
      </c>
      <c r="AT53" s="227">
        <v>0.22270000000000001</v>
      </c>
      <c r="AU53" s="224" t="str">
        <v/>
      </c>
      <c r="AV53" s="229">
        <v>0</v>
      </c>
      <c r="AW53" s="118">
        <v>19800</v>
      </c>
    </row>
    <row r="54" spans="1:49">
      <c r="A54" s="118">
        <v>122</v>
      </c>
      <c r="B54" s="118" t="str">
        <v>비닐스토리</v>
      </c>
      <c r="C54" s="211">
        <v>45454</v>
      </c>
      <c r="D54" s="118" t="str">
        <v>2024061159500781</v>
      </c>
      <c r="E54" s="118" t="str">
        <v>스마트 스토어</v>
      </c>
      <c r="F54" s="118" t="str">
        <v>장철호</v>
      </c>
      <c r="G54" s="118" t="str">
        <v>futu****</v>
      </c>
      <c r="H54" s="118" t="str">
        <v>010-5241-9516</v>
      </c>
      <c r="I54" s="211">
        <v>45454</v>
      </c>
      <c r="J54" s="118" t="str">
        <v>CJ대한통운</v>
      </c>
      <c r="K54" s="118" t="str">
        <v>530219199805</v>
      </c>
      <c r="L54" s="211">
        <v>0</v>
      </c>
      <c r="M54" s="118" t="str">
        <v>SE.137</v>
      </c>
      <c r="N54" s="118" t="str">
        <v>투명</v>
      </c>
      <c r="O54" s="118">
        <v>100</v>
      </c>
      <c r="P54" s="118" t="str">
        <v>장철호</v>
      </c>
      <c r="Q54" s="118" t="str">
        <v>010-5580-5662</v>
      </c>
      <c r="R54" s="118">
        <v>0</v>
      </c>
      <c r="S54" s="118" t="str">
        <v>인천광역시 서구 검단천로356번길 30 (오류동, 승일금속(주)) 주식회사비에스씨</v>
      </c>
      <c r="T54" s="224">
        <v>0</v>
      </c>
      <c r="U54" s="224">
        <v>0</v>
      </c>
      <c r="V54" s="224">
        <v>0</v>
      </c>
      <c r="W54" s="217">
        <v>131000</v>
      </c>
      <c r="X54" s="217">
        <v>35000</v>
      </c>
      <c r="Y54" s="217">
        <v>0</v>
      </c>
      <c r="Z54" s="217">
        <v>4400</v>
      </c>
      <c r="AA54" s="217">
        <v>0</v>
      </c>
      <c r="AB54" s="217">
        <v>0</v>
      </c>
      <c r="AC54" s="217">
        <v>0</v>
      </c>
      <c r="AD54" s="118" t="str">
        <v>끈속지 25*35</v>
      </c>
      <c r="AE54" s="224">
        <v>0</v>
      </c>
      <c r="AF54" s="217">
        <v>1240</v>
      </c>
      <c r="AG54" s="217">
        <v>880</v>
      </c>
      <c r="AH54" s="217">
        <v>131000</v>
      </c>
      <c r="AI54" s="217">
        <v>92400</v>
      </c>
      <c r="AJ54" s="217">
        <v>5294</v>
      </c>
      <c r="AK54" s="217">
        <v>33306</v>
      </c>
      <c r="AL54" s="227">
        <v>0.25419999999999998</v>
      </c>
      <c r="AM54" s="224">
        <v>0</v>
      </c>
      <c r="AN54" s="118" t="str">
        <v>ptDB47</v>
      </c>
      <c r="AO54" s="229">
        <v>0</v>
      </c>
      <c r="AP54" s="217">
        <v>131000</v>
      </c>
      <c r="AQ54" s="217">
        <v>92400</v>
      </c>
      <c r="AR54" s="217">
        <v>5294</v>
      </c>
      <c r="AS54" s="217">
        <v>33306</v>
      </c>
      <c r="AT54" s="227">
        <v>0.25419999999999998</v>
      </c>
      <c r="AU54" s="224" t="str">
        <v/>
      </c>
      <c r="AV54" s="229">
        <v>0</v>
      </c>
      <c r="AW54" s="118">
        <v>88000</v>
      </c>
    </row>
    <row r="55" spans="1:49">
      <c r="A55" s="118">
        <v>123</v>
      </c>
      <c r="B55" s="118" t="str">
        <v>비닐스토리</v>
      </c>
      <c r="C55" s="211">
        <v>45454</v>
      </c>
      <c r="D55" s="118" t="str">
        <v>2024061152406471</v>
      </c>
      <c r="E55" s="118" t="str">
        <v>스마트 스토어</v>
      </c>
      <c r="F55" s="118" t="str">
        <v>이승미</v>
      </c>
      <c r="G55" s="118" t="str">
        <v>a900****</v>
      </c>
      <c r="H55" s="118" t="str">
        <v>010-8996-6731</v>
      </c>
      <c r="I55" s="211">
        <v>45454</v>
      </c>
      <c r="J55" s="118" t="str">
        <v>CJ대한통운</v>
      </c>
      <c r="K55" s="118" t="str">
        <v>530219199794</v>
      </c>
      <c r="L55" s="211">
        <v>0</v>
      </c>
      <c r="M55" s="118" t="str">
        <v>SE.206</v>
      </c>
      <c r="N55" s="118" t="str">
        <v>투명</v>
      </c>
      <c r="O55" s="118">
        <v>1</v>
      </c>
      <c r="P55" s="118" t="str">
        <v>이승미(누피케이크)</v>
      </c>
      <c r="Q55" s="118" t="str">
        <v>010-8996-6731</v>
      </c>
      <c r="R55" s="118">
        <v>0</v>
      </c>
      <c r="S55" s="118" t="str">
        <v>경기도 부천시 부천로 25 (심곡동, 노블레스부천) 307호 NOOPCAKE</v>
      </c>
      <c r="T55" s="224">
        <v>0</v>
      </c>
      <c r="U55" s="224">
        <v>0</v>
      </c>
      <c r="V55" s="224">
        <v>0</v>
      </c>
      <c r="W55" s="217">
        <v>28620</v>
      </c>
      <c r="X55" s="217">
        <v>3180</v>
      </c>
      <c r="Y55" s="217">
        <v>3000</v>
      </c>
      <c r="Z55" s="217">
        <v>3500</v>
      </c>
      <c r="AA55" s="217">
        <v>0</v>
      </c>
      <c r="AB55" s="217">
        <v>0</v>
      </c>
      <c r="AC55" s="217">
        <v>0</v>
      </c>
      <c r="AD55" s="118" t="str">
        <v>떡롤 45*330</v>
      </c>
      <c r="AE55" s="224">
        <v>0</v>
      </c>
      <c r="AF55" s="217">
        <v>30600</v>
      </c>
      <c r="AG55" s="217">
        <v>19800</v>
      </c>
      <c r="AH55" s="217">
        <v>31620</v>
      </c>
      <c r="AI55" s="217">
        <v>23300</v>
      </c>
      <c r="AJ55" s="217">
        <v>1278</v>
      </c>
      <c r="AK55" s="217">
        <v>7042</v>
      </c>
      <c r="AL55" s="227">
        <v>0.22270000000000001</v>
      </c>
      <c r="AM55" s="224">
        <v>0</v>
      </c>
      <c r="AN55" s="118" t="str">
        <v>ptDB47</v>
      </c>
      <c r="AO55" s="229">
        <v>0</v>
      </c>
      <c r="AP55" s="217">
        <v>31620</v>
      </c>
      <c r="AQ55" s="217">
        <v>23300</v>
      </c>
      <c r="AR55" s="217">
        <v>1278</v>
      </c>
      <c r="AS55" s="217">
        <v>7042</v>
      </c>
      <c r="AT55" s="227">
        <v>0.22270000000000001</v>
      </c>
      <c r="AU55" s="224" t="str">
        <v/>
      </c>
      <c r="AV55" s="229">
        <v>0</v>
      </c>
      <c r="AW55" s="118">
        <v>19800</v>
      </c>
    </row>
    <row r="56" spans="1:49">
      <c r="A56" s="118">
        <v>124</v>
      </c>
      <c r="B56" s="118" t="str">
        <v>비닐스토리</v>
      </c>
      <c r="C56" s="211">
        <v>45454</v>
      </c>
      <c r="D56" s="118" t="str">
        <v>2024061149499101</v>
      </c>
      <c r="E56" s="118" t="str">
        <v>스마트 스토어</v>
      </c>
      <c r="F56" s="118" t="str">
        <v>주경림</v>
      </c>
      <c r="G56" s="118" t="str">
        <v>sosl****</v>
      </c>
      <c r="H56" s="118" t="str">
        <v>010-5155-4619</v>
      </c>
      <c r="I56" s="211">
        <v>45454</v>
      </c>
      <c r="J56" s="118" t="str">
        <v>CJ대한통운</v>
      </c>
      <c r="K56" s="118" t="str">
        <v>530219199886</v>
      </c>
      <c r="L56" s="211">
        <v>0</v>
      </c>
      <c r="M56" s="118" t="str">
        <v>SE.303</v>
      </c>
      <c r="N56" s="118" t="str">
        <v>투명</v>
      </c>
      <c r="O56" s="118">
        <v>1</v>
      </c>
      <c r="P56" s="118" t="str">
        <v>리미</v>
      </c>
      <c r="Q56" s="118" t="str">
        <v>010-3168-6006</v>
      </c>
      <c r="R56" s="118">
        <v>0</v>
      </c>
      <c r="S56" s="118" t="str">
        <v>경상남도 함안군 칠원읍 용산2길 40 (칠원읍) 1층 떡마당</v>
      </c>
      <c r="T56" s="224">
        <v>0</v>
      </c>
      <c r="U56" s="224">
        <v>0</v>
      </c>
      <c r="V56" s="224">
        <v>0</v>
      </c>
      <c r="W56" s="217">
        <v>22190</v>
      </c>
      <c r="X56" s="217">
        <v>2470</v>
      </c>
      <c r="Y56" s="217">
        <v>0</v>
      </c>
      <c r="Z56" s="217">
        <v>3500</v>
      </c>
      <c r="AA56" s="217">
        <v>0</v>
      </c>
      <c r="AB56" s="217">
        <v>0</v>
      </c>
      <c r="AC56" s="217">
        <v>0</v>
      </c>
      <c r="AD56" s="118" t="str">
        <v>떡외겹 25*25</v>
      </c>
      <c r="AE56" s="224">
        <v>0</v>
      </c>
      <c r="AF56" s="217">
        <v>23290</v>
      </c>
      <c r="AG56" s="217">
        <v>15070</v>
      </c>
      <c r="AH56" s="217">
        <v>22190</v>
      </c>
      <c r="AI56" s="217">
        <v>18570</v>
      </c>
      <c r="AJ56" s="217">
        <v>963</v>
      </c>
      <c r="AK56" s="217">
        <v>2657</v>
      </c>
      <c r="AL56" s="227">
        <v>0.1197</v>
      </c>
      <c r="AM56" s="224">
        <v>0</v>
      </c>
      <c r="AN56" s="118" t="str">
        <v>ptDB47</v>
      </c>
      <c r="AO56" s="229">
        <v>0</v>
      </c>
      <c r="AP56" s="217">
        <v>22190</v>
      </c>
      <c r="AQ56" s="217">
        <v>18570</v>
      </c>
      <c r="AR56" s="217">
        <v>963</v>
      </c>
      <c r="AS56" s="217">
        <v>2657</v>
      </c>
      <c r="AT56" s="227">
        <v>0.1197</v>
      </c>
      <c r="AU56" s="224" t="str">
        <v/>
      </c>
      <c r="AV56" s="229">
        <v>0</v>
      </c>
      <c r="AW56" s="118">
        <v>15070</v>
      </c>
    </row>
    <row r="57" spans="1:49">
      <c r="A57" s="118">
        <v>125</v>
      </c>
      <c r="B57" s="118" t="str">
        <v>비닐스토리</v>
      </c>
      <c r="C57" s="211">
        <v>45454</v>
      </c>
      <c r="D57" s="118" t="str">
        <v>2024061149499091</v>
      </c>
      <c r="E57" s="118" t="str">
        <v>스마트 스토어</v>
      </c>
      <c r="F57" s="118" t="str">
        <v>주경림</v>
      </c>
      <c r="G57" s="118" t="str">
        <v>sosl****</v>
      </c>
      <c r="H57" s="118" t="str">
        <v>010-5155-4619</v>
      </c>
      <c r="I57" s="211">
        <v>45454</v>
      </c>
      <c r="J57" s="118" t="str">
        <v>CJ대한통운</v>
      </c>
      <c r="K57" s="118" t="str">
        <v>530219199886</v>
      </c>
      <c r="L57" s="211">
        <v>0</v>
      </c>
      <c r="M57" s="118" t="str">
        <v>SE.121</v>
      </c>
      <c r="N57" s="118" t="str">
        <v>검정</v>
      </c>
      <c r="O57" s="118">
        <v>1</v>
      </c>
      <c r="P57" s="118" t="str">
        <v>리미</v>
      </c>
      <c r="Q57" s="118" t="str">
        <v>010-3168-6006</v>
      </c>
      <c r="R57" s="118">
        <v>0</v>
      </c>
      <c r="S57" s="118" t="str">
        <v>경상남도 함안군 칠원읍 용산2길 40 (칠원읍) 1층 떡마당</v>
      </c>
      <c r="T57" s="224">
        <v>0</v>
      </c>
      <c r="U57" s="224">
        <v>0</v>
      </c>
      <c r="V57" s="224">
        <v>0</v>
      </c>
      <c r="W57" s="217">
        <v>5880</v>
      </c>
      <c r="X57" s="217">
        <v>0</v>
      </c>
      <c r="Y57" s="217">
        <v>0</v>
      </c>
      <c r="Z57" s="217">
        <v>0</v>
      </c>
      <c r="AA57" s="217">
        <v>0</v>
      </c>
      <c r="AB57" s="217">
        <v>0</v>
      </c>
      <c r="AC57" s="217">
        <v>0</v>
      </c>
      <c r="AD57" s="118" t="str">
        <v>막지 63*90</v>
      </c>
      <c r="AE57" s="224" t="str">
        <v>재구매</v>
      </c>
      <c r="AF57" s="217">
        <v>5120</v>
      </c>
      <c r="AG57" s="217">
        <v>3410</v>
      </c>
      <c r="AH57" s="217">
        <v>5880</v>
      </c>
      <c r="AI57" s="217">
        <v>3410</v>
      </c>
      <c r="AJ57" s="217">
        <v>314</v>
      </c>
      <c r="AK57" s="217">
        <v>2156</v>
      </c>
      <c r="AL57" s="227">
        <v>0.36670000000000003</v>
      </c>
      <c r="AM57" s="224">
        <v>0</v>
      </c>
      <c r="AN57" s="118" t="str">
        <v>ptDB47</v>
      </c>
      <c r="AO57" s="229">
        <v>0</v>
      </c>
      <c r="AP57" s="217">
        <v>5880</v>
      </c>
      <c r="AQ57" s="217">
        <v>3410</v>
      </c>
      <c r="AR57" s="217">
        <v>314</v>
      </c>
      <c r="AS57" s="217">
        <v>2156</v>
      </c>
      <c r="AT57" s="227">
        <v>0.36670000000000003</v>
      </c>
      <c r="AU57" s="224" t="str">
        <v/>
      </c>
      <c r="AV57" s="229">
        <v>0</v>
      </c>
      <c r="AW57" s="118">
        <v>3410</v>
      </c>
    </row>
    <row r="58" spans="1:49">
      <c r="A58" s="118">
        <v>126</v>
      </c>
      <c r="B58" s="118" t="str">
        <v>비닐스토리</v>
      </c>
      <c r="C58" s="211">
        <v>45454</v>
      </c>
      <c r="D58" s="118" t="str">
        <v>2024061149499081</v>
      </c>
      <c r="E58" s="118" t="str">
        <v>스마트 스토어</v>
      </c>
      <c r="F58" s="118" t="str">
        <v>주경림</v>
      </c>
      <c r="G58" s="118" t="str">
        <v>sosl****</v>
      </c>
      <c r="H58" s="118" t="str">
        <v>010-5155-4619</v>
      </c>
      <c r="I58" s="211">
        <v>45454</v>
      </c>
      <c r="J58" s="118" t="str">
        <v>CJ대한통운</v>
      </c>
      <c r="K58" s="118" t="str">
        <v>530219199886</v>
      </c>
      <c r="L58" s="211">
        <v>0</v>
      </c>
      <c r="M58" s="118" t="str">
        <v>SE.305</v>
      </c>
      <c r="N58" s="118" t="str">
        <v>투명</v>
      </c>
      <c r="O58" s="118">
        <v>1</v>
      </c>
      <c r="P58" s="118" t="str">
        <v>리미</v>
      </c>
      <c r="Q58" s="118" t="str">
        <v>010-3168-6006</v>
      </c>
      <c r="R58" s="118">
        <v>0</v>
      </c>
      <c r="S58" s="118" t="str">
        <v>경상남도 함안군 칠원읍 용산2길 40 (칠원읍) 1층 떡마당</v>
      </c>
      <c r="T58" s="224">
        <v>0</v>
      </c>
      <c r="U58" s="224">
        <v>0</v>
      </c>
      <c r="V58" s="224">
        <v>0</v>
      </c>
      <c r="W58" s="217">
        <v>18630</v>
      </c>
      <c r="X58" s="217">
        <v>2070</v>
      </c>
      <c r="Y58" s="217">
        <v>0</v>
      </c>
      <c r="Z58" s="217">
        <v>0</v>
      </c>
      <c r="AA58" s="217">
        <v>0</v>
      </c>
      <c r="AB58" s="217">
        <v>0</v>
      </c>
      <c r="AC58" s="217">
        <v>0</v>
      </c>
      <c r="AD58" s="118" t="str">
        <v>떡외겹 39*40</v>
      </c>
      <c r="AE58" s="224" t="str">
        <v>재구매</v>
      </c>
      <c r="AF58" s="217">
        <v>19550</v>
      </c>
      <c r="AG58" s="217">
        <v>12650</v>
      </c>
      <c r="AH58" s="217">
        <v>18630</v>
      </c>
      <c r="AI58" s="217">
        <v>12650</v>
      </c>
      <c r="AJ58" s="217">
        <v>821</v>
      </c>
      <c r="AK58" s="217">
        <v>5159</v>
      </c>
      <c r="AL58" s="227">
        <v>0.27689999999999998</v>
      </c>
      <c r="AM58" s="224">
        <v>0</v>
      </c>
      <c r="AN58" s="118" t="str">
        <v>ptDB47</v>
      </c>
      <c r="AO58" s="229">
        <v>0</v>
      </c>
      <c r="AP58" s="217">
        <v>18630</v>
      </c>
      <c r="AQ58" s="217">
        <v>12650</v>
      </c>
      <c r="AR58" s="217">
        <v>821</v>
      </c>
      <c r="AS58" s="217">
        <v>5159</v>
      </c>
      <c r="AT58" s="227">
        <v>0.27689999999999998</v>
      </c>
      <c r="AU58" s="224" t="str">
        <v/>
      </c>
      <c r="AV58" s="229">
        <v>0</v>
      </c>
      <c r="AW58" s="118">
        <v>12650</v>
      </c>
    </row>
    <row r="59" spans="1:49">
      <c r="A59" s="118">
        <v>127</v>
      </c>
      <c r="B59" s="118" t="str">
        <v>비닐스토리</v>
      </c>
      <c r="C59" s="211">
        <v>45453</v>
      </c>
      <c r="D59" s="118" t="str">
        <v>2024061031222111</v>
      </c>
      <c r="E59" s="118" t="str">
        <v>스마트 스토어</v>
      </c>
      <c r="F59" s="118" t="str">
        <v>고정아</v>
      </c>
      <c r="G59" s="118" t="str">
        <v>hanu****</v>
      </c>
      <c r="H59" s="118" t="str">
        <v>010-4784-8940</v>
      </c>
      <c r="I59" s="211">
        <v>45454</v>
      </c>
      <c r="J59" s="118" t="str">
        <v>CJ대한통운</v>
      </c>
      <c r="K59" s="118" t="str">
        <v>530219199816</v>
      </c>
      <c r="L59" s="211">
        <v>0</v>
      </c>
      <c r="M59" s="118" t="str">
        <v>SE.204</v>
      </c>
      <c r="N59" s="118" t="str">
        <v>투명</v>
      </c>
      <c r="O59" s="118">
        <v>2</v>
      </c>
      <c r="P59" s="118" t="str">
        <v>제주한울에프앤비</v>
      </c>
      <c r="Q59" s="118" t="str">
        <v>010-4784-8940</v>
      </c>
      <c r="R59" s="118">
        <v>0</v>
      </c>
      <c r="S59" s="118" t="str">
        <v>제주특별자치도 제주시 한림읍 누운오름로 4 (한림읍)</v>
      </c>
      <c r="T59" s="224" t="str">
        <v>부재시 건물 뒤쪽 회색컨테이너안에 넣어주세요</v>
      </c>
      <c r="U59" s="224">
        <v>0</v>
      </c>
      <c r="V59" s="224">
        <v>0</v>
      </c>
      <c r="W59" s="217">
        <v>42120</v>
      </c>
      <c r="X59" s="217">
        <v>4680</v>
      </c>
      <c r="Y59" s="217">
        <v>0</v>
      </c>
      <c r="Z59" s="217">
        <v>4400</v>
      </c>
      <c r="AA59" s="217">
        <v>3000</v>
      </c>
      <c r="AB59" s="217">
        <v>0</v>
      </c>
      <c r="AC59" s="217">
        <v>0</v>
      </c>
      <c r="AD59" s="118" t="str">
        <v>떡롤 30*400</v>
      </c>
      <c r="AE59" s="224">
        <v>0</v>
      </c>
      <c r="AF59" s="217">
        <v>22100</v>
      </c>
      <c r="AG59" s="217">
        <v>14300</v>
      </c>
      <c r="AH59" s="217">
        <v>42120</v>
      </c>
      <c r="AI59" s="217">
        <v>33000</v>
      </c>
      <c r="AJ59" s="217">
        <v>1756</v>
      </c>
      <c r="AK59" s="217">
        <v>7364</v>
      </c>
      <c r="AL59" s="227">
        <v>0.17480000000000001</v>
      </c>
      <c r="AM59" s="224">
        <v>0</v>
      </c>
      <c r="AN59" s="118" t="str">
        <v>ptDB47</v>
      </c>
      <c r="AO59" s="229">
        <v>0</v>
      </c>
      <c r="AP59" s="217">
        <v>45120</v>
      </c>
      <c r="AQ59" s="217">
        <v>36000</v>
      </c>
      <c r="AR59" s="217">
        <v>1756</v>
      </c>
      <c r="AS59" s="217">
        <v>7364</v>
      </c>
      <c r="AT59" s="227">
        <v>0.16320000000000001</v>
      </c>
      <c r="AU59" s="224" t="str">
        <v>Check</v>
      </c>
      <c r="AV59" s="229">
        <v>0</v>
      </c>
      <c r="AW59" s="118">
        <v>28600</v>
      </c>
    </row>
    <row r="60" spans="1:49">
      <c r="A60" s="118">
        <v>128</v>
      </c>
      <c r="B60" s="118" t="str">
        <v>비닐스토리</v>
      </c>
      <c r="C60" s="211">
        <v>45453</v>
      </c>
      <c r="D60" s="118" t="str">
        <v>2024061031222101</v>
      </c>
      <c r="E60" s="118" t="str">
        <v>스마트 스토어</v>
      </c>
      <c r="F60" s="118" t="str">
        <v>고정아</v>
      </c>
      <c r="G60" s="118" t="str">
        <v>hanu****</v>
      </c>
      <c r="H60" s="118" t="str">
        <v>010-4784-8940</v>
      </c>
      <c r="I60" s="211">
        <v>45454</v>
      </c>
      <c r="J60" s="118" t="str">
        <v>CJ대한통운</v>
      </c>
      <c r="K60" s="118" t="str">
        <v>530219199816</v>
      </c>
      <c r="L60" s="211">
        <v>0</v>
      </c>
      <c r="M60" s="118" t="str">
        <v>SE.205</v>
      </c>
      <c r="N60" s="118" t="str">
        <v>투명</v>
      </c>
      <c r="O60" s="118">
        <v>1</v>
      </c>
      <c r="P60" s="118" t="str">
        <v>제주한울에프앤비</v>
      </c>
      <c r="Q60" s="118" t="str">
        <v>010-4784-8940</v>
      </c>
      <c r="R60" s="118">
        <v>0</v>
      </c>
      <c r="S60" s="118" t="str">
        <v>제주특별자치도 제주시 한림읍 누운오름로 4 (한림읍)</v>
      </c>
      <c r="T60" s="224" t="str">
        <v>부재시 건물 뒤쪽 회색컨테이너안에 넣어주세요</v>
      </c>
      <c r="U60" s="224">
        <v>0</v>
      </c>
      <c r="V60" s="224">
        <v>0</v>
      </c>
      <c r="W60" s="217">
        <v>24300</v>
      </c>
      <c r="X60" s="217">
        <v>2700</v>
      </c>
      <c r="Y60" s="217">
        <v>0</v>
      </c>
      <c r="Z60" s="217">
        <v>0</v>
      </c>
      <c r="AA60" s="217">
        <v>3000</v>
      </c>
      <c r="AB60" s="217">
        <v>0</v>
      </c>
      <c r="AC60" s="217">
        <v>0</v>
      </c>
      <c r="AD60" s="118" t="str">
        <v>떡롤 35*400</v>
      </c>
      <c r="AE60" s="224" t="str">
        <v>재구매</v>
      </c>
      <c r="AF60" s="217">
        <v>25500</v>
      </c>
      <c r="AG60" s="217">
        <v>16500</v>
      </c>
      <c r="AH60" s="217">
        <v>24300</v>
      </c>
      <c r="AI60" s="217">
        <v>16500</v>
      </c>
      <c r="AJ60" s="217">
        <v>1047</v>
      </c>
      <c r="AK60" s="217">
        <v>6753</v>
      </c>
      <c r="AL60" s="227">
        <v>0.27789999999999998</v>
      </c>
      <c r="AM60" s="224">
        <v>0</v>
      </c>
      <c r="AN60" s="118" t="str">
        <v>ptDB47</v>
      </c>
      <c r="AO60" s="229">
        <v>0</v>
      </c>
      <c r="AP60" s="217">
        <v>27300</v>
      </c>
      <c r="AQ60" s="217">
        <v>19500</v>
      </c>
      <c r="AR60" s="217">
        <v>1047</v>
      </c>
      <c r="AS60" s="217">
        <v>6753</v>
      </c>
      <c r="AT60" s="227">
        <v>0.24740000000000001</v>
      </c>
      <c r="AU60" s="224" t="str">
        <v>Check</v>
      </c>
      <c r="AV60" s="229">
        <v>0</v>
      </c>
      <c r="AW60" s="118">
        <v>16500</v>
      </c>
    </row>
    <row r="61" spans="1:49">
      <c r="A61" s="118">
        <v>129</v>
      </c>
      <c r="B61" s="118" t="str">
        <v>비닐스토리</v>
      </c>
      <c r="C61" s="211">
        <v>45449</v>
      </c>
      <c r="D61" s="118" t="str">
        <v>2024060675963021</v>
      </c>
      <c r="E61" s="118" t="str">
        <v>스마트 스토어</v>
      </c>
      <c r="F61" s="118" t="str">
        <v>김지혜</v>
      </c>
      <c r="G61" s="118" t="str">
        <v>jihy****</v>
      </c>
      <c r="H61" s="118" t="str">
        <v>010-3999-4733</v>
      </c>
      <c r="I61" s="211">
        <v>45454</v>
      </c>
      <c r="J61" s="118" t="str">
        <v>CJ대한통운</v>
      </c>
      <c r="K61" s="118" t="str">
        <v>540215391551</v>
      </c>
      <c r="L61" s="211">
        <v>0</v>
      </c>
      <c r="M61" s="118" t="str">
        <v>SE.14</v>
      </c>
      <c r="N61" s="118" t="str">
        <v>보라</v>
      </c>
      <c r="O61" s="118">
        <v>30</v>
      </c>
      <c r="P61" s="118" t="str">
        <v>김지혜</v>
      </c>
      <c r="Q61" s="118" t="str">
        <v>010-3999-4733</v>
      </c>
      <c r="R61" s="118">
        <v>0</v>
      </c>
      <c r="S61" s="118" t="str">
        <v>대구광역시 달서구 한들로 36 (장기동, 영남네오빌파크) 상가4호 농촌사람들</v>
      </c>
      <c r="T61" s="224">
        <v>0</v>
      </c>
      <c r="U61" s="224">
        <v>0</v>
      </c>
      <c r="V61" s="224">
        <v>0</v>
      </c>
      <c r="W61" s="217">
        <v>51000</v>
      </c>
      <c r="X61" s="217">
        <v>0</v>
      </c>
      <c r="Y61" s="217">
        <v>0</v>
      </c>
      <c r="Z61" s="217">
        <v>4400</v>
      </c>
      <c r="AA61" s="217">
        <v>0</v>
      </c>
      <c r="AB61" s="217">
        <v>0</v>
      </c>
      <c r="AC61" s="217">
        <v>0</v>
      </c>
      <c r="AD61" s="118" t="str">
        <v>특대B</v>
      </c>
      <c r="AE61" s="224">
        <v>0</v>
      </c>
      <c r="AF61" s="217">
        <v>1640</v>
      </c>
      <c r="AG61" s="217">
        <v>1045</v>
      </c>
      <c r="AH61" s="217">
        <v>51000</v>
      </c>
      <c r="AI61" s="217">
        <v>35750</v>
      </c>
      <c r="AJ61" s="217">
        <v>2110</v>
      </c>
      <c r="AK61" s="217">
        <v>13140</v>
      </c>
      <c r="AL61" s="227">
        <v>0.2576</v>
      </c>
      <c r="AM61" s="224">
        <v>0</v>
      </c>
      <c r="AN61" s="118" t="str">
        <v>ptDB47</v>
      </c>
      <c r="AO61" s="229">
        <v>0</v>
      </c>
      <c r="AP61" s="217">
        <v>51000</v>
      </c>
      <c r="AQ61" s="217">
        <v>35750</v>
      </c>
      <c r="AR61" s="217">
        <v>2110</v>
      </c>
      <c r="AS61" s="217">
        <v>13140</v>
      </c>
      <c r="AT61" s="227">
        <v>0.2576</v>
      </c>
      <c r="AU61" s="224" t="str">
        <v/>
      </c>
      <c r="AV61" s="229">
        <v>0</v>
      </c>
      <c r="AW61" s="118">
        <v>31350</v>
      </c>
    </row>
    <row r="62" spans="1:49">
      <c r="A62" s="118">
        <v>130</v>
      </c>
      <c r="B62" s="118" t="str">
        <v>비닐스토리</v>
      </c>
      <c r="C62" s="211">
        <v>45449</v>
      </c>
      <c r="D62" s="118" t="str">
        <v>2024060675963011</v>
      </c>
      <c r="E62" s="118" t="str">
        <v>스마트 스토어</v>
      </c>
      <c r="F62" s="118" t="str">
        <v>김지혜</v>
      </c>
      <c r="G62" s="118" t="str">
        <v>jihy****</v>
      </c>
      <c r="H62" s="118" t="str">
        <v>010-3999-4733</v>
      </c>
      <c r="I62" s="211">
        <v>45454</v>
      </c>
      <c r="J62" s="118" t="str">
        <v>CJ대한통운</v>
      </c>
      <c r="K62" s="118" t="str">
        <v>540215391551</v>
      </c>
      <c r="L62" s="211">
        <v>0</v>
      </c>
      <c r="M62" s="118" t="str">
        <v>SE.22</v>
      </c>
      <c r="N62" s="118" t="str">
        <v>보라</v>
      </c>
      <c r="O62" s="118">
        <v>2</v>
      </c>
      <c r="P62" s="118" t="str">
        <v>김지혜</v>
      </c>
      <c r="Q62" s="118" t="str">
        <v>010-3999-4733</v>
      </c>
      <c r="R62" s="118">
        <v>0</v>
      </c>
      <c r="S62" s="118" t="str">
        <v>대구광역시 달서구 한들로 36 (장기동, 영남네오빌파크) 상가4호 농촌사람들</v>
      </c>
      <c r="T62" s="224">
        <v>0</v>
      </c>
      <c r="U62" s="224">
        <v>0</v>
      </c>
      <c r="V62" s="224">
        <v>0</v>
      </c>
      <c r="W62" s="217">
        <v>7740</v>
      </c>
      <c r="X62" s="217">
        <v>0</v>
      </c>
      <c r="Y62" s="217">
        <v>0</v>
      </c>
      <c r="Z62" s="217">
        <v>0</v>
      </c>
      <c r="AA62" s="217">
        <v>0</v>
      </c>
      <c r="AB62" s="217">
        <v>0</v>
      </c>
      <c r="AC62" s="217">
        <v>0</v>
      </c>
      <c r="AD62" s="118" t="str">
        <v xml:space="preserve">왕특A </v>
      </c>
      <c r="AE62" s="224" t="str">
        <v>재구매</v>
      </c>
      <c r="AF62" s="217">
        <v>3700</v>
      </c>
      <c r="AG62" s="217">
        <v>2365</v>
      </c>
      <c r="AH62" s="217">
        <v>7740</v>
      </c>
      <c r="AI62" s="217">
        <v>4730</v>
      </c>
      <c r="AJ62" s="217">
        <v>388</v>
      </c>
      <c r="AK62" s="217">
        <v>2622</v>
      </c>
      <c r="AL62" s="227">
        <v>0.33879999999999999</v>
      </c>
      <c r="AM62" s="224">
        <v>0</v>
      </c>
      <c r="AN62" s="118" t="str">
        <v>ptDB47</v>
      </c>
      <c r="AO62" s="229">
        <v>0</v>
      </c>
      <c r="AP62" s="217">
        <v>7740</v>
      </c>
      <c r="AQ62" s="217">
        <v>4730</v>
      </c>
      <c r="AR62" s="217">
        <v>388</v>
      </c>
      <c r="AS62" s="217">
        <v>2622</v>
      </c>
      <c r="AT62" s="227">
        <v>0.33879999999999999</v>
      </c>
      <c r="AU62" s="224" t="str">
        <v/>
      </c>
      <c r="AV62" s="229">
        <v>0</v>
      </c>
      <c r="AW62" s="118">
        <v>4730</v>
      </c>
    </row>
    <row r="63" spans="1:49">
      <c r="A63" s="118">
        <v>131</v>
      </c>
      <c r="B63" s="118" t="str">
        <v>비닐스토리</v>
      </c>
      <c r="C63" s="211">
        <v>45453</v>
      </c>
      <c r="D63" s="118" t="str">
        <v>10100052200112</v>
      </c>
      <c r="E63" s="118" t="str">
        <v>쿠팡</v>
      </c>
      <c r="F63" s="118" t="str">
        <v>지연호</v>
      </c>
      <c r="G63" s="118" t="str">
        <v>dp*****@na</v>
      </c>
      <c r="H63" s="118" t="str">
        <v>0502-4967-1112</v>
      </c>
      <c r="I63" s="211">
        <v>45454</v>
      </c>
      <c r="J63" s="118" t="str">
        <v>CJ대한통운</v>
      </c>
      <c r="K63" s="118" t="str">
        <v>530219199864</v>
      </c>
      <c r="L63" s="211">
        <v>0</v>
      </c>
      <c r="M63" s="118" t="str">
        <v>SE.101</v>
      </c>
      <c r="N63" s="118" t="str">
        <v>투명</v>
      </c>
      <c r="O63" s="118">
        <v>35</v>
      </c>
      <c r="P63" s="118" t="str">
        <v>지연호</v>
      </c>
      <c r="Q63" s="118" t="str">
        <v>0502-4967-1112</v>
      </c>
      <c r="R63" s="118">
        <v>0</v>
      </c>
      <c r="S63" s="118" t="str">
        <v>경기도 화성시 반송동 23-6 1층 104호 돈까스파는메밀집</v>
      </c>
      <c r="T63" s="224" t="str">
        <v>문 앞</v>
      </c>
      <c r="U63" s="224">
        <v>0</v>
      </c>
      <c r="V63" s="224">
        <v>0</v>
      </c>
      <c r="W63" s="217">
        <v>32900</v>
      </c>
      <c r="X63" s="217">
        <v>0</v>
      </c>
      <c r="Y63" s="217">
        <v>3000</v>
      </c>
      <c r="Z63" s="217">
        <v>3500</v>
      </c>
      <c r="AA63" s="217">
        <v>0</v>
      </c>
      <c r="AB63" s="217">
        <v>0</v>
      </c>
      <c r="AC63" s="217">
        <v>0</v>
      </c>
      <c r="AD63" s="118" t="str">
        <v>소폭 10*26</v>
      </c>
      <c r="AE63" s="224">
        <v>0</v>
      </c>
      <c r="AF63" s="217">
        <v>890</v>
      </c>
      <c r="AG63" s="217">
        <v>550</v>
      </c>
      <c r="AH63" s="217">
        <v>35900</v>
      </c>
      <c r="AI63" s="217">
        <v>22750</v>
      </c>
      <c r="AJ63" s="217">
        <v>4008</v>
      </c>
      <c r="AK63" s="217">
        <v>9142</v>
      </c>
      <c r="AL63" s="227">
        <v>0.25469999999999998</v>
      </c>
      <c r="AM63" s="224">
        <v>0</v>
      </c>
      <c r="AN63" s="118" t="str">
        <v>ptDB47</v>
      </c>
      <c r="AO63" s="229">
        <v>0</v>
      </c>
      <c r="AP63" s="217">
        <v>35900</v>
      </c>
      <c r="AQ63" s="217">
        <v>22750</v>
      </c>
      <c r="AR63" s="217">
        <v>4008</v>
      </c>
      <c r="AS63" s="217">
        <v>9142</v>
      </c>
      <c r="AT63" s="227">
        <v>0.25469999999999998</v>
      </c>
      <c r="AU63" s="224" t="str">
        <v/>
      </c>
      <c r="AV63" s="229">
        <v>0</v>
      </c>
      <c r="AW63" s="118">
        <v>19250</v>
      </c>
    </row>
    <row r="64" spans="1:49">
      <c r="A64" s="118">
        <v>132</v>
      </c>
      <c r="B64" s="118" t="str">
        <v>비닐스토리</v>
      </c>
      <c r="C64" s="211">
        <v>45453</v>
      </c>
      <c r="D64" s="118" t="str">
        <v>3100052473841</v>
      </c>
      <c r="E64" s="118" t="str">
        <v>쿠팡</v>
      </c>
      <c r="F64" s="118" t="str">
        <v>한은희</v>
      </c>
      <c r="G64" s="118" t="str">
        <v>gk*****@gm</v>
      </c>
      <c r="H64" s="118" t="str">
        <v>0502-1701-0094</v>
      </c>
      <c r="I64" s="211">
        <v>45454</v>
      </c>
      <c r="J64" s="118" t="str">
        <v>CJ대한통운</v>
      </c>
      <c r="K64" s="118" t="str">
        <v>530219199842</v>
      </c>
      <c r="L64" s="211">
        <v>0</v>
      </c>
      <c r="M64" s="118" t="str">
        <v>SE.307</v>
      </c>
      <c r="N64" s="118" t="str">
        <v>투명</v>
      </c>
      <c r="O64" s="118">
        <v>3</v>
      </c>
      <c r="P64" s="118" t="str">
        <v>한은희</v>
      </c>
      <c r="Q64" s="118" t="str">
        <v>0502-1701-0094</v>
      </c>
      <c r="R64" s="118">
        <v>0</v>
      </c>
      <c r="S64" s="118" t="str">
        <v>전라남도 함평군 신광면 삼무길 6-5 두배로영농</v>
      </c>
      <c r="T64" s="224" t="str">
        <v>문 앞</v>
      </c>
      <c r="U64" s="224">
        <v>0</v>
      </c>
      <c r="V64" s="224">
        <v>0</v>
      </c>
      <c r="W64" s="217">
        <v>37410</v>
      </c>
      <c r="X64" s="217">
        <v>0</v>
      </c>
      <c r="Y64" s="217">
        <v>0</v>
      </c>
      <c r="Z64" s="217">
        <v>3500</v>
      </c>
      <c r="AA64" s="217">
        <v>0</v>
      </c>
      <c r="AB64" s="217">
        <v>0</v>
      </c>
      <c r="AC64" s="217">
        <v>0</v>
      </c>
      <c r="AD64" s="118" t="str">
        <v>떡외겹 30*30</v>
      </c>
      <c r="AE64" s="224">
        <v>0</v>
      </c>
      <c r="AF64" s="217">
        <v>11780</v>
      </c>
      <c r="AG64" s="217">
        <v>7260</v>
      </c>
      <c r="AH64" s="217">
        <v>37410</v>
      </c>
      <c r="AI64" s="217">
        <v>25280</v>
      </c>
      <c r="AJ64" s="217">
        <v>4444</v>
      </c>
      <c r="AK64" s="217">
        <v>7686</v>
      </c>
      <c r="AL64" s="227">
        <v>0.20549999999999999</v>
      </c>
      <c r="AM64" s="224">
        <v>0</v>
      </c>
      <c r="AN64" s="118" t="str">
        <v>ptDB47</v>
      </c>
      <c r="AO64" s="229">
        <v>0</v>
      </c>
      <c r="AP64" s="217">
        <v>37410</v>
      </c>
      <c r="AQ64" s="217">
        <v>25280</v>
      </c>
      <c r="AR64" s="217">
        <v>4444</v>
      </c>
      <c r="AS64" s="217">
        <v>7686</v>
      </c>
      <c r="AT64" s="227">
        <v>0.20549999999999999</v>
      </c>
      <c r="AU64" s="224" t="str">
        <v/>
      </c>
      <c r="AV64" s="229">
        <v>0</v>
      </c>
      <c r="AW64" s="118">
        <v>21780</v>
      </c>
    </row>
    <row r="65" spans="1:49">
      <c r="A65" s="118">
        <v>133</v>
      </c>
      <c r="B65" s="118" t="str">
        <v>비닐스토리</v>
      </c>
      <c r="C65" s="211">
        <v>45453</v>
      </c>
      <c r="D65" s="118" t="str">
        <v>23100052328356</v>
      </c>
      <c r="E65" s="118" t="str">
        <v>쿠팡</v>
      </c>
      <c r="F65" s="118" t="str">
        <v>김성주</v>
      </c>
      <c r="G65" s="118" t="str">
        <v>ks*****@ha</v>
      </c>
      <c r="H65" s="118" t="str">
        <v>0502-4991-1148</v>
      </c>
      <c r="I65" s="211">
        <v>45454</v>
      </c>
      <c r="J65" s="118" t="str">
        <v>CJ대한통운</v>
      </c>
      <c r="K65" s="118" t="str">
        <v>540218123780</v>
      </c>
      <c r="L65" s="211">
        <v>0</v>
      </c>
      <c r="M65" s="118" t="str">
        <v>SE.114</v>
      </c>
      <c r="N65" s="118" t="str">
        <v>투명</v>
      </c>
      <c r="O65" s="118">
        <v>5</v>
      </c>
      <c r="P65" s="118" t="str">
        <v>김성주</v>
      </c>
      <c r="Q65" s="118" t="str">
        <v>0502-4991-1148</v>
      </c>
      <c r="R65" s="118">
        <v>0</v>
      </c>
      <c r="S65" s="118" t="str">
        <v>부산광역시 강서구 명지동 3350 중흥S-클래스 에듀오션 202동 901호</v>
      </c>
      <c r="T65" s="224" t="str">
        <v>문 앞</v>
      </c>
      <c r="U65" s="224">
        <v>0</v>
      </c>
      <c r="V65" s="224">
        <v>0</v>
      </c>
      <c r="W65" s="217">
        <v>30600</v>
      </c>
      <c r="X65" s="217">
        <v>3400</v>
      </c>
      <c r="Y65" s="217">
        <v>0</v>
      </c>
      <c r="Z65" s="217">
        <v>3500</v>
      </c>
      <c r="AA65" s="217">
        <v>0</v>
      </c>
      <c r="AB65" s="217">
        <v>0</v>
      </c>
      <c r="AC65" s="217">
        <v>0</v>
      </c>
      <c r="AD65" s="118" t="str">
        <v>고추 90*130</v>
      </c>
      <c r="AE65" s="224">
        <v>0</v>
      </c>
      <c r="AF65" s="217">
        <v>6430</v>
      </c>
      <c r="AG65" s="217">
        <v>3960</v>
      </c>
      <c r="AH65" s="217">
        <v>30600</v>
      </c>
      <c r="AI65" s="217">
        <v>23300</v>
      </c>
      <c r="AJ65" s="217">
        <v>3635</v>
      </c>
      <c r="AK65" s="217">
        <v>3665</v>
      </c>
      <c r="AL65" s="227">
        <v>0.1198</v>
      </c>
      <c r="AM65" s="224">
        <v>0</v>
      </c>
      <c r="AN65" s="118" t="str">
        <v>ptDB47</v>
      </c>
      <c r="AO65" s="229">
        <v>0</v>
      </c>
      <c r="AP65" s="217">
        <v>30600</v>
      </c>
      <c r="AQ65" s="217">
        <v>23300</v>
      </c>
      <c r="AR65" s="217">
        <v>3635</v>
      </c>
      <c r="AS65" s="217">
        <v>3665</v>
      </c>
      <c r="AT65" s="227">
        <v>0.1198</v>
      </c>
      <c r="AU65" s="224" t="str">
        <v/>
      </c>
      <c r="AV65" s="229">
        <v>0</v>
      </c>
      <c r="AW65" s="118">
        <v>19800</v>
      </c>
    </row>
    <row r="66" spans="1:49">
      <c r="A66" s="118">
        <v>134</v>
      </c>
      <c r="B66" s="118" t="str">
        <v>비닐스토리</v>
      </c>
      <c r="C66" s="211">
        <v>45453</v>
      </c>
      <c r="D66" s="118" t="str">
        <v>9100052293792</v>
      </c>
      <c r="E66" s="118" t="str">
        <v>쿠팡</v>
      </c>
      <c r="F66" s="118" t="str">
        <v>박용곤</v>
      </c>
      <c r="G66" s="118" t="str">
        <v>dy*****@na</v>
      </c>
      <c r="H66" s="118" t="str">
        <v>0502-4178-9340</v>
      </c>
      <c r="I66" s="211">
        <v>45454</v>
      </c>
      <c r="J66" s="118" t="str">
        <v>CJ대한통운</v>
      </c>
      <c r="K66" s="118" t="str">
        <v>530219199901</v>
      </c>
      <c r="L66" s="211">
        <v>0</v>
      </c>
      <c r="M66" s="118" t="str">
        <v>SE.102</v>
      </c>
      <c r="N66" s="118" t="str">
        <v>투명</v>
      </c>
      <c r="O66" s="118">
        <v>1</v>
      </c>
      <c r="P66" s="118" t="str">
        <v>박용곤</v>
      </c>
      <c r="Q66" s="118" t="str">
        <v>0502-4178-9340</v>
      </c>
      <c r="R66" s="118">
        <v>0</v>
      </c>
      <c r="S66" s="118" t="str">
        <v>경기도 하남시 망월동 1096-2 우성르보아리버 1층 104호</v>
      </c>
      <c r="T66" s="224" t="str">
        <v>문 앞</v>
      </c>
      <c r="U66" s="224">
        <v>0</v>
      </c>
      <c r="V66" s="224">
        <v>0</v>
      </c>
      <c r="W66" s="217">
        <v>1150</v>
      </c>
      <c r="X66" s="217">
        <v>0</v>
      </c>
      <c r="Y66" s="217">
        <v>3000</v>
      </c>
      <c r="Z66" s="217">
        <v>3000</v>
      </c>
      <c r="AA66" s="217">
        <v>0</v>
      </c>
      <c r="AB66" s="217">
        <v>0</v>
      </c>
      <c r="AC66" s="217">
        <v>0</v>
      </c>
      <c r="AD66" s="118" t="str">
        <v>소폭 12*26</v>
      </c>
      <c r="AE66" s="224">
        <v>0</v>
      </c>
      <c r="AF66" s="217">
        <v>1070</v>
      </c>
      <c r="AG66" s="217">
        <v>660</v>
      </c>
      <c r="AH66" s="217">
        <v>4150</v>
      </c>
      <c r="AI66" s="217">
        <v>3660</v>
      </c>
      <c r="AJ66" s="217">
        <v>236</v>
      </c>
      <c r="AK66" s="217">
        <v>254</v>
      </c>
      <c r="AL66" s="227">
        <v>6.1199999999999997E-2</v>
      </c>
      <c r="AM66" s="224">
        <v>0</v>
      </c>
      <c r="AN66" s="118" t="str">
        <v>ptDB47</v>
      </c>
      <c r="AO66" s="229">
        <v>0</v>
      </c>
      <c r="AP66" s="217">
        <v>4150</v>
      </c>
      <c r="AQ66" s="217">
        <v>3660</v>
      </c>
      <c r="AR66" s="217">
        <v>236</v>
      </c>
      <c r="AS66" s="217">
        <v>254</v>
      </c>
      <c r="AT66" s="227">
        <v>6.1199999999999997E-2</v>
      </c>
      <c r="AU66" s="224" t="str">
        <v/>
      </c>
      <c r="AV66" s="229">
        <v>0</v>
      </c>
      <c r="AW66" s="118">
        <v>660</v>
      </c>
    </row>
    <row r="67" spans="1:49">
      <c r="A67" s="118">
        <v>139</v>
      </c>
      <c r="B67" s="118" t="str">
        <v>비닐스토리</v>
      </c>
      <c r="C67" s="211">
        <v>45455</v>
      </c>
      <c r="D67" s="118" t="str">
        <v>15100052626789</v>
      </c>
      <c r="E67" s="118" t="str">
        <v>쿠팡</v>
      </c>
      <c r="F67" s="118" t="str">
        <v>박희종</v>
      </c>
      <c r="G67" s="118" t="str">
        <v>qg*****@na</v>
      </c>
      <c r="H67" s="118" t="str">
        <v>0504-4978-6969</v>
      </c>
      <c r="I67" s="211">
        <v>45455</v>
      </c>
      <c r="J67" s="118" t="str">
        <v>CJ대한통운</v>
      </c>
      <c r="K67" s="118" t="str">
        <v>540219104841</v>
      </c>
      <c r="L67" s="211">
        <v>0</v>
      </c>
      <c r="M67" s="118" t="str">
        <v>SE.204</v>
      </c>
      <c r="N67" s="118" t="str">
        <v>투명</v>
      </c>
      <c r="O67" s="118">
        <v>1</v>
      </c>
      <c r="P67" s="118" t="str">
        <v>박희종</v>
      </c>
      <c r="Q67" s="118" t="str">
        <v>0504-4978-6969</v>
      </c>
      <c r="R67" s="118">
        <v>0</v>
      </c>
      <c r="S67" s="118" t="str">
        <v>서울특별시 용산구 이태원동 127-1 1층 피자레볼루션</v>
      </c>
      <c r="T67" s="224" t="str">
        <v>직접 받고 부재 시 문 앞</v>
      </c>
      <c r="U67" s="224">
        <v>0</v>
      </c>
      <c r="V67" s="224">
        <v>0</v>
      </c>
      <c r="W67" s="217">
        <v>24570</v>
      </c>
      <c r="X67" s="217">
        <v>0</v>
      </c>
      <c r="Y67" s="217">
        <v>3000</v>
      </c>
      <c r="Z67" s="217">
        <v>3000</v>
      </c>
      <c r="AA67" s="217">
        <v>0</v>
      </c>
      <c r="AB67" s="217">
        <v>0</v>
      </c>
      <c r="AC67" s="217">
        <v>0</v>
      </c>
      <c r="AD67" s="118" t="str">
        <v>떡롤 30*400</v>
      </c>
      <c r="AE67" s="224">
        <v>0</v>
      </c>
      <c r="AF67" s="217">
        <v>23210</v>
      </c>
      <c r="AG67" s="217">
        <v>14300</v>
      </c>
      <c r="AH67" s="217">
        <v>27570</v>
      </c>
      <c r="AI67" s="217">
        <v>17300</v>
      </c>
      <c r="AJ67" s="217">
        <v>3018</v>
      </c>
      <c r="AK67" s="217">
        <v>7252</v>
      </c>
      <c r="AL67" s="227">
        <v>0.26300000000000001</v>
      </c>
      <c r="AM67" s="224">
        <v>0</v>
      </c>
      <c r="AN67" s="118" t="str">
        <v>ptDB47</v>
      </c>
      <c r="AO67" s="229">
        <v>0</v>
      </c>
      <c r="AP67" s="217">
        <v>27570</v>
      </c>
      <c r="AQ67" s="217">
        <v>17300</v>
      </c>
      <c r="AR67" s="217">
        <v>3018</v>
      </c>
      <c r="AS67" s="217">
        <v>7252</v>
      </c>
      <c r="AT67" s="227">
        <v>0.26300000000000001</v>
      </c>
      <c r="AU67" s="224" t="str">
        <v/>
      </c>
      <c r="AV67" s="229">
        <v>0</v>
      </c>
      <c r="AW67" s="118">
        <v>14300</v>
      </c>
    </row>
    <row r="68" spans="1:49">
      <c r="A68" s="118">
        <v>141</v>
      </c>
      <c r="B68" s="118" t="str">
        <v>비닐스토리</v>
      </c>
      <c r="C68" s="211">
        <v>45454</v>
      </c>
      <c r="D68" s="118" t="str">
        <v>2024061171125061</v>
      </c>
      <c r="E68" s="118" t="str">
        <v>스마트 스토어</v>
      </c>
      <c r="F68" s="118" t="str">
        <v>김소희</v>
      </c>
      <c r="G68" s="118" t="str">
        <v>fung****</v>
      </c>
      <c r="H68" s="118" t="str">
        <v>010-2254-5827</v>
      </c>
      <c r="I68" s="211">
        <v>45455</v>
      </c>
      <c r="J68" s="118" t="str">
        <v>CJ대한통운</v>
      </c>
      <c r="K68" s="118" t="str">
        <v>540219104804</v>
      </c>
      <c r="L68" s="211">
        <v>0</v>
      </c>
      <c r="M68" s="118" t="str">
        <v>SE.307</v>
      </c>
      <c r="N68" s="118" t="str">
        <v>투명</v>
      </c>
      <c r="O68" s="118">
        <v>1</v>
      </c>
      <c r="P68" s="118" t="str">
        <v>김소희</v>
      </c>
      <c r="Q68" s="118" t="str">
        <v>010-2254-5827</v>
      </c>
      <c r="R68" s="118">
        <v>0</v>
      </c>
      <c r="S68" s="118" t="str">
        <v>경기도 광명시 범안로 1050 (하안동) 성보빌딩 202호</v>
      </c>
      <c r="T68" s="224" t="str">
        <v>문 앞에 놓아주세요</v>
      </c>
      <c r="U68" s="224">
        <v>0</v>
      </c>
      <c r="V68" s="224">
        <v>0</v>
      </c>
      <c r="W68" s="217">
        <v>10690</v>
      </c>
      <c r="X68" s="217">
        <v>1190</v>
      </c>
      <c r="Y68" s="217">
        <v>3000</v>
      </c>
      <c r="Z68" s="217">
        <v>3000</v>
      </c>
      <c r="AA68" s="217">
        <v>0</v>
      </c>
      <c r="AB68" s="217">
        <v>0</v>
      </c>
      <c r="AC68" s="217">
        <v>0</v>
      </c>
      <c r="AD68" s="118" t="str">
        <v>떡외겹 30*30</v>
      </c>
      <c r="AE68" s="224">
        <v>0</v>
      </c>
      <c r="AF68" s="217">
        <v>11220</v>
      </c>
      <c r="AG68" s="217">
        <v>7260</v>
      </c>
      <c r="AH68" s="217">
        <v>13690</v>
      </c>
      <c r="AI68" s="217">
        <v>10260</v>
      </c>
      <c r="AJ68" s="217">
        <v>564</v>
      </c>
      <c r="AK68" s="217">
        <v>2866</v>
      </c>
      <c r="AL68" s="227">
        <v>0.20930000000000001</v>
      </c>
      <c r="AM68" s="224">
        <v>0</v>
      </c>
      <c r="AN68" s="118" t="str">
        <v>ptDB47</v>
      </c>
      <c r="AO68" s="229">
        <v>0</v>
      </c>
      <c r="AP68" s="217">
        <v>13690</v>
      </c>
      <c r="AQ68" s="217">
        <v>10260</v>
      </c>
      <c r="AR68" s="217">
        <v>564</v>
      </c>
      <c r="AS68" s="217">
        <v>2866</v>
      </c>
      <c r="AT68" s="227">
        <v>0.20930000000000001</v>
      </c>
      <c r="AU68" s="224" t="str">
        <v/>
      </c>
      <c r="AV68" s="229">
        <v>0</v>
      </c>
      <c r="AW68" s="118">
        <v>7260</v>
      </c>
    </row>
    <row r="69" spans="1:49">
      <c r="A69" s="118">
        <v>142</v>
      </c>
      <c r="B69" s="118" t="str">
        <v>비닐스토리</v>
      </c>
      <c r="C69" s="211">
        <v>45454</v>
      </c>
      <c r="D69" s="118" t="str">
        <v>2024061169075231</v>
      </c>
      <c r="E69" s="118" t="str">
        <v>스마트 스토어</v>
      </c>
      <c r="F69" s="118" t="str">
        <v>김태희</v>
      </c>
      <c r="G69" s="118" t="str">
        <v>kth9****</v>
      </c>
      <c r="H69" s="118" t="str">
        <v>010-5652-5279</v>
      </c>
      <c r="I69" s="211">
        <v>45455</v>
      </c>
      <c r="J69" s="118" t="str">
        <v>CJ대한통운</v>
      </c>
      <c r="K69" s="118" t="str">
        <v>530220193050</v>
      </c>
      <c r="L69" s="211">
        <v>0</v>
      </c>
      <c r="M69" s="118" t="str">
        <v>SE.13</v>
      </c>
      <c r="N69" s="118" t="str">
        <v>검정</v>
      </c>
      <c r="O69" s="118">
        <v>50</v>
      </c>
      <c r="P69" s="118" t="str">
        <v>김태희</v>
      </c>
      <c r="Q69" s="118" t="str">
        <v>010-5652-5279</v>
      </c>
      <c r="R69" s="118" t="str">
        <v>055-533-5288</v>
      </c>
      <c r="S69" s="118" t="str">
        <v>경상남도 창녕군 창녕읍 초막1길 2 (창녕읍) 영도축산</v>
      </c>
      <c r="T69" s="224" t="str">
        <v>배송 전 미리 연락해 주세요</v>
      </c>
      <c r="U69" s="224">
        <v>0</v>
      </c>
      <c r="V69" s="224">
        <v>0</v>
      </c>
      <c r="W69" s="217">
        <v>65500</v>
      </c>
      <c r="X69" s="217">
        <v>0</v>
      </c>
      <c r="Y69" s="217">
        <v>0</v>
      </c>
      <c r="Z69" s="217">
        <v>0</v>
      </c>
      <c r="AA69" s="217">
        <v>0</v>
      </c>
      <c r="AB69" s="217">
        <v>0</v>
      </c>
      <c r="AC69" s="217">
        <v>0</v>
      </c>
      <c r="AD69" s="118" t="str">
        <v>특대C</v>
      </c>
      <c r="AE69" s="224">
        <v>0</v>
      </c>
      <c r="AF69" s="217">
        <v>1250</v>
      </c>
      <c r="AG69" s="217">
        <v>798</v>
      </c>
      <c r="AH69" s="217">
        <v>65500</v>
      </c>
      <c r="AI69" s="217">
        <v>39900</v>
      </c>
      <c r="AJ69" s="217">
        <v>2687</v>
      </c>
      <c r="AK69" s="217">
        <v>22913</v>
      </c>
      <c r="AL69" s="227">
        <v>0.3498</v>
      </c>
      <c r="AM69" s="224">
        <v>0</v>
      </c>
      <c r="AN69" s="118" t="str">
        <v>ptDB47</v>
      </c>
      <c r="AO69" s="229">
        <v>0</v>
      </c>
      <c r="AP69" s="217">
        <v>65500</v>
      </c>
      <c r="AQ69" s="217">
        <v>39900</v>
      </c>
      <c r="AR69" s="217">
        <v>2687</v>
      </c>
      <c r="AS69" s="217">
        <v>22913</v>
      </c>
      <c r="AT69" s="227">
        <v>0.3498</v>
      </c>
      <c r="AU69" s="224" t="str">
        <v/>
      </c>
      <c r="AV69" s="229">
        <v>0</v>
      </c>
      <c r="AW69" s="118">
        <v>39900</v>
      </c>
    </row>
    <row r="70" spans="1:49">
      <c r="A70" s="118">
        <v>149</v>
      </c>
      <c r="B70" s="118" t="str">
        <v>비닐스토리</v>
      </c>
      <c r="C70" s="211">
        <v>45455</v>
      </c>
      <c r="D70" s="118" t="str">
        <v>3100052835477</v>
      </c>
      <c r="E70" s="118" t="str">
        <v>쿠팡</v>
      </c>
      <c r="F70" s="118" t="str">
        <v>주인아</v>
      </c>
      <c r="G70" s="118" t="str">
        <v>wn*****@ha</v>
      </c>
      <c r="H70" s="118" t="str">
        <v>0502-4878-0063</v>
      </c>
      <c r="I70" s="211">
        <v>45456</v>
      </c>
      <c r="J70" s="118" t="str">
        <v>CJ대한통운</v>
      </c>
      <c r="K70" s="118" t="str">
        <v>540219665552</v>
      </c>
      <c r="L70" s="211">
        <v>0</v>
      </c>
      <c r="M70" s="118" t="str">
        <v>SE.101</v>
      </c>
      <c r="N70" s="118" t="str">
        <v>투명</v>
      </c>
      <c r="O70" s="118">
        <v>1</v>
      </c>
      <c r="P70" s="118" t="str">
        <v>주인아</v>
      </c>
      <c r="Q70" s="118" t="str">
        <v>0502-4878-0063</v>
      </c>
      <c r="R70" s="118">
        <v>0</v>
      </c>
      <c r="S70" s="118" t="str">
        <v>대전광역시 유성구 송강로42번길 61 청솔아파트 205동 1501호 ( 송강동, 청솔아파트 )</v>
      </c>
      <c r="T70" s="224" t="str">
        <v>문 앞</v>
      </c>
      <c r="U70" s="224">
        <v>0</v>
      </c>
      <c r="V70" s="224">
        <v>0</v>
      </c>
      <c r="W70" s="217">
        <v>940</v>
      </c>
      <c r="X70" s="217">
        <v>0</v>
      </c>
      <c r="Y70" s="217">
        <v>3000</v>
      </c>
      <c r="Z70" s="217">
        <v>3000</v>
      </c>
      <c r="AA70" s="217">
        <v>0</v>
      </c>
      <c r="AB70" s="217">
        <v>0</v>
      </c>
      <c r="AC70" s="217">
        <v>0</v>
      </c>
      <c r="AD70" s="118" t="str">
        <v>소폭 10*26</v>
      </c>
      <c r="AE70" s="224">
        <v>0</v>
      </c>
      <c r="AF70" s="217">
        <v>890</v>
      </c>
      <c r="AG70" s="217">
        <v>550</v>
      </c>
      <c r="AH70" s="217">
        <v>3940</v>
      </c>
      <c r="AI70" s="217">
        <v>3550</v>
      </c>
      <c r="AJ70" s="217">
        <v>211</v>
      </c>
      <c r="AK70" s="217">
        <v>179</v>
      </c>
      <c r="AL70" s="227">
        <v>4.5400000000000003E-2</v>
      </c>
      <c r="AM70" s="224">
        <v>0</v>
      </c>
      <c r="AN70" s="118" t="str">
        <v>ptDB47</v>
      </c>
      <c r="AO70" s="229">
        <v>0</v>
      </c>
      <c r="AP70" s="217">
        <v>3940</v>
      </c>
      <c r="AQ70" s="217">
        <v>3550</v>
      </c>
      <c r="AR70" s="217">
        <v>211</v>
      </c>
      <c r="AS70" s="217">
        <v>179</v>
      </c>
      <c r="AT70" s="227">
        <v>4.5400000000000003E-2</v>
      </c>
      <c r="AU70" s="224" t="str">
        <v/>
      </c>
      <c r="AV70" s="229">
        <v>0</v>
      </c>
      <c r="AW70" s="118">
        <v>550</v>
      </c>
    </row>
    <row r="71" spans="1:49">
      <c r="A71" s="118">
        <v>150</v>
      </c>
      <c r="B71" s="118" t="str">
        <v>비닐스토리</v>
      </c>
      <c r="C71" s="211">
        <v>45455</v>
      </c>
      <c r="D71" s="118" t="str">
        <v>8100052791560</v>
      </c>
      <c r="E71" s="118" t="str">
        <v>쿠팡</v>
      </c>
      <c r="F71" s="118" t="str">
        <v>이성화</v>
      </c>
      <c r="G71" s="118" t="str">
        <v>a5*****@na</v>
      </c>
      <c r="H71" s="118" t="str">
        <v>0502-1357-0033</v>
      </c>
      <c r="I71" s="211">
        <v>45456</v>
      </c>
      <c r="J71" s="118" t="str">
        <v>CJ대한통운</v>
      </c>
      <c r="K71" s="118" t="str">
        <v>530220762706</v>
      </c>
      <c r="L71" s="211">
        <v>0</v>
      </c>
      <c r="M71" s="118" t="str">
        <v>SE.102</v>
      </c>
      <c r="N71" s="118" t="str">
        <v>투명</v>
      </c>
      <c r="O71" s="118">
        <v>20</v>
      </c>
      <c r="P71" s="118" t="str">
        <v>이성화</v>
      </c>
      <c r="Q71" s="118" t="str">
        <v>0502-1357-0033</v>
      </c>
      <c r="R71" s="118">
        <v>0</v>
      </c>
      <c r="S71" s="118" t="str">
        <v>부산광역시 동래구 석사북로 92-1 굴림당 ( 온천동 )</v>
      </c>
      <c r="T71" s="224" t="str">
        <v>직접 받고 부재 시 문 앞</v>
      </c>
      <c r="U71" s="224">
        <v>0</v>
      </c>
      <c r="V71" s="224">
        <v>0</v>
      </c>
      <c r="W71" s="217">
        <v>23000</v>
      </c>
      <c r="X71" s="217">
        <v>0</v>
      </c>
      <c r="Y71" s="217">
        <v>3000</v>
      </c>
      <c r="Z71" s="217">
        <v>3500</v>
      </c>
      <c r="AA71" s="217">
        <v>0</v>
      </c>
      <c r="AB71" s="217">
        <v>0</v>
      </c>
      <c r="AC71" s="217">
        <v>0</v>
      </c>
      <c r="AD71" s="118" t="str">
        <v>소폭 12*26</v>
      </c>
      <c r="AE71" s="224">
        <v>0</v>
      </c>
      <c r="AF71" s="217">
        <v>1070</v>
      </c>
      <c r="AG71" s="217">
        <v>660</v>
      </c>
      <c r="AH71" s="217">
        <v>26000</v>
      </c>
      <c r="AI71" s="217">
        <v>16700</v>
      </c>
      <c r="AJ71" s="217">
        <v>2831</v>
      </c>
      <c r="AK71" s="217">
        <v>6469</v>
      </c>
      <c r="AL71" s="227">
        <v>0.24879999999999999</v>
      </c>
      <c r="AM71" s="224">
        <v>0</v>
      </c>
      <c r="AN71" s="118" t="str">
        <v>ptDB47</v>
      </c>
      <c r="AO71" s="229">
        <v>0</v>
      </c>
      <c r="AP71" s="217">
        <v>26000</v>
      </c>
      <c r="AQ71" s="217">
        <v>16700</v>
      </c>
      <c r="AR71" s="217">
        <v>2831</v>
      </c>
      <c r="AS71" s="217">
        <v>6469</v>
      </c>
      <c r="AT71" s="227">
        <v>0.24879999999999999</v>
      </c>
      <c r="AU71" s="224" t="str">
        <v/>
      </c>
      <c r="AV71" s="229">
        <v>0</v>
      </c>
      <c r="AW71" s="118">
        <v>13200</v>
      </c>
    </row>
    <row r="72" spans="1:49">
      <c r="A72" s="118">
        <v>151</v>
      </c>
      <c r="B72" s="118" t="str">
        <v>비닐스토리</v>
      </c>
      <c r="C72" s="211">
        <v>45455</v>
      </c>
      <c r="D72" s="118" t="str">
        <v>10100052616179</v>
      </c>
      <c r="E72" s="118" t="str">
        <v>쿠팡</v>
      </c>
      <c r="F72" s="118" t="str">
        <v>이종훈</v>
      </c>
      <c r="G72" s="118" t="str">
        <v>dc*****@na</v>
      </c>
      <c r="H72" s="118" t="str">
        <v>0504-4364-4215</v>
      </c>
      <c r="I72" s="211">
        <v>45456</v>
      </c>
      <c r="J72" s="118" t="str">
        <v>CJ대한통운</v>
      </c>
      <c r="K72" s="118" t="str">
        <v>530220762662</v>
      </c>
      <c r="L72" s="211">
        <v>0</v>
      </c>
      <c r="M72" s="118" t="str">
        <v>SE.138</v>
      </c>
      <c r="N72" s="118" t="str">
        <v>투명</v>
      </c>
      <c r="O72" s="118">
        <v>5</v>
      </c>
      <c r="P72" s="118" t="str">
        <v>서구재활주간보호센터</v>
      </c>
      <c r="Q72" s="118" t="str">
        <v>0504-4364-4215</v>
      </c>
      <c r="R72" s="118">
        <v>0</v>
      </c>
      <c r="S72" s="118" t="str">
        <v>인천광역시 서구 탁옥로 104 다빈치프라자 2층 ( 심곡동 )</v>
      </c>
      <c r="T72" s="224" t="str">
        <v>직접 받고 부재 시 문 앞</v>
      </c>
      <c r="U72" s="224">
        <v>0</v>
      </c>
      <c r="V72" s="224">
        <v>0</v>
      </c>
      <c r="W72" s="217">
        <v>13400</v>
      </c>
      <c r="X72" s="217">
        <v>0</v>
      </c>
      <c r="Y72" s="217">
        <v>0</v>
      </c>
      <c r="Z72" s="217">
        <v>3000</v>
      </c>
      <c r="AA72" s="217">
        <v>0</v>
      </c>
      <c r="AB72" s="217">
        <v>0</v>
      </c>
      <c r="AC72" s="217">
        <v>0</v>
      </c>
      <c r="AD72" s="118" t="str">
        <v>끈속지 30*45</v>
      </c>
      <c r="AE72" s="224">
        <v>0</v>
      </c>
      <c r="AF72" s="217">
        <v>1950</v>
      </c>
      <c r="AG72" s="217">
        <v>1320</v>
      </c>
      <c r="AH72" s="217">
        <v>13400</v>
      </c>
      <c r="AI72" s="217">
        <v>9600</v>
      </c>
      <c r="AJ72" s="217">
        <v>1592</v>
      </c>
      <c r="AK72" s="217">
        <v>2208</v>
      </c>
      <c r="AL72" s="227">
        <v>0.1648</v>
      </c>
      <c r="AM72" s="224">
        <v>0</v>
      </c>
      <c r="AN72" s="118" t="str">
        <v>ptDB47</v>
      </c>
      <c r="AO72" s="229">
        <v>0</v>
      </c>
      <c r="AP72" s="217">
        <v>13400</v>
      </c>
      <c r="AQ72" s="217">
        <v>9600</v>
      </c>
      <c r="AR72" s="217">
        <v>1592</v>
      </c>
      <c r="AS72" s="217">
        <v>2208</v>
      </c>
      <c r="AT72" s="227">
        <v>0.1648</v>
      </c>
      <c r="AU72" s="224" t="str">
        <v/>
      </c>
      <c r="AV72" s="229">
        <v>0</v>
      </c>
      <c r="AW72" s="118">
        <v>6600</v>
      </c>
    </row>
    <row r="73" spans="1:49">
      <c r="A73" s="118">
        <v>152</v>
      </c>
      <c r="B73" s="118" t="str">
        <v>비닐스토리</v>
      </c>
      <c r="C73" s="211">
        <v>45455</v>
      </c>
      <c r="D73" s="118" t="str">
        <v>28100052588127</v>
      </c>
      <c r="E73" s="118" t="str">
        <v>쿠팡</v>
      </c>
      <c r="F73" s="118" t="str">
        <v>김재성</v>
      </c>
      <c r="G73" s="118" t="str">
        <v>pa*****@gm</v>
      </c>
      <c r="H73" s="118" t="str">
        <v>0502-5213-9023</v>
      </c>
      <c r="I73" s="211">
        <v>45456</v>
      </c>
      <c r="J73" s="118" t="str">
        <v>CJ대한통운</v>
      </c>
      <c r="K73" s="118" t="str">
        <v>540219665515</v>
      </c>
      <c r="L73" s="211">
        <v>0</v>
      </c>
      <c r="M73" s="118" t="str">
        <v>SE.206</v>
      </c>
      <c r="N73" s="118" t="str">
        <v>투명</v>
      </c>
      <c r="O73" s="118">
        <v>1</v>
      </c>
      <c r="P73" s="118" t="str">
        <v>김재성</v>
      </c>
      <c r="Q73" s="118" t="str">
        <v>0502-5213-9023</v>
      </c>
      <c r="R73" s="118">
        <v>0</v>
      </c>
      <c r="S73" s="118" t="str">
        <v>서울특별시 동대문구 답십리동 1003 래미안위브 403동 1605호</v>
      </c>
      <c r="T73" s="224" t="str">
        <v>직접 받고 부재 시 문 앞</v>
      </c>
      <c r="U73" s="224">
        <v>0</v>
      </c>
      <c r="V73" s="224">
        <v>0</v>
      </c>
      <c r="W73" s="217">
        <v>34020</v>
      </c>
      <c r="X73" s="217">
        <v>0</v>
      </c>
      <c r="Y73" s="217">
        <v>3000</v>
      </c>
      <c r="Z73" s="217">
        <v>3500</v>
      </c>
      <c r="AA73" s="217">
        <v>0</v>
      </c>
      <c r="AB73" s="217">
        <v>0</v>
      </c>
      <c r="AC73" s="217">
        <v>0</v>
      </c>
      <c r="AD73" s="118" t="str">
        <v>떡롤 45*330</v>
      </c>
      <c r="AE73" s="224">
        <v>0</v>
      </c>
      <c r="AF73" s="217">
        <v>32130</v>
      </c>
      <c r="AG73" s="217">
        <v>19800</v>
      </c>
      <c r="AH73" s="217">
        <v>37020</v>
      </c>
      <c r="AI73" s="217">
        <v>23300</v>
      </c>
      <c r="AJ73" s="217">
        <v>4141</v>
      </c>
      <c r="AK73" s="217">
        <v>9579</v>
      </c>
      <c r="AL73" s="227">
        <v>0.25879999999999997</v>
      </c>
      <c r="AM73" s="224">
        <v>0</v>
      </c>
      <c r="AN73" s="118" t="str">
        <v>ptDB47</v>
      </c>
      <c r="AO73" s="229">
        <v>0</v>
      </c>
      <c r="AP73" s="217">
        <v>37020</v>
      </c>
      <c r="AQ73" s="217">
        <v>23300</v>
      </c>
      <c r="AR73" s="217">
        <v>4141</v>
      </c>
      <c r="AS73" s="217">
        <v>9579</v>
      </c>
      <c r="AT73" s="227">
        <v>0.25879999999999997</v>
      </c>
      <c r="AU73" s="224" t="str">
        <v/>
      </c>
      <c r="AV73" s="229">
        <v>0</v>
      </c>
      <c r="AW73" s="118">
        <v>19800</v>
      </c>
    </row>
    <row r="74" spans="1:49">
      <c r="A74" s="118">
        <v>153</v>
      </c>
      <c r="B74" s="118" t="str">
        <v>비닐스토리</v>
      </c>
      <c r="C74" s="211">
        <v>45455</v>
      </c>
      <c r="D74" s="118" t="str">
        <v>9100052625136</v>
      </c>
      <c r="E74" s="118" t="str">
        <v>쿠팡</v>
      </c>
      <c r="F74" s="118" t="str">
        <v>박광용</v>
      </c>
      <c r="G74" s="118" t="str">
        <v>p3*****@gm</v>
      </c>
      <c r="H74" s="118" t="str">
        <v>0502-4648-4892</v>
      </c>
      <c r="I74" s="211">
        <v>45456</v>
      </c>
      <c r="J74" s="118" t="str">
        <v>CJ대한통운</v>
      </c>
      <c r="K74" s="118" t="str">
        <v>540219665526</v>
      </c>
      <c r="L74" s="211">
        <v>0</v>
      </c>
      <c r="M74" s="118" t="str">
        <v>SE.116</v>
      </c>
      <c r="N74" s="118" t="str">
        <v>투명</v>
      </c>
      <c r="O74" s="118">
        <v>2</v>
      </c>
      <c r="P74" s="118" t="str">
        <v>박광용</v>
      </c>
      <c r="Q74" s="118" t="str">
        <v>0502-4648-4892</v>
      </c>
      <c r="R74" s="118">
        <v>0</v>
      </c>
      <c r="S74" s="118" t="str">
        <v>경상북도 구미시 문장로 54-11 경북구미시도량1동792~243 2층 ( 도량동 )</v>
      </c>
      <c r="T74" s="224" t="str">
        <v>직접 받고 부재 시 문 앞</v>
      </c>
      <c r="U74" s="224">
        <v>0</v>
      </c>
      <c r="V74" s="224">
        <v>0</v>
      </c>
      <c r="W74" s="217">
        <v>14440</v>
      </c>
      <c r="X74" s="217">
        <v>0</v>
      </c>
      <c r="Y74" s="217">
        <v>3000</v>
      </c>
      <c r="Z74" s="217">
        <v>3000</v>
      </c>
      <c r="AA74" s="217">
        <v>0</v>
      </c>
      <c r="AB74" s="217">
        <v>0</v>
      </c>
      <c r="AC74" s="217">
        <v>0</v>
      </c>
      <c r="AD74" s="118" t="str">
        <v>고추 120*170</v>
      </c>
      <c r="AE74" s="224">
        <v>0</v>
      </c>
      <c r="AF74" s="217">
        <v>6700</v>
      </c>
      <c r="AG74" s="217">
        <v>4125</v>
      </c>
      <c r="AH74" s="217">
        <v>17440</v>
      </c>
      <c r="AI74" s="217">
        <v>11250</v>
      </c>
      <c r="AJ74" s="217">
        <v>1814</v>
      </c>
      <c r="AK74" s="217">
        <v>4376</v>
      </c>
      <c r="AL74" s="227">
        <v>0.25090000000000001</v>
      </c>
      <c r="AM74" s="224">
        <v>0</v>
      </c>
      <c r="AN74" s="118" t="str">
        <v>ptDB47</v>
      </c>
      <c r="AO74" s="229">
        <v>0</v>
      </c>
      <c r="AP74" s="217">
        <v>17440</v>
      </c>
      <c r="AQ74" s="217">
        <v>11250</v>
      </c>
      <c r="AR74" s="217">
        <v>1814</v>
      </c>
      <c r="AS74" s="217">
        <v>4376</v>
      </c>
      <c r="AT74" s="227">
        <v>0.25090000000000001</v>
      </c>
      <c r="AU74" s="224" t="str">
        <v/>
      </c>
      <c r="AV74" s="229">
        <v>0</v>
      </c>
      <c r="AW74" s="118">
        <v>8250</v>
      </c>
    </row>
    <row r="75" spans="1:49">
      <c r="A75" s="118">
        <v>154</v>
      </c>
      <c r="B75" s="118" t="str">
        <v>비닐스토리</v>
      </c>
      <c r="C75" s="211">
        <v>45455</v>
      </c>
      <c r="D75" s="118" t="str">
        <v>19100052783568</v>
      </c>
      <c r="E75" s="118" t="str">
        <v>쿠팡</v>
      </c>
      <c r="F75" s="118" t="str">
        <v>김신</v>
      </c>
      <c r="G75" s="118" t="str">
        <v>rl*****@na</v>
      </c>
      <c r="H75" s="118" t="str">
        <v>0502-4800-4396</v>
      </c>
      <c r="I75" s="211">
        <v>45456</v>
      </c>
      <c r="J75" s="118" t="str">
        <v>CJ대한통운</v>
      </c>
      <c r="K75" s="118" t="str">
        <v>530220762695</v>
      </c>
      <c r="L75" s="211">
        <v>0</v>
      </c>
      <c r="M75" s="118" t="str">
        <v>SE.206</v>
      </c>
      <c r="N75" s="118" t="str">
        <v>투명</v>
      </c>
      <c r="O75" s="118">
        <v>1</v>
      </c>
      <c r="P75" s="118" t="str">
        <v>김신</v>
      </c>
      <c r="Q75" s="118" t="str">
        <v>0502-4800-4396</v>
      </c>
      <c r="R75" s="118">
        <v>0</v>
      </c>
      <c r="S75" s="118" t="str">
        <v>부산광역시 동래구 온천동 1850 동래 3차 SK VIEW 상가동 1층 138호 명성뒷고기</v>
      </c>
      <c r="T75" s="224" t="str">
        <v>문 앞</v>
      </c>
      <c r="U75" s="224">
        <v>0</v>
      </c>
      <c r="V75" s="224">
        <v>0</v>
      </c>
      <c r="W75" s="217">
        <v>34020</v>
      </c>
      <c r="X75" s="217">
        <v>0</v>
      </c>
      <c r="Y75" s="217">
        <v>3000</v>
      </c>
      <c r="Z75" s="217">
        <v>3500</v>
      </c>
      <c r="AA75" s="217">
        <v>0</v>
      </c>
      <c r="AB75" s="217">
        <v>0</v>
      </c>
      <c r="AC75" s="217">
        <v>0</v>
      </c>
      <c r="AD75" s="118" t="str">
        <v>떡롤 45*330</v>
      </c>
      <c r="AE75" s="224">
        <v>0</v>
      </c>
      <c r="AF75" s="217">
        <v>32130</v>
      </c>
      <c r="AG75" s="217">
        <v>19800</v>
      </c>
      <c r="AH75" s="217">
        <v>37020</v>
      </c>
      <c r="AI75" s="217">
        <v>23300</v>
      </c>
      <c r="AJ75" s="217">
        <v>4141</v>
      </c>
      <c r="AK75" s="217">
        <v>9579</v>
      </c>
      <c r="AL75" s="227">
        <v>0.25879999999999997</v>
      </c>
      <c r="AM75" s="224">
        <v>0</v>
      </c>
      <c r="AN75" s="118" t="str">
        <v>ptDB47</v>
      </c>
      <c r="AO75" s="229">
        <v>0</v>
      </c>
      <c r="AP75" s="217">
        <v>37020</v>
      </c>
      <c r="AQ75" s="217">
        <v>23300</v>
      </c>
      <c r="AR75" s="217">
        <v>4141</v>
      </c>
      <c r="AS75" s="217">
        <v>9579</v>
      </c>
      <c r="AT75" s="227">
        <v>0.25879999999999997</v>
      </c>
      <c r="AU75" s="224" t="str">
        <v/>
      </c>
      <c r="AV75" s="229">
        <v>0</v>
      </c>
      <c r="AW75" s="118">
        <v>19800</v>
      </c>
    </row>
    <row r="76" spans="1:49">
      <c r="A76" s="118">
        <v>155</v>
      </c>
      <c r="B76" s="118" t="str">
        <v>비닐스토리</v>
      </c>
      <c r="C76" s="211">
        <v>45455</v>
      </c>
      <c r="D76" s="118" t="str">
        <v>20100052706525</v>
      </c>
      <c r="E76" s="118" t="str">
        <v>쿠팡</v>
      </c>
      <c r="F76" s="118" t="str">
        <v>이민석</v>
      </c>
      <c r="G76" s="118" t="str">
        <v>lm*****@na</v>
      </c>
      <c r="H76" s="118" t="str">
        <v>0504-4373-2099</v>
      </c>
      <c r="I76" s="211">
        <v>45456</v>
      </c>
      <c r="J76" s="118" t="str">
        <v>CJ대한통운</v>
      </c>
      <c r="K76" s="118" t="str">
        <v>540219665530</v>
      </c>
      <c r="L76" s="211">
        <v>0</v>
      </c>
      <c r="M76" s="118" t="str">
        <v>SE.101</v>
      </c>
      <c r="N76" s="118" t="str">
        <v>투명</v>
      </c>
      <c r="O76" s="118">
        <v>1</v>
      </c>
      <c r="P76" s="118" t="str">
        <v>이민석</v>
      </c>
      <c r="Q76" s="118" t="str">
        <v>0504-4373-2099</v>
      </c>
      <c r="R76" s="118">
        <v>0</v>
      </c>
      <c r="S76" s="118" t="str">
        <v>부산광역시 금정구 청룡예전로 74 102동104호 ( 청룡동,경동아파트 )</v>
      </c>
      <c r="T76" s="224" t="str">
        <v>문 앞</v>
      </c>
      <c r="U76" s="224">
        <v>0</v>
      </c>
      <c r="V76" s="224">
        <v>0</v>
      </c>
      <c r="W76" s="217">
        <v>940</v>
      </c>
      <c r="X76" s="217">
        <v>0</v>
      </c>
      <c r="Y76" s="217">
        <v>3000</v>
      </c>
      <c r="Z76" s="217">
        <v>3000</v>
      </c>
      <c r="AA76" s="217">
        <v>0</v>
      </c>
      <c r="AB76" s="217">
        <v>0</v>
      </c>
      <c r="AC76" s="217">
        <v>0</v>
      </c>
      <c r="AD76" s="118" t="str">
        <v>소폭 10*26</v>
      </c>
      <c r="AE76" s="224">
        <v>0</v>
      </c>
      <c r="AF76" s="217">
        <v>890</v>
      </c>
      <c r="AG76" s="217">
        <v>550</v>
      </c>
      <c r="AH76" s="217">
        <v>3940</v>
      </c>
      <c r="AI76" s="217">
        <v>3550</v>
      </c>
      <c r="AJ76" s="217">
        <v>211</v>
      </c>
      <c r="AK76" s="217">
        <v>179</v>
      </c>
      <c r="AL76" s="227">
        <v>4.5400000000000003E-2</v>
      </c>
      <c r="AM76" s="224">
        <v>0</v>
      </c>
      <c r="AN76" s="118" t="str">
        <v>ptDB47</v>
      </c>
      <c r="AO76" s="229">
        <v>0</v>
      </c>
      <c r="AP76" s="217">
        <v>3940</v>
      </c>
      <c r="AQ76" s="217">
        <v>3550</v>
      </c>
      <c r="AR76" s="217">
        <v>211</v>
      </c>
      <c r="AS76" s="217">
        <v>179</v>
      </c>
      <c r="AT76" s="227">
        <v>4.5400000000000003E-2</v>
      </c>
      <c r="AU76" s="224" t="str">
        <v/>
      </c>
      <c r="AV76" s="229">
        <v>0</v>
      </c>
      <c r="AW76" s="118">
        <v>550</v>
      </c>
    </row>
    <row r="77" spans="1:49">
      <c r="A77" s="118">
        <v>156</v>
      </c>
      <c r="B77" s="118" t="str">
        <v>비닐스토리</v>
      </c>
      <c r="C77" s="211">
        <v>45455</v>
      </c>
      <c r="D77" s="118" t="str">
        <v>20100052706525</v>
      </c>
      <c r="E77" s="118" t="str">
        <v>쿠팡</v>
      </c>
      <c r="F77" s="118" t="str">
        <v>이민석</v>
      </c>
      <c r="G77" s="118" t="str">
        <v>lm*****@na</v>
      </c>
      <c r="H77" s="118" t="str">
        <v>0504-4373-2099</v>
      </c>
      <c r="I77" s="211">
        <v>45456</v>
      </c>
      <c r="J77" s="118" t="str">
        <v>CJ대한통운</v>
      </c>
      <c r="K77" s="118" t="str">
        <v>540219665530</v>
      </c>
      <c r="L77" s="211">
        <v>0</v>
      </c>
      <c r="M77" s="118" t="str">
        <v>SE.103</v>
      </c>
      <c r="N77" s="118" t="str">
        <v>투명</v>
      </c>
      <c r="O77" s="118">
        <v>1</v>
      </c>
      <c r="P77" s="118" t="str">
        <v>이민석</v>
      </c>
      <c r="Q77" s="118" t="str">
        <v>0504-4373-2099</v>
      </c>
      <c r="R77" s="118">
        <v>0</v>
      </c>
      <c r="S77" s="118" t="str">
        <v>부산광역시 금정구 청룡예전로 74 102동104호 ( 청룡동,경동아파트 )</v>
      </c>
      <c r="T77" s="224" t="str">
        <v>문 앞</v>
      </c>
      <c r="U77" s="224">
        <v>0</v>
      </c>
      <c r="V77" s="224">
        <v>0</v>
      </c>
      <c r="W77" s="217">
        <v>1690</v>
      </c>
      <c r="X77" s="217">
        <v>190</v>
      </c>
      <c r="Y77" s="217">
        <v>0</v>
      </c>
      <c r="Z77" s="217">
        <v>0</v>
      </c>
      <c r="AA77" s="217">
        <v>0</v>
      </c>
      <c r="AB77" s="217">
        <v>0</v>
      </c>
      <c r="AC77" s="217">
        <v>0</v>
      </c>
      <c r="AD77" s="118" t="str">
        <v>소폭 15*32</v>
      </c>
      <c r="AE77" s="224" t="str">
        <v>재구매</v>
      </c>
      <c r="AF77" s="217">
        <v>1790</v>
      </c>
      <c r="AG77" s="217">
        <v>1100</v>
      </c>
      <c r="AH77" s="217">
        <v>1690</v>
      </c>
      <c r="AI77" s="217">
        <v>1100</v>
      </c>
      <c r="AJ77" s="217">
        <v>201</v>
      </c>
      <c r="AK77" s="217">
        <v>389</v>
      </c>
      <c r="AL77" s="227">
        <v>0.23019999999999999</v>
      </c>
      <c r="AM77" s="224">
        <v>0</v>
      </c>
      <c r="AN77" s="118" t="str">
        <v>ptDB47</v>
      </c>
      <c r="AO77" s="229">
        <v>0</v>
      </c>
      <c r="AP77" s="217">
        <v>1690</v>
      </c>
      <c r="AQ77" s="217">
        <v>1100</v>
      </c>
      <c r="AR77" s="217">
        <v>201</v>
      </c>
      <c r="AS77" s="217">
        <v>389</v>
      </c>
      <c r="AT77" s="227">
        <v>0.23019999999999999</v>
      </c>
      <c r="AU77" s="224" t="str">
        <v/>
      </c>
      <c r="AV77" s="229">
        <v>0</v>
      </c>
      <c r="AW77" s="118">
        <v>1100</v>
      </c>
    </row>
    <row r="78" spans="1:49">
      <c r="A78" s="118">
        <v>157</v>
      </c>
      <c r="B78" s="118" t="str">
        <v>비닐스토리</v>
      </c>
      <c r="C78" s="211">
        <v>45455</v>
      </c>
      <c r="D78" s="118" t="str">
        <v>20100052706525</v>
      </c>
      <c r="E78" s="118" t="str">
        <v>쿠팡</v>
      </c>
      <c r="F78" s="118" t="str">
        <v>이민석</v>
      </c>
      <c r="G78" s="118" t="str">
        <v>lm*****@na</v>
      </c>
      <c r="H78" s="118" t="str">
        <v>0504-4373-2099</v>
      </c>
      <c r="I78" s="211">
        <v>45456</v>
      </c>
      <c r="J78" s="118" t="str">
        <v>CJ대한통운</v>
      </c>
      <c r="K78" s="118" t="str">
        <v>540219665530</v>
      </c>
      <c r="L78" s="211">
        <v>0</v>
      </c>
      <c r="M78" s="118" t="str">
        <v>SE.105</v>
      </c>
      <c r="N78" s="118" t="str">
        <v>투명</v>
      </c>
      <c r="O78" s="118">
        <v>1</v>
      </c>
      <c r="P78" s="118" t="str">
        <v>이민석</v>
      </c>
      <c r="Q78" s="118" t="str">
        <v>0504-4373-2099</v>
      </c>
      <c r="R78" s="118">
        <v>0</v>
      </c>
      <c r="S78" s="118" t="str">
        <v>부산광역시 금정구 청룡예전로 74 102동104호 ( 청룡동,경동아파트 )</v>
      </c>
      <c r="T78" s="224" t="str">
        <v>문 앞</v>
      </c>
      <c r="U78" s="224">
        <v>0</v>
      </c>
      <c r="V78" s="224">
        <v>0</v>
      </c>
      <c r="W78" s="217">
        <v>2440</v>
      </c>
      <c r="X78" s="217">
        <v>440</v>
      </c>
      <c r="Y78" s="217">
        <v>0</v>
      </c>
      <c r="Z78" s="217">
        <v>0</v>
      </c>
      <c r="AA78" s="217">
        <v>0</v>
      </c>
      <c r="AB78" s="217">
        <v>0</v>
      </c>
      <c r="AC78" s="217">
        <v>0</v>
      </c>
      <c r="AD78" s="118" t="str">
        <v>소폭 20*38</v>
      </c>
      <c r="AE78" s="224" t="str">
        <v>재구매</v>
      </c>
      <c r="AF78" s="217">
        <v>2680</v>
      </c>
      <c r="AG78" s="217">
        <v>1650</v>
      </c>
      <c r="AH78" s="217">
        <v>2440</v>
      </c>
      <c r="AI78" s="217">
        <v>1650</v>
      </c>
      <c r="AJ78" s="217">
        <v>290</v>
      </c>
      <c r="AK78" s="217">
        <v>500</v>
      </c>
      <c r="AL78" s="227">
        <v>0.2049</v>
      </c>
      <c r="AM78" s="224">
        <v>0</v>
      </c>
      <c r="AN78" s="118" t="str">
        <v>ptDB47</v>
      </c>
      <c r="AO78" s="229">
        <v>0</v>
      </c>
      <c r="AP78" s="217">
        <v>2440</v>
      </c>
      <c r="AQ78" s="217">
        <v>1650</v>
      </c>
      <c r="AR78" s="217">
        <v>290</v>
      </c>
      <c r="AS78" s="217">
        <v>500</v>
      </c>
      <c r="AT78" s="227">
        <v>0.2049</v>
      </c>
      <c r="AU78" s="224" t="str">
        <v/>
      </c>
      <c r="AV78" s="229">
        <v>0</v>
      </c>
      <c r="AW78" s="118">
        <v>1650</v>
      </c>
    </row>
    <row r="79" spans="1:49">
      <c r="A79" s="118">
        <v>158</v>
      </c>
      <c r="B79" s="118" t="str">
        <v>비닐스토리</v>
      </c>
      <c r="C79" s="211">
        <v>45455</v>
      </c>
      <c r="D79" s="118" t="str">
        <v>20100052706525</v>
      </c>
      <c r="E79" s="118" t="str">
        <v>쿠팡</v>
      </c>
      <c r="F79" s="118" t="str">
        <v>이민석</v>
      </c>
      <c r="G79" s="118" t="str">
        <v>lm*****@na</v>
      </c>
      <c r="H79" s="118" t="str">
        <v>0504-4373-2099</v>
      </c>
      <c r="I79" s="211">
        <v>45456</v>
      </c>
      <c r="J79" s="118" t="str">
        <v>CJ대한통운</v>
      </c>
      <c r="K79" s="118" t="str">
        <v>540219665530</v>
      </c>
      <c r="L79" s="211">
        <v>0</v>
      </c>
      <c r="M79" s="118" t="str">
        <v>SE.102</v>
      </c>
      <c r="N79" s="118" t="str">
        <v>투명</v>
      </c>
      <c r="O79" s="118">
        <v>1</v>
      </c>
      <c r="P79" s="118" t="str">
        <v>이민석</v>
      </c>
      <c r="Q79" s="118" t="str">
        <v>0504-4373-2099</v>
      </c>
      <c r="R79" s="118">
        <v>0</v>
      </c>
      <c r="S79" s="118" t="str">
        <v>부산광역시 금정구 청룡예전로 74 102동104호 ( 청룡동,경동아파트 )</v>
      </c>
      <c r="T79" s="224" t="str">
        <v>문 앞</v>
      </c>
      <c r="U79" s="224">
        <v>0</v>
      </c>
      <c r="V79" s="224">
        <v>0</v>
      </c>
      <c r="W79" s="217">
        <v>1150</v>
      </c>
      <c r="X79" s="217">
        <v>0</v>
      </c>
      <c r="Y79" s="217">
        <v>0</v>
      </c>
      <c r="Z79" s="217">
        <v>0</v>
      </c>
      <c r="AA79" s="217">
        <v>0</v>
      </c>
      <c r="AB79" s="217">
        <v>0</v>
      </c>
      <c r="AC79" s="217">
        <v>0</v>
      </c>
      <c r="AD79" s="118" t="str">
        <v>소폭 12*26</v>
      </c>
      <c r="AE79" s="224" t="str">
        <v>재구매</v>
      </c>
      <c r="AF79" s="217">
        <v>1070</v>
      </c>
      <c r="AG79" s="217">
        <v>660</v>
      </c>
      <c r="AH79" s="217">
        <v>1150</v>
      </c>
      <c r="AI79" s="217">
        <v>660</v>
      </c>
      <c r="AJ79" s="217">
        <v>137</v>
      </c>
      <c r="AK79" s="217">
        <v>353</v>
      </c>
      <c r="AL79" s="227">
        <v>0.307</v>
      </c>
      <c r="AM79" s="224">
        <v>0</v>
      </c>
      <c r="AN79" s="118" t="str">
        <v>ptDB47</v>
      </c>
      <c r="AO79" s="229">
        <v>0</v>
      </c>
      <c r="AP79" s="217">
        <v>1150</v>
      </c>
      <c r="AQ79" s="217">
        <v>660</v>
      </c>
      <c r="AR79" s="217">
        <v>137</v>
      </c>
      <c r="AS79" s="217">
        <v>353</v>
      </c>
      <c r="AT79" s="227">
        <v>0.307</v>
      </c>
      <c r="AU79" s="224" t="str">
        <v/>
      </c>
      <c r="AV79" s="229">
        <v>0</v>
      </c>
      <c r="AW79" s="118">
        <v>660</v>
      </c>
    </row>
    <row r="80" spans="1:49">
      <c r="A80" s="118">
        <v>159</v>
      </c>
      <c r="B80" s="118" t="str">
        <v>비닐스토리</v>
      </c>
      <c r="C80" s="211">
        <v>45455</v>
      </c>
      <c r="D80" s="118" t="str">
        <v>20100052706525</v>
      </c>
      <c r="E80" s="118" t="str">
        <v>쿠팡</v>
      </c>
      <c r="F80" s="118" t="str">
        <v>이민석</v>
      </c>
      <c r="G80" s="118" t="str">
        <v>lm*****@na</v>
      </c>
      <c r="H80" s="118" t="str">
        <v>0504-4373-2099</v>
      </c>
      <c r="I80" s="211">
        <v>45456</v>
      </c>
      <c r="J80" s="118" t="str">
        <v>CJ대한통운</v>
      </c>
      <c r="K80" s="118" t="str">
        <v>540219665530</v>
      </c>
      <c r="L80" s="211">
        <v>0</v>
      </c>
      <c r="M80" s="118" t="str">
        <v>SE.104</v>
      </c>
      <c r="N80" s="118" t="str">
        <v>투명</v>
      </c>
      <c r="O80" s="118">
        <v>1</v>
      </c>
      <c r="P80" s="118" t="str">
        <v>이민석</v>
      </c>
      <c r="Q80" s="118" t="str">
        <v>0504-4373-2099</v>
      </c>
      <c r="R80" s="118">
        <v>0</v>
      </c>
      <c r="S80" s="118" t="str">
        <v>부산광역시 금정구 청룡예전로 74 102동104호 ( 청룡동,경동아파트 )</v>
      </c>
      <c r="T80" s="224" t="str">
        <v>문 앞</v>
      </c>
      <c r="U80" s="224">
        <v>0</v>
      </c>
      <c r="V80" s="224">
        <v>0</v>
      </c>
      <c r="W80" s="217">
        <v>2570</v>
      </c>
      <c r="X80" s="217">
        <v>140</v>
      </c>
      <c r="Y80" s="217">
        <v>0</v>
      </c>
      <c r="Z80" s="217">
        <v>0</v>
      </c>
      <c r="AA80" s="217">
        <v>0</v>
      </c>
      <c r="AB80" s="217">
        <v>0</v>
      </c>
      <c r="AC80" s="217">
        <v>0</v>
      </c>
      <c r="AD80" s="118" t="str">
        <v>소폭 18*36</v>
      </c>
      <c r="AE80" s="224" t="str">
        <v>재구매</v>
      </c>
      <c r="AF80" s="217">
        <v>2320</v>
      </c>
      <c r="AG80" s="217">
        <v>1430</v>
      </c>
      <c r="AH80" s="217">
        <v>2570</v>
      </c>
      <c r="AI80" s="217">
        <v>1430</v>
      </c>
      <c r="AJ80" s="217">
        <v>305</v>
      </c>
      <c r="AK80" s="217">
        <v>835</v>
      </c>
      <c r="AL80" s="227">
        <v>0.32490000000000002</v>
      </c>
      <c r="AM80" s="224">
        <v>0</v>
      </c>
      <c r="AN80" s="118" t="str">
        <v>ptDB47</v>
      </c>
      <c r="AO80" s="229">
        <v>0</v>
      </c>
      <c r="AP80" s="217">
        <v>2570</v>
      </c>
      <c r="AQ80" s="217">
        <v>1430</v>
      </c>
      <c r="AR80" s="217">
        <v>305</v>
      </c>
      <c r="AS80" s="217">
        <v>835</v>
      </c>
      <c r="AT80" s="227">
        <v>0.32490000000000002</v>
      </c>
      <c r="AU80" s="224" t="str">
        <v/>
      </c>
      <c r="AV80" s="229">
        <v>0</v>
      </c>
      <c r="AW80" s="118">
        <v>1430</v>
      </c>
    </row>
    <row r="81" spans="1:49">
      <c r="A81" s="118">
        <v>160</v>
      </c>
      <c r="B81" s="118" t="str">
        <v>비닐스토리</v>
      </c>
      <c r="C81" s="211">
        <v>45455</v>
      </c>
      <c r="D81" s="118" t="str">
        <v>14100052791852</v>
      </c>
      <c r="E81" s="118" t="str">
        <v>쿠팡</v>
      </c>
      <c r="F81" s="118" t="str">
        <v>라세림</v>
      </c>
      <c r="G81" s="118" t="str">
        <v>no*****@ha</v>
      </c>
      <c r="H81" s="118" t="str">
        <v>0502-4197-5787</v>
      </c>
      <c r="I81" s="211">
        <v>45456</v>
      </c>
      <c r="J81" s="118" t="str">
        <v>CJ대한통운</v>
      </c>
      <c r="K81" s="118" t="str">
        <v>540219665541</v>
      </c>
      <c r="L81" s="211">
        <v>0</v>
      </c>
      <c r="M81" s="118" t="str">
        <v>SE.101</v>
      </c>
      <c r="N81" s="118" t="str">
        <v>투명</v>
      </c>
      <c r="O81" s="118">
        <v>10</v>
      </c>
      <c r="P81" s="118" t="str">
        <v>라세림</v>
      </c>
      <c r="Q81" s="118" t="str">
        <v>0502-4197-5787</v>
      </c>
      <c r="R81" s="118">
        <v>0</v>
      </c>
      <c r="S81" s="118" t="str">
        <v>경기도 과천시 중앙로 287 1층 미미짬뽕 ( 관문동 )</v>
      </c>
      <c r="T81" s="224" t="str">
        <v>직접 받고 부재 시 문 앞</v>
      </c>
      <c r="U81" s="224">
        <v>0</v>
      </c>
      <c r="V81" s="224">
        <v>0</v>
      </c>
      <c r="W81" s="217">
        <v>9400</v>
      </c>
      <c r="X81" s="217">
        <v>0</v>
      </c>
      <c r="Y81" s="217">
        <v>3000</v>
      </c>
      <c r="Z81" s="217">
        <v>3000</v>
      </c>
      <c r="AA81" s="217">
        <v>0</v>
      </c>
      <c r="AB81" s="217">
        <v>0</v>
      </c>
      <c r="AC81" s="217">
        <v>0</v>
      </c>
      <c r="AD81" s="118" t="str">
        <v>소폭 10*26</v>
      </c>
      <c r="AE81" s="224">
        <v>0</v>
      </c>
      <c r="AF81" s="217">
        <v>890</v>
      </c>
      <c r="AG81" s="217">
        <v>550</v>
      </c>
      <c r="AH81" s="217">
        <v>12400</v>
      </c>
      <c r="AI81" s="217">
        <v>8500</v>
      </c>
      <c r="AJ81" s="217">
        <v>1216</v>
      </c>
      <c r="AK81" s="217">
        <v>2684</v>
      </c>
      <c r="AL81" s="227">
        <v>0.2165</v>
      </c>
      <c r="AM81" s="224">
        <v>0</v>
      </c>
      <c r="AN81" s="118" t="str">
        <v>ptDB47</v>
      </c>
      <c r="AO81" s="229">
        <v>0</v>
      </c>
      <c r="AP81" s="217">
        <v>12400</v>
      </c>
      <c r="AQ81" s="217">
        <v>8500</v>
      </c>
      <c r="AR81" s="217">
        <v>1216</v>
      </c>
      <c r="AS81" s="217">
        <v>2684</v>
      </c>
      <c r="AT81" s="227">
        <v>0.2165</v>
      </c>
      <c r="AU81" s="224" t="str">
        <v/>
      </c>
      <c r="AV81" s="229">
        <v>0</v>
      </c>
      <c r="AW81" s="118">
        <v>5500</v>
      </c>
    </row>
    <row r="82" spans="1:49">
      <c r="A82" s="118">
        <v>161</v>
      </c>
      <c r="B82" s="118" t="str">
        <v>비닐스토리</v>
      </c>
      <c r="C82" s="211">
        <v>45455</v>
      </c>
      <c r="D82" s="118" t="str">
        <v>2024061227356571</v>
      </c>
      <c r="E82" s="118" t="str">
        <v>스마트 스토어</v>
      </c>
      <c r="F82" s="118" t="str">
        <v>박희용</v>
      </c>
      <c r="G82" s="118" t="str">
        <v>augu****</v>
      </c>
      <c r="H82" s="118" t="str">
        <v>010-4024-8302</v>
      </c>
      <c r="I82" s="211">
        <v>45456</v>
      </c>
      <c r="J82" s="118" t="str">
        <v>CJ대한통운</v>
      </c>
      <c r="K82" s="118" t="str">
        <v>540219665563</v>
      </c>
      <c r="L82" s="211">
        <v>0</v>
      </c>
      <c r="M82" s="118" t="str">
        <v>SE.105</v>
      </c>
      <c r="N82" s="118" t="str">
        <v>투명</v>
      </c>
      <c r="O82" s="118">
        <v>3</v>
      </c>
      <c r="P82" s="118" t="str">
        <v>박희용</v>
      </c>
      <c r="Q82" s="118" t="str">
        <v>010-4024-8302</v>
      </c>
      <c r="R82" s="118" t="str">
        <v>031-254-7070</v>
      </c>
      <c r="S82" s="118" t="str">
        <v>경기도 수원시 장안구 수성로339번길 9 (정자동 1층 강원칡냉면</v>
      </c>
      <c r="T82" s="224">
        <v>0</v>
      </c>
      <c r="U82" s="224">
        <v>0</v>
      </c>
      <c r="V82" s="224">
        <v>0</v>
      </c>
      <c r="W82" s="217">
        <v>8340</v>
      </c>
      <c r="X82" s="217">
        <v>0</v>
      </c>
      <c r="Y82" s="217">
        <v>3000</v>
      </c>
      <c r="Z82" s="217">
        <v>3000</v>
      </c>
      <c r="AA82" s="217">
        <v>0</v>
      </c>
      <c r="AB82" s="217">
        <v>0</v>
      </c>
      <c r="AC82" s="217">
        <v>0</v>
      </c>
      <c r="AD82" s="118" t="str">
        <v>소폭 20*38</v>
      </c>
      <c r="AE82" s="224">
        <v>0</v>
      </c>
      <c r="AF82" s="217">
        <v>2550</v>
      </c>
      <c r="AG82" s="217">
        <v>1650</v>
      </c>
      <c r="AH82" s="217">
        <v>11340</v>
      </c>
      <c r="AI82" s="217">
        <v>7950</v>
      </c>
      <c r="AJ82" s="217">
        <v>471</v>
      </c>
      <c r="AK82" s="217">
        <v>2919</v>
      </c>
      <c r="AL82" s="227">
        <v>0.25740000000000002</v>
      </c>
      <c r="AM82" s="224">
        <v>0</v>
      </c>
      <c r="AN82" s="118" t="str">
        <v>ptDB47</v>
      </c>
      <c r="AO82" s="229">
        <v>0</v>
      </c>
      <c r="AP82" s="217">
        <v>11340</v>
      </c>
      <c r="AQ82" s="217">
        <v>7950</v>
      </c>
      <c r="AR82" s="217">
        <v>471</v>
      </c>
      <c r="AS82" s="217">
        <v>2919</v>
      </c>
      <c r="AT82" s="227">
        <v>0.25740000000000002</v>
      </c>
      <c r="AU82" s="224" t="str">
        <v/>
      </c>
      <c r="AV82" s="229">
        <v>0</v>
      </c>
      <c r="AW82" s="118">
        <v>4950</v>
      </c>
    </row>
    <row r="83" spans="1:49">
      <c r="A83" s="118">
        <v>162</v>
      </c>
      <c r="B83" s="118" t="str">
        <v>비닐스토리</v>
      </c>
      <c r="C83" s="211">
        <v>45455</v>
      </c>
      <c r="D83" s="118" t="str">
        <v>2024061224945501</v>
      </c>
      <c r="E83" s="118" t="str">
        <v>스마트 스토어</v>
      </c>
      <c r="F83" s="118" t="str">
        <v>박순애</v>
      </c>
      <c r="G83" s="118" t="str">
        <v>hank****</v>
      </c>
      <c r="H83" s="118" t="str">
        <v>010-2657-1049</v>
      </c>
      <c r="I83" s="211">
        <v>45456</v>
      </c>
      <c r="J83" s="118" t="str">
        <v>CJ대한통운</v>
      </c>
      <c r="K83" s="118" t="str">
        <v>540219665596</v>
      </c>
      <c r="L83" s="211">
        <v>0</v>
      </c>
      <c r="M83" s="118" t="str">
        <v>SE.304</v>
      </c>
      <c r="N83" s="118" t="str">
        <v>투명</v>
      </c>
      <c r="O83" s="118">
        <v>3</v>
      </c>
      <c r="P83" s="118" t="str">
        <v>담양한과</v>
      </c>
      <c r="Q83" s="118" t="str">
        <v>061-383-8283</v>
      </c>
      <c r="R83" s="118">
        <v>0</v>
      </c>
      <c r="S83" s="118" t="str">
        <v>전라남도 담양군 창평면 창평현로 714-36 (창평면) .</v>
      </c>
      <c r="T83" s="224">
        <v>0</v>
      </c>
      <c r="U83" s="224">
        <v>0</v>
      </c>
      <c r="V83" s="224">
        <v>0</v>
      </c>
      <c r="W83" s="217">
        <v>41310</v>
      </c>
      <c r="X83" s="217">
        <v>4590</v>
      </c>
      <c r="Y83" s="217">
        <v>0</v>
      </c>
      <c r="Z83" s="217">
        <v>3500</v>
      </c>
      <c r="AA83" s="217">
        <v>0</v>
      </c>
      <c r="AB83" s="217">
        <v>0</v>
      </c>
      <c r="AC83" s="217">
        <v>0</v>
      </c>
      <c r="AD83" s="118" t="str">
        <v>떡외겹 30*38</v>
      </c>
      <c r="AE83" s="224">
        <v>0</v>
      </c>
      <c r="AF83" s="217">
        <v>14450</v>
      </c>
      <c r="AG83" s="217">
        <v>9350</v>
      </c>
      <c r="AH83" s="217">
        <v>41310</v>
      </c>
      <c r="AI83" s="217">
        <v>31550</v>
      </c>
      <c r="AJ83" s="217">
        <v>1724</v>
      </c>
      <c r="AK83" s="217">
        <v>8036</v>
      </c>
      <c r="AL83" s="227">
        <v>0.19450000000000001</v>
      </c>
      <c r="AM83" s="224">
        <v>0</v>
      </c>
      <c r="AN83" s="118" t="str">
        <v>ptDB47</v>
      </c>
      <c r="AO83" s="229">
        <v>0</v>
      </c>
      <c r="AP83" s="217">
        <v>41310</v>
      </c>
      <c r="AQ83" s="217">
        <v>31550</v>
      </c>
      <c r="AR83" s="217">
        <v>1724</v>
      </c>
      <c r="AS83" s="217">
        <v>8036</v>
      </c>
      <c r="AT83" s="227">
        <v>0.19450000000000001</v>
      </c>
      <c r="AU83" s="224" t="str">
        <v/>
      </c>
      <c r="AV83" s="229">
        <v>0</v>
      </c>
      <c r="AW83" s="118">
        <v>28050</v>
      </c>
    </row>
    <row r="84" spans="1:49">
      <c r="A84" s="118">
        <v>163</v>
      </c>
      <c r="B84" s="118" t="str">
        <v>비닐스토리</v>
      </c>
      <c r="C84" s="211">
        <v>45455</v>
      </c>
      <c r="D84" s="118" t="str">
        <v>2024061218576421</v>
      </c>
      <c r="E84" s="118" t="str">
        <v>스마트 스토어</v>
      </c>
      <c r="F84" s="118" t="str">
        <v>황중섭</v>
      </c>
      <c r="G84" s="118" t="str">
        <v>poha****</v>
      </c>
      <c r="H84" s="118" t="str">
        <v>010-7631-2233</v>
      </c>
      <c r="I84" s="211">
        <v>45456</v>
      </c>
      <c r="J84" s="118" t="str">
        <v>CJ대한통운</v>
      </c>
      <c r="K84" s="118" t="str">
        <v>540219665574</v>
      </c>
      <c r="L84" s="211">
        <v>0</v>
      </c>
      <c r="M84" s="118" t="str">
        <v>SE.202</v>
      </c>
      <c r="N84" s="118" t="str">
        <v>투명</v>
      </c>
      <c r="O84" s="118">
        <v>1</v>
      </c>
      <c r="P84" s="118" t="str">
        <v>황중섭</v>
      </c>
      <c r="Q84" s="118" t="str">
        <v>010-7631-2233</v>
      </c>
      <c r="R84" s="118">
        <v>0</v>
      </c>
      <c r="S84" s="118" t="str">
        <v>경상북도 영천시 영화로 340-1 (조교동) 2층 돈꿉자</v>
      </c>
      <c r="T84" s="224">
        <v>0</v>
      </c>
      <c r="U84" s="224">
        <v>0</v>
      </c>
      <c r="V84" s="224">
        <v>0</v>
      </c>
      <c r="W84" s="217">
        <v>16200</v>
      </c>
      <c r="X84" s="217">
        <v>1800</v>
      </c>
      <c r="Y84" s="217">
        <v>3000</v>
      </c>
      <c r="Z84" s="217">
        <v>3000</v>
      </c>
      <c r="AA84" s="217">
        <v>0</v>
      </c>
      <c r="AB84" s="217">
        <v>0</v>
      </c>
      <c r="AC84" s="217">
        <v>0</v>
      </c>
      <c r="AD84" s="118" t="str">
        <v>떡롤 22*400</v>
      </c>
      <c r="AE84" s="224">
        <v>0</v>
      </c>
      <c r="AF84" s="217">
        <v>17000</v>
      </c>
      <c r="AG84" s="217">
        <v>11000</v>
      </c>
      <c r="AH84" s="217">
        <v>19200</v>
      </c>
      <c r="AI84" s="217">
        <v>14000</v>
      </c>
      <c r="AJ84" s="217">
        <v>784</v>
      </c>
      <c r="AK84" s="217">
        <v>4416</v>
      </c>
      <c r="AL84" s="227">
        <v>0.23</v>
      </c>
      <c r="AM84" s="224">
        <v>0</v>
      </c>
      <c r="AN84" s="118" t="str">
        <v>ptDB47</v>
      </c>
      <c r="AO84" s="229">
        <v>0</v>
      </c>
      <c r="AP84" s="217">
        <v>19200</v>
      </c>
      <c r="AQ84" s="217">
        <v>14000</v>
      </c>
      <c r="AR84" s="217">
        <v>784</v>
      </c>
      <c r="AS84" s="217">
        <v>4416</v>
      </c>
      <c r="AT84" s="227">
        <v>0.23</v>
      </c>
      <c r="AU84" s="224" t="str">
        <v/>
      </c>
      <c r="AV84" s="229">
        <v>0</v>
      </c>
      <c r="AW84" s="118">
        <v>11000</v>
      </c>
    </row>
    <row r="85" spans="1:49">
      <c r="A85" s="118">
        <v>168</v>
      </c>
      <c r="B85" s="118" t="str">
        <v>비닐스토리</v>
      </c>
      <c r="C85" s="211">
        <v>45456</v>
      </c>
      <c r="D85" s="118" t="str">
        <v>15100052913982</v>
      </c>
      <c r="E85" s="118" t="str">
        <v>쿠팡</v>
      </c>
      <c r="F85" s="118" t="str">
        <v>이혜원</v>
      </c>
      <c r="G85" s="118" t="str">
        <v>pt*****@na</v>
      </c>
      <c r="H85" s="118" t="str">
        <v>0502-1243-1345</v>
      </c>
      <c r="I85" s="211">
        <v>45457</v>
      </c>
      <c r="J85" s="118" t="str">
        <v>CJ대한통운</v>
      </c>
      <c r="K85" s="118" t="str">
        <v>530221956313</v>
      </c>
      <c r="L85" s="211">
        <v>0</v>
      </c>
      <c r="M85" s="118" t="str">
        <v>SE.206</v>
      </c>
      <c r="N85" s="118" t="str">
        <v>투명</v>
      </c>
      <c r="O85" s="118">
        <v>1</v>
      </c>
      <c r="P85" s="118" t="str">
        <v>이혜원</v>
      </c>
      <c r="Q85" s="118" t="str">
        <v>0502-1243-1345</v>
      </c>
      <c r="R85" s="118">
        <v>0</v>
      </c>
      <c r="S85" s="118" t="str">
        <v>경기도 안양시 만안구 안양로 307 금상타워 9층 더원바리스타제과제빵학원 ( 안양동 )</v>
      </c>
      <c r="T85" s="224" t="str">
        <v>문 앞</v>
      </c>
      <c r="U85" s="224">
        <v>0</v>
      </c>
      <c r="V85" s="224">
        <v>0</v>
      </c>
      <c r="W85" s="217">
        <v>34020</v>
      </c>
      <c r="X85" s="217">
        <v>0</v>
      </c>
      <c r="Y85" s="217">
        <v>3000</v>
      </c>
      <c r="Z85" s="217">
        <v>3500</v>
      </c>
      <c r="AA85" s="217">
        <v>0</v>
      </c>
      <c r="AB85" s="217">
        <v>0</v>
      </c>
      <c r="AC85" s="217">
        <v>0</v>
      </c>
      <c r="AD85" s="118" t="str">
        <v>떡롤 45*330</v>
      </c>
      <c r="AE85" s="224">
        <v>0</v>
      </c>
      <c r="AF85" s="217">
        <v>32130</v>
      </c>
      <c r="AG85" s="217">
        <v>19800</v>
      </c>
      <c r="AH85" s="217">
        <v>37020</v>
      </c>
      <c r="AI85" s="217">
        <v>23300</v>
      </c>
      <c r="AJ85" s="217">
        <v>4141</v>
      </c>
      <c r="AK85" s="217">
        <v>9579</v>
      </c>
      <c r="AL85" s="227">
        <v>0.25879999999999997</v>
      </c>
      <c r="AM85" s="224">
        <v>0</v>
      </c>
      <c r="AN85" s="118" t="str">
        <v>ptDB47</v>
      </c>
      <c r="AO85" s="229">
        <v>0</v>
      </c>
      <c r="AP85" s="217">
        <v>37020</v>
      </c>
      <c r="AQ85" s="217">
        <v>23300</v>
      </c>
      <c r="AR85" s="217">
        <v>4141</v>
      </c>
      <c r="AS85" s="217">
        <v>9579</v>
      </c>
      <c r="AT85" s="227">
        <v>0.25879999999999997</v>
      </c>
      <c r="AU85" s="224" t="str">
        <v/>
      </c>
      <c r="AV85" s="229">
        <v>0</v>
      </c>
      <c r="AW85" s="118">
        <v>19800</v>
      </c>
    </row>
    <row r="86" spans="1:49">
      <c r="A86" s="118">
        <v>169</v>
      </c>
      <c r="B86" s="118" t="str">
        <v>비닐스토리</v>
      </c>
      <c r="C86" s="211">
        <v>45456</v>
      </c>
      <c r="D86" s="118" t="str">
        <v>3100053050540</v>
      </c>
      <c r="E86" s="118" t="str">
        <v>쿠팡</v>
      </c>
      <c r="F86" s="118" t="str">
        <v>이경근</v>
      </c>
      <c r="G86" s="118" t="str">
        <v>ru*****@na</v>
      </c>
      <c r="H86" s="118" t="str">
        <v>0502-4691-6905</v>
      </c>
      <c r="I86" s="211">
        <v>45457</v>
      </c>
      <c r="J86" s="118" t="str">
        <v>CJ대한통운</v>
      </c>
      <c r="K86" s="118" t="str">
        <v>530221956405</v>
      </c>
      <c r="L86" s="211">
        <v>0</v>
      </c>
      <c r="M86" s="118" t="str">
        <v>SE.137</v>
      </c>
      <c r="N86" s="118" t="str">
        <v>투명</v>
      </c>
      <c r="O86" s="118">
        <v>8</v>
      </c>
      <c r="P86" s="118" t="str">
        <v>이경근</v>
      </c>
      <c r="Q86" s="118" t="str">
        <v>0502-4691-6905</v>
      </c>
      <c r="R86" s="118">
        <v>0</v>
      </c>
      <c r="S86" s="118" t="str">
        <v>인천광역시 남동구 문화서로4번길 25-4 보노통닭 ( 구월동 )</v>
      </c>
      <c r="T86" s="224" t="str">
        <v>문 앞</v>
      </c>
      <c r="U86" s="224">
        <v>0</v>
      </c>
      <c r="V86" s="224">
        <v>0</v>
      </c>
      <c r="W86" s="217">
        <v>13440</v>
      </c>
      <c r="X86" s="217">
        <v>0</v>
      </c>
      <c r="Y86" s="217">
        <v>0</v>
      </c>
      <c r="Z86" s="217">
        <v>3500</v>
      </c>
      <c r="AA86" s="217">
        <v>0</v>
      </c>
      <c r="AB86" s="217">
        <v>0</v>
      </c>
      <c r="AC86" s="217">
        <v>0</v>
      </c>
      <c r="AD86" s="118" t="str">
        <v>끈속지 25*35</v>
      </c>
      <c r="AE86" s="224">
        <v>0</v>
      </c>
      <c r="AF86" s="217">
        <v>1300</v>
      </c>
      <c r="AG86" s="217">
        <v>880</v>
      </c>
      <c r="AH86" s="217">
        <v>13440</v>
      </c>
      <c r="AI86" s="217">
        <v>10540</v>
      </c>
      <c r="AJ86" s="217">
        <v>1597</v>
      </c>
      <c r="AK86" s="217">
        <v>1303</v>
      </c>
      <c r="AL86" s="227">
        <v>9.69E-2</v>
      </c>
      <c r="AM86" s="224">
        <v>0</v>
      </c>
      <c r="AN86" s="118" t="str">
        <v>ptDB47</v>
      </c>
      <c r="AO86" s="229">
        <v>0</v>
      </c>
      <c r="AP86" s="217">
        <v>13440</v>
      </c>
      <c r="AQ86" s="217">
        <v>10540</v>
      </c>
      <c r="AR86" s="217">
        <v>1597</v>
      </c>
      <c r="AS86" s="217">
        <v>1303</v>
      </c>
      <c r="AT86" s="227">
        <v>9.69E-2</v>
      </c>
      <c r="AU86" s="224" t="str">
        <v/>
      </c>
      <c r="AV86" s="229">
        <v>0</v>
      </c>
      <c r="AW86" s="118">
        <v>7040</v>
      </c>
    </row>
    <row r="87" spans="1:49">
      <c r="A87" s="118">
        <v>170</v>
      </c>
      <c r="B87" s="118" t="str">
        <v>비닐스토리</v>
      </c>
      <c r="C87" s="211">
        <v>45456</v>
      </c>
      <c r="D87" s="118" t="str">
        <v>3100053050540</v>
      </c>
      <c r="E87" s="118" t="str">
        <v>쿠팡</v>
      </c>
      <c r="F87" s="118" t="str">
        <v>이경근</v>
      </c>
      <c r="G87" s="118" t="str">
        <v>ru*****@na</v>
      </c>
      <c r="H87" s="118" t="str">
        <v>0502-4691-6905</v>
      </c>
      <c r="I87" s="211">
        <v>45457</v>
      </c>
      <c r="J87" s="118" t="str">
        <v>CJ대한통운</v>
      </c>
      <c r="K87" s="118" t="str">
        <v>530221956405</v>
      </c>
      <c r="L87" s="211">
        <v>0</v>
      </c>
      <c r="M87" s="118" t="str">
        <v>SE.5</v>
      </c>
      <c r="N87" s="118" t="str">
        <v>투명</v>
      </c>
      <c r="O87" s="118">
        <v>6</v>
      </c>
      <c r="P87" s="118" t="str">
        <v>이경근</v>
      </c>
      <c r="Q87" s="118" t="str">
        <v>0502-4691-6905</v>
      </c>
      <c r="R87" s="118">
        <v>0</v>
      </c>
      <c r="S87" s="118" t="str">
        <v>인천광역시 남동구 문화서로4번길 25-4 보노통닭 ( 구월동 )</v>
      </c>
      <c r="T87" s="224" t="str">
        <v>문 앞</v>
      </c>
      <c r="U87" s="224">
        <v>0</v>
      </c>
      <c r="V87" s="224">
        <v>0</v>
      </c>
      <c r="W87" s="217">
        <v>11280</v>
      </c>
      <c r="X87" s="217">
        <v>1260</v>
      </c>
      <c r="Y87" s="217">
        <v>0</v>
      </c>
      <c r="Z87" s="217">
        <v>0</v>
      </c>
      <c r="AA87" s="217">
        <v>0</v>
      </c>
      <c r="AB87" s="217">
        <v>0</v>
      </c>
      <c r="AC87" s="217">
        <v>0</v>
      </c>
      <c r="AD87" s="118" t="str">
        <v>대A</v>
      </c>
      <c r="AE87" s="224" t="str">
        <v>재구매</v>
      </c>
      <c r="AF87" s="217">
        <v>2000</v>
      </c>
      <c r="AG87" s="217">
        <v>1210</v>
      </c>
      <c r="AH87" s="217">
        <v>11280</v>
      </c>
      <c r="AI87" s="217">
        <v>7260</v>
      </c>
      <c r="AJ87" s="217">
        <v>1340</v>
      </c>
      <c r="AK87" s="217">
        <v>2680</v>
      </c>
      <c r="AL87" s="227">
        <v>0.23760000000000001</v>
      </c>
      <c r="AM87" s="224">
        <v>0</v>
      </c>
      <c r="AN87" s="118" t="str">
        <v>ptDB47</v>
      </c>
      <c r="AO87" s="229">
        <v>0</v>
      </c>
      <c r="AP87" s="217">
        <v>11280</v>
      </c>
      <c r="AQ87" s="217">
        <v>7260</v>
      </c>
      <c r="AR87" s="217">
        <v>1340</v>
      </c>
      <c r="AS87" s="217">
        <v>2680</v>
      </c>
      <c r="AT87" s="227">
        <v>0.23760000000000001</v>
      </c>
      <c r="AU87" s="224" t="str">
        <v/>
      </c>
      <c r="AV87" s="229">
        <v>0</v>
      </c>
      <c r="AW87" s="118">
        <v>7260</v>
      </c>
    </row>
    <row r="88" spans="1:49">
      <c r="A88" s="118">
        <v>171</v>
      </c>
      <c r="B88" s="118" t="str">
        <v>비닐스토리</v>
      </c>
      <c r="C88" s="211">
        <v>45456</v>
      </c>
      <c r="D88" s="118" t="str">
        <v>3100053050540</v>
      </c>
      <c r="E88" s="118" t="str">
        <v>쿠팡</v>
      </c>
      <c r="F88" s="118" t="str">
        <v>이경근</v>
      </c>
      <c r="G88" s="118" t="str">
        <v>ru*****@na</v>
      </c>
      <c r="H88" s="118" t="str">
        <v>0502-4691-6905</v>
      </c>
      <c r="I88" s="211">
        <v>45457</v>
      </c>
      <c r="J88" s="118" t="str">
        <v>CJ대한통운</v>
      </c>
      <c r="K88" s="118" t="str">
        <v>530221956405</v>
      </c>
      <c r="L88" s="211">
        <v>0</v>
      </c>
      <c r="M88" s="118" t="str">
        <v>SE.102</v>
      </c>
      <c r="N88" s="118" t="str">
        <v>투명</v>
      </c>
      <c r="O88" s="118">
        <v>9</v>
      </c>
      <c r="P88" s="118" t="str">
        <v>이경근</v>
      </c>
      <c r="Q88" s="118" t="str">
        <v>0502-4691-6905</v>
      </c>
      <c r="R88" s="118">
        <v>0</v>
      </c>
      <c r="S88" s="118" t="str">
        <v>인천광역시 남동구 문화서로4번길 25-4 보노통닭 ( 구월동 )</v>
      </c>
      <c r="T88" s="224" t="str">
        <v>문 앞</v>
      </c>
      <c r="U88" s="224">
        <v>0</v>
      </c>
      <c r="V88" s="224">
        <v>0</v>
      </c>
      <c r="W88" s="217">
        <v>10350</v>
      </c>
      <c r="X88" s="217">
        <v>0</v>
      </c>
      <c r="Y88" s="217">
        <v>0</v>
      </c>
      <c r="Z88" s="217">
        <v>0</v>
      </c>
      <c r="AA88" s="217">
        <v>0</v>
      </c>
      <c r="AB88" s="217">
        <v>0</v>
      </c>
      <c r="AC88" s="217">
        <v>0</v>
      </c>
      <c r="AD88" s="118" t="str">
        <v>소폭 12*26</v>
      </c>
      <c r="AE88" s="224" t="str">
        <v>재구매</v>
      </c>
      <c r="AF88" s="217">
        <v>1070</v>
      </c>
      <c r="AG88" s="217">
        <v>660</v>
      </c>
      <c r="AH88" s="217">
        <v>10350</v>
      </c>
      <c r="AI88" s="217">
        <v>5940</v>
      </c>
      <c r="AJ88" s="217">
        <v>1230</v>
      </c>
      <c r="AK88" s="217">
        <v>3180</v>
      </c>
      <c r="AL88" s="227">
        <v>0.30719999999999997</v>
      </c>
      <c r="AM88" s="224">
        <v>0</v>
      </c>
      <c r="AN88" s="118" t="str">
        <v>ptDB47</v>
      </c>
      <c r="AO88" s="229">
        <v>0</v>
      </c>
      <c r="AP88" s="217">
        <v>10350</v>
      </c>
      <c r="AQ88" s="217">
        <v>5940</v>
      </c>
      <c r="AR88" s="217">
        <v>1230</v>
      </c>
      <c r="AS88" s="217">
        <v>3180</v>
      </c>
      <c r="AT88" s="227">
        <v>0.30719999999999997</v>
      </c>
      <c r="AU88" s="224" t="str">
        <v/>
      </c>
      <c r="AV88" s="229">
        <v>0</v>
      </c>
      <c r="AW88" s="118">
        <v>5940</v>
      </c>
    </row>
    <row r="89" spans="1:49">
      <c r="A89" s="118">
        <v>172</v>
      </c>
      <c r="B89" s="118" t="str">
        <v>비닐스토리</v>
      </c>
      <c r="C89" s="211">
        <v>45456</v>
      </c>
      <c r="D89" s="118" t="str">
        <v>5100052864365</v>
      </c>
      <c r="E89" s="118" t="str">
        <v>쿠팡</v>
      </c>
      <c r="F89" s="118" t="str">
        <v>김창우</v>
      </c>
      <c r="G89" s="118" t="str">
        <v>vu*****@na</v>
      </c>
      <c r="H89" s="118" t="str">
        <v>0504-4976-4213</v>
      </c>
      <c r="I89" s="211">
        <v>45457</v>
      </c>
      <c r="J89" s="118" t="str">
        <v>CJ대한통운</v>
      </c>
      <c r="K89" s="118" t="str">
        <v>530221956324</v>
      </c>
      <c r="L89" s="211">
        <v>0</v>
      </c>
      <c r="M89" s="118" t="str">
        <v>SE.103</v>
      </c>
      <c r="N89" s="118" t="str">
        <v>투명</v>
      </c>
      <c r="O89" s="118">
        <v>10</v>
      </c>
      <c r="P89" s="118" t="str">
        <v>아시아마트</v>
      </c>
      <c r="Q89" s="118" t="str">
        <v>0504-4976-4213</v>
      </c>
      <c r="R89" s="118">
        <v>0</v>
      </c>
      <c r="S89" s="118" t="str">
        <v>경상남도 창녕군 남지읍 동포옛길 13 경상남도 창녕군 남지읍 동포옛 길13</v>
      </c>
      <c r="T89" s="224" t="str">
        <v>문 앞</v>
      </c>
      <c r="U89" s="224">
        <v>0</v>
      </c>
      <c r="V89" s="224">
        <v>0</v>
      </c>
      <c r="W89" s="217">
        <v>16900</v>
      </c>
      <c r="X89" s="217">
        <v>1900</v>
      </c>
      <c r="Y89" s="217">
        <v>0</v>
      </c>
      <c r="Z89" s="217">
        <v>3000</v>
      </c>
      <c r="AA89" s="217">
        <v>0</v>
      </c>
      <c r="AB89" s="217">
        <v>0</v>
      </c>
      <c r="AC89" s="217">
        <v>0</v>
      </c>
      <c r="AD89" s="118" t="str">
        <v>소폭 15*32</v>
      </c>
      <c r="AE89" s="224">
        <v>0</v>
      </c>
      <c r="AF89" s="217">
        <v>1790</v>
      </c>
      <c r="AG89" s="217">
        <v>1100</v>
      </c>
      <c r="AH89" s="217">
        <v>16900</v>
      </c>
      <c r="AI89" s="217">
        <v>14000</v>
      </c>
      <c r="AJ89" s="217">
        <v>2008</v>
      </c>
      <c r="AK89" s="217">
        <v>892</v>
      </c>
      <c r="AL89" s="227">
        <v>5.28E-2</v>
      </c>
      <c r="AM89" s="224">
        <v>0</v>
      </c>
      <c r="AN89" s="118" t="str">
        <v>ptDB47</v>
      </c>
      <c r="AO89" s="229">
        <v>0</v>
      </c>
      <c r="AP89" s="217">
        <v>16900</v>
      </c>
      <c r="AQ89" s="217">
        <v>14000</v>
      </c>
      <c r="AR89" s="217">
        <v>2008</v>
      </c>
      <c r="AS89" s="217">
        <v>892</v>
      </c>
      <c r="AT89" s="227">
        <v>5.28E-2</v>
      </c>
      <c r="AU89" s="224" t="str">
        <v/>
      </c>
      <c r="AV89" s="229">
        <v>0</v>
      </c>
      <c r="AW89" s="118">
        <v>11000</v>
      </c>
    </row>
    <row r="90" spans="1:49">
      <c r="A90" s="118">
        <v>173</v>
      </c>
      <c r="B90" s="118" t="str">
        <v>비닐스토리</v>
      </c>
      <c r="C90" s="211">
        <v>45457</v>
      </c>
      <c r="D90" s="118" t="str">
        <v>1100052867012</v>
      </c>
      <c r="E90" s="118" t="str">
        <v>쿠팡</v>
      </c>
      <c r="F90" s="118" t="str">
        <v>김명석</v>
      </c>
      <c r="G90" s="118" t="str">
        <v>gm*****@na</v>
      </c>
      <c r="H90" s="118" t="str">
        <v>0502-1771-0620</v>
      </c>
      <c r="I90" s="211">
        <v>45457</v>
      </c>
      <c r="J90" s="118" t="str">
        <v>CJ대한통운</v>
      </c>
      <c r="K90" s="118" t="str">
        <v>530221956346</v>
      </c>
      <c r="L90" s="211">
        <v>0</v>
      </c>
      <c r="M90" s="118" t="str">
        <v>SE.114</v>
      </c>
      <c r="N90" s="118" t="str">
        <v>투명</v>
      </c>
      <c r="O90" s="118">
        <v>3</v>
      </c>
      <c r="P90" s="118" t="str">
        <v>김명석</v>
      </c>
      <c r="Q90" s="118" t="str">
        <v>0502-1771-0620</v>
      </c>
      <c r="R90" s="118">
        <v>0</v>
      </c>
      <c r="S90" s="118" t="str">
        <v>경기도 성남시 중원구 상대원동 333-7 금강펜테리움IT타워 B동 702호</v>
      </c>
      <c r="T90" s="224" t="str">
        <v>문 앞</v>
      </c>
      <c r="U90" s="224">
        <v>0</v>
      </c>
      <c r="V90" s="224">
        <v>0</v>
      </c>
      <c r="W90" s="217">
        <v>20400</v>
      </c>
      <c r="X90" s="217">
        <v>0</v>
      </c>
      <c r="Y90" s="217">
        <v>0</v>
      </c>
      <c r="Z90" s="217">
        <v>3500</v>
      </c>
      <c r="AA90" s="217">
        <v>0</v>
      </c>
      <c r="AB90" s="217">
        <v>0</v>
      </c>
      <c r="AC90" s="217">
        <v>0</v>
      </c>
      <c r="AD90" s="118" t="str">
        <v>고추 90*130</v>
      </c>
      <c r="AE90" s="224">
        <v>0</v>
      </c>
      <c r="AF90" s="217">
        <v>6430</v>
      </c>
      <c r="AG90" s="217">
        <v>3960</v>
      </c>
      <c r="AH90" s="217">
        <v>20400</v>
      </c>
      <c r="AI90" s="217">
        <v>15380</v>
      </c>
      <c r="AJ90" s="217">
        <v>2424</v>
      </c>
      <c r="AK90" s="217">
        <v>2596</v>
      </c>
      <c r="AL90" s="227">
        <v>0.1273</v>
      </c>
      <c r="AM90" s="224">
        <v>0</v>
      </c>
      <c r="AN90" s="118" t="str">
        <v>ptDB47</v>
      </c>
      <c r="AO90" s="229">
        <v>0</v>
      </c>
      <c r="AP90" s="217">
        <v>20400</v>
      </c>
      <c r="AQ90" s="217">
        <v>15380</v>
      </c>
      <c r="AR90" s="217">
        <v>2424</v>
      </c>
      <c r="AS90" s="217">
        <v>2596</v>
      </c>
      <c r="AT90" s="227">
        <v>0.1273</v>
      </c>
      <c r="AU90" s="224" t="str">
        <v/>
      </c>
      <c r="AV90" s="229">
        <v>0</v>
      </c>
      <c r="AW90" s="118">
        <v>11880</v>
      </c>
    </row>
    <row r="91" spans="1:49">
      <c r="A91" s="118">
        <v>174</v>
      </c>
      <c r="B91" s="118" t="str">
        <v>비닐스토리</v>
      </c>
      <c r="C91" s="211">
        <v>45457</v>
      </c>
      <c r="D91" s="118" t="str">
        <v>2024061482493251</v>
      </c>
      <c r="E91" s="118" t="str">
        <v>스마트 스토어</v>
      </c>
      <c r="F91" s="118" t="str">
        <v>노현주</v>
      </c>
      <c r="G91" s="118" t="str">
        <v>bm02****</v>
      </c>
      <c r="H91" s="118" t="str">
        <v>010-5624-9942</v>
      </c>
      <c r="I91" s="211">
        <v>45457</v>
      </c>
      <c r="J91" s="118" t="str">
        <v>CJ대한통운</v>
      </c>
      <c r="K91" s="118" t="str">
        <v>530221956291</v>
      </c>
      <c r="L91" s="211">
        <v>0</v>
      </c>
      <c r="M91" s="118" t="str">
        <v>SE.102</v>
      </c>
      <c r="N91" s="118" t="str">
        <v>투명</v>
      </c>
      <c r="O91" s="118">
        <v>10</v>
      </c>
      <c r="P91" s="118" t="str">
        <v>노현주</v>
      </c>
      <c r="Q91" s="118" t="str">
        <v>010-5624-9942</v>
      </c>
      <c r="R91" s="118">
        <v>0</v>
      </c>
      <c r="S91" s="118" t="str">
        <v>경기도 광주시 도척면 국사봉로 121-47 (도척면) 진우리</v>
      </c>
      <c r="T91" s="224" t="str">
        <v>문 앞에 놓아주세요</v>
      </c>
      <c r="U91" s="224">
        <v>0</v>
      </c>
      <c r="V91" s="224">
        <v>0</v>
      </c>
      <c r="W91" s="217">
        <v>10800</v>
      </c>
      <c r="X91" s="217">
        <v>0</v>
      </c>
      <c r="Y91" s="217">
        <v>3000</v>
      </c>
      <c r="Z91" s="217">
        <v>3000</v>
      </c>
      <c r="AA91" s="217">
        <v>0</v>
      </c>
      <c r="AB91" s="217">
        <v>0</v>
      </c>
      <c r="AC91" s="217">
        <v>0</v>
      </c>
      <c r="AD91" s="118" t="str">
        <v>소폭 12*26</v>
      </c>
      <c r="AE91" s="224">
        <v>0</v>
      </c>
      <c r="AF91" s="217">
        <v>1020</v>
      </c>
      <c r="AG91" s="217">
        <v>660</v>
      </c>
      <c r="AH91" s="217">
        <v>13800</v>
      </c>
      <c r="AI91" s="217">
        <v>9600</v>
      </c>
      <c r="AJ91" s="217">
        <v>569</v>
      </c>
      <c r="AK91" s="217">
        <v>3631</v>
      </c>
      <c r="AL91" s="227">
        <v>0.2631</v>
      </c>
      <c r="AM91" s="224">
        <v>0</v>
      </c>
      <c r="AN91" s="118" t="str">
        <v>ptDB47</v>
      </c>
      <c r="AO91" s="229">
        <v>0</v>
      </c>
      <c r="AP91" s="217">
        <v>13800</v>
      </c>
      <c r="AQ91" s="217">
        <v>9600</v>
      </c>
      <c r="AR91" s="217">
        <v>569</v>
      </c>
      <c r="AS91" s="217">
        <v>3631</v>
      </c>
      <c r="AT91" s="227">
        <v>0.2631</v>
      </c>
      <c r="AU91" s="224" t="str">
        <v/>
      </c>
      <c r="AV91" s="229">
        <v>0</v>
      </c>
      <c r="AW91" s="118">
        <v>6600</v>
      </c>
    </row>
    <row r="92" spans="1:49">
      <c r="A92" s="118">
        <v>175</v>
      </c>
      <c r="B92" s="118" t="str">
        <v>비닐스토리</v>
      </c>
      <c r="C92" s="211">
        <v>45457</v>
      </c>
      <c r="D92" s="118" t="str">
        <v>2024061481330401</v>
      </c>
      <c r="E92" s="118" t="str">
        <v>스마트 스토어</v>
      </c>
      <c r="F92" s="118" t="str">
        <v>박지숙</v>
      </c>
      <c r="G92" s="118" t="str">
        <v>choc****</v>
      </c>
      <c r="H92" s="118" t="str">
        <v>010-7933-1436</v>
      </c>
      <c r="I92" s="211">
        <v>45457</v>
      </c>
      <c r="J92" s="118" t="str">
        <v>CJ대한통운</v>
      </c>
      <c r="K92" s="118" t="str">
        <v>540220887284</v>
      </c>
      <c r="L92" s="211">
        <v>0</v>
      </c>
      <c r="M92" s="118" t="str">
        <v>SE.206</v>
      </c>
      <c r="N92" s="118" t="str">
        <v>투명</v>
      </c>
      <c r="O92" s="118">
        <v>1</v>
      </c>
      <c r="P92" s="118" t="str">
        <v>박지숙</v>
      </c>
      <c r="Q92" s="118" t="str">
        <v>010-7933-1436</v>
      </c>
      <c r="R92" s="118">
        <v>0</v>
      </c>
      <c r="S92" s="118" t="str">
        <v>인천광역시 부평구 안남로 260 (산곡동, 현대아파트) 506동 1516호</v>
      </c>
      <c r="T92" s="224">
        <v>0</v>
      </c>
      <c r="U92" s="224">
        <v>0</v>
      </c>
      <c r="V92" s="224">
        <v>0</v>
      </c>
      <c r="W92" s="217">
        <v>28620</v>
      </c>
      <c r="X92" s="217">
        <v>3180</v>
      </c>
      <c r="Y92" s="217">
        <v>0</v>
      </c>
      <c r="Z92" s="217">
        <v>3500</v>
      </c>
      <c r="AA92" s="217">
        <v>0</v>
      </c>
      <c r="AB92" s="217">
        <v>0</v>
      </c>
      <c r="AC92" s="217">
        <v>0</v>
      </c>
      <c r="AD92" s="118" t="str">
        <v>떡롤 45*330</v>
      </c>
      <c r="AE92" s="224">
        <v>0</v>
      </c>
      <c r="AF92" s="217">
        <v>30600</v>
      </c>
      <c r="AG92" s="217">
        <v>19800</v>
      </c>
      <c r="AH92" s="217">
        <v>28620</v>
      </c>
      <c r="AI92" s="217">
        <v>23300</v>
      </c>
      <c r="AJ92" s="217">
        <v>1219</v>
      </c>
      <c r="AK92" s="217">
        <v>4101</v>
      </c>
      <c r="AL92" s="227">
        <v>0.14330000000000001</v>
      </c>
      <c r="AM92" s="224">
        <v>0</v>
      </c>
      <c r="AN92" s="118" t="str">
        <v>ptDB47</v>
      </c>
      <c r="AO92" s="229">
        <v>0</v>
      </c>
      <c r="AP92" s="217">
        <v>28620</v>
      </c>
      <c r="AQ92" s="217">
        <v>23300</v>
      </c>
      <c r="AR92" s="217">
        <v>1219</v>
      </c>
      <c r="AS92" s="217">
        <v>4101</v>
      </c>
      <c r="AT92" s="227">
        <v>0.14330000000000001</v>
      </c>
      <c r="AU92" s="224" t="str">
        <v/>
      </c>
      <c r="AV92" s="229">
        <v>0</v>
      </c>
      <c r="AW92" s="118">
        <v>19800</v>
      </c>
    </row>
    <row r="93" spans="1:49">
      <c r="A93" s="118">
        <v>176</v>
      </c>
      <c r="B93" s="118" t="str">
        <v>비닐스토리</v>
      </c>
      <c r="C93" s="211">
        <v>45457</v>
      </c>
      <c r="D93" s="118" t="str">
        <v>2024061481330391</v>
      </c>
      <c r="E93" s="118" t="str">
        <v>스마트 스토어</v>
      </c>
      <c r="F93" s="118" t="str">
        <v>박지숙</v>
      </c>
      <c r="G93" s="118" t="str">
        <v>choc****</v>
      </c>
      <c r="H93" s="118" t="str">
        <v>010-7933-1436</v>
      </c>
      <c r="I93" s="211">
        <v>45457</v>
      </c>
      <c r="J93" s="118" t="str">
        <v>CJ대한통운</v>
      </c>
      <c r="K93" s="118" t="str">
        <v>540220887284</v>
      </c>
      <c r="L93" s="211">
        <v>0</v>
      </c>
      <c r="M93" s="118" t="str">
        <v>SE.304</v>
      </c>
      <c r="N93" s="118" t="str">
        <v>투명</v>
      </c>
      <c r="O93" s="118">
        <v>1</v>
      </c>
      <c r="P93" s="118" t="str">
        <v>박지숙</v>
      </c>
      <c r="Q93" s="118" t="str">
        <v>010-7933-1436</v>
      </c>
      <c r="R93" s="118">
        <v>0</v>
      </c>
      <c r="S93" s="118" t="str">
        <v>인천광역시 부평구 안남로 260 (산곡동, 현대아파트) 506동 1516호</v>
      </c>
      <c r="T93" s="224">
        <v>0</v>
      </c>
      <c r="U93" s="224">
        <v>0</v>
      </c>
      <c r="V93" s="224">
        <v>0</v>
      </c>
      <c r="W93" s="217">
        <v>13770</v>
      </c>
      <c r="X93" s="217">
        <v>1530</v>
      </c>
      <c r="Y93" s="217">
        <v>0</v>
      </c>
      <c r="Z93" s="217">
        <v>0</v>
      </c>
      <c r="AA93" s="217">
        <v>0</v>
      </c>
      <c r="AB93" s="217">
        <v>0</v>
      </c>
      <c r="AC93" s="217">
        <v>0</v>
      </c>
      <c r="AD93" s="118" t="str">
        <v>떡외겹 30*38</v>
      </c>
      <c r="AE93" s="224" t="str">
        <v>재구매</v>
      </c>
      <c r="AF93" s="217">
        <v>14450</v>
      </c>
      <c r="AG93" s="217">
        <v>9350</v>
      </c>
      <c r="AH93" s="217">
        <v>13770</v>
      </c>
      <c r="AI93" s="217">
        <v>9350</v>
      </c>
      <c r="AJ93" s="217">
        <v>628</v>
      </c>
      <c r="AK93" s="217">
        <v>3792</v>
      </c>
      <c r="AL93" s="227">
        <v>0.27539999999999998</v>
      </c>
      <c r="AM93" s="224">
        <v>0</v>
      </c>
      <c r="AN93" s="118" t="str">
        <v>ptDB47</v>
      </c>
      <c r="AO93" s="229">
        <v>0</v>
      </c>
      <c r="AP93" s="217">
        <v>13770</v>
      </c>
      <c r="AQ93" s="217">
        <v>9350</v>
      </c>
      <c r="AR93" s="217">
        <v>628</v>
      </c>
      <c r="AS93" s="217">
        <v>3792</v>
      </c>
      <c r="AT93" s="227">
        <v>0.27539999999999998</v>
      </c>
      <c r="AU93" s="224" t="str">
        <v/>
      </c>
      <c r="AV93" s="229">
        <v>0</v>
      </c>
      <c r="AW93" s="118">
        <v>9350</v>
      </c>
    </row>
    <row r="94" spans="1:49">
      <c r="A94" s="118">
        <v>177</v>
      </c>
      <c r="B94" s="118" t="str">
        <v>비닐스토리</v>
      </c>
      <c r="C94" s="211">
        <v>45456</v>
      </c>
      <c r="D94" s="118" t="str">
        <v>2024061363875971</v>
      </c>
      <c r="E94" s="118" t="str">
        <v>스마트 스토어</v>
      </c>
      <c r="F94" s="118" t="str">
        <v>안민호</v>
      </c>
      <c r="G94" s="118" t="str">
        <v>dark****</v>
      </c>
      <c r="H94" s="118" t="str">
        <v>010-4184-2843</v>
      </c>
      <c r="I94" s="211">
        <v>45457</v>
      </c>
      <c r="J94" s="118" t="str">
        <v>CJ대한통운</v>
      </c>
      <c r="K94" s="118" t="str">
        <v>540220887015</v>
      </c>
      <c r="L94" s="211">
        <v>0</v>
      </c>
      <c r="M94" s="118" t="str">
        <v>SE.201</v>
      </c>
      <c r="N94" s="118" t="str">
        <v>투명</v>
      </c>
      <c r="O94" s="118">
        <v>2</v>
      </c>
      <c r="P94" s="118" t="str">
        <v>안민호</v>
      </c>
      <c r="Q94" s="118" t="str">
        <v>010-4184-2843</v>
      </c>
      <c r="R94" s="118">
        <v>0</v>
      </c>
      <c r="S94" s="118" t="str">
        <v>경상북도 김천시 용전1로 9 (율곡동, 힐스테이트 율곡) 112동 501호</v>
      </c>
      <c r="T94" s="224">
        <v>0</v>
      </c>
      <c r="U94" s="224">
        <v>0</v>
      </c>
      <c r="V94" s="224">
        <v>0</v>
      </c>
      <c r="W94" s="217">
        <v>29160</v>
      </c>
      <c r="X94" s="217">
        <v>3240</v>
      </c>
      <c r="Y94" s="217">
        <v>0</v>
      </c>
      <c r="Z94" s="217">
        <v>4400</v>
      </c>
      <c r="AA94" s="217">
        <v>0</v>
      </c>
      <c r="AB94" s="217">
        <v>0</v>
      </c>
      <c r="AC94" s="217">
        <v>0</v>
      </c>
      <c r="AD94" s="118" t="str">
        <v>떡롤 20*400</v>
      </c>
      <c r="AE94" s="224">
        <v>0</v>
      </c>
      <c r="AF94" s="217">
        <v>15300</v>
      </c>
      <c r="AG94" s="217">
        <v>9900</v>
      </c>
      <c r="AH94" s="217">
        <v>29160</v>
      </c>
      <c r="AI94" s="217">
        <v>24200</v>
      </c>
      <c r="AJ94" s="217">
        <v>1241</v>
      </c>
      <c r="AK94" s="217">
        <v>3719</v>
      </c>
      <c r="AL94" s="227">
        <v>0.1275</v>
      </c>
      <c r="AM94" s="224">
        <v>0</v>
      </c>
      <c r="AN94" s="118" t="str">
        <v>ptDB47</v>
      </c>
      <c r="AO94" s="229">
        <v>0</v>
      </c>
      <c r="AP94" s="217">
        <v>29160</v>
      </c>
      <c r="AQ94" s="217">
        <v>24200</v>
      </c>
      <c r="AR94" s="217">
        <v>1241</v>
      </c>
      <c r="AS94" s="217">
        <v>3719</v>
      </c>
      <c r="AT94" s="227">
        <v>0.1275</v>
      </c>
      <c r="AU94" s="224" t="str">
        <v/>
      </c>
      <c r="AV94" s="229">
        <v>0</v>
      </c>
      <c r="AW94" s="118">
        <v>19800</v>
      </c>
    </row>
    <row r="95" spans="1:49">
      <c r="A95" s="118">
        <v>178</v>
      </c>
      <c r="B95" s="118" t="str">
        <v>비닐스토리</v>
      </c>
      <c r="C95" s="211">
        <v>45456</v>
      </c>
      <c r="D95" s="118" t="str">
        <v>2024061363875961</v>
      </c>
      <c r="E95" s="118" t="str">
        <v>스마트 스토어</v>
      </c>
      <c r="F95" s="118" t="str">
        <v>안민호</v>
      </c>
      <c r="G95" s="118" t="str">
        <v>dark****</v>
      </c>
      <c r="H95" s="118" t="str">
        <v>010-4184-2843</v>
      </c>
      <c r="I95" s="211">
        <v>45457</v>
      </c>
      <c r="J95" s="118" t="str">
        <v>CJ대한통운</v>
      </c>
      <c r="K95" s="118" t="str">
        <v>540220887015</v>
      </c>
      <c r="L95" s="211">
        <v>0</v>
      </c>
      <c r="M95" s="118" t="str">
        <v>SE.206</v>
      </c>
      <c r="N95" s="118" t="str">
        <v>투명</v>
      </c>
      <c r="O95" s="118">
        <v>1</v>
      </c>
      <c r="P95" s="118" t="str">
        <v>안민호</v>
      </c>
      <c r="Q95" s="118" t="str">
        <v>010-4184-2843</v>
      </c>
      <c r="R95" s="118">
        <v>0</v>
      </c>
      <c r="S95" s="118" t="str">
        <v>경상북도 김천시 용전1로 9 (율곡동, 힐스테이트 율곡) 112동 501호</v>
      </c>
      <c r="T95" s="224">
        <v>0</v>
      </c>
      <c r="U95" s="224">
        <v>0</v>
      </c>
      <c r="V95" s="224">
        <v>0</v>
      </c>
      <c r="W95" s="217">
        <v>28620</v>
      </c>
      <c r="X95" s="217">
        <v>3180</v>
      </c>
      <c r="Y95" s="217">
        <v>0</v>
      </c>
      <c r="Z95" s="217">
        <v>0</v>
      </c>
      <c r="AA95" s="217">
        <v>0</v>
      </c>
      <c r="AB95" s="217">
        <v>0</v>
      </c>
      <c r="AC95" s="217">
        <v>0</v>
      </c>
      <c r="AD95" s="118" t="str">
        <v>떡롤 45*330</v>
      </c>
      <c r="AE95" s="224" t="str">
        <v>재구매</v>
      </c>
      <c r="AF95" s="217">
        <v>30600</v>
      </c>
      <c r="AG95" s="217">
        <v>19800</v>
      </c>
      <c r="AH95" s="217">
        <v>28620</v>
      </c>
      <c r="AI95" s="217">
        <v>19800</v>
      </c>
      <c r="AJ95" s="217">
        <v>1219</v>
      </c>
      <c r="AK95" s="217">
        <v>7601</v>
      </c>
      <c r="AL95" s="227">
        <v>0.2656</v>
      </c>
      <c r="AM95" s="224">
        <v>0</v>
      </c>
      <c r="AN95" s="118" t="str">
        <v>ptDB47</v>
      </c>
      <c r="AO95" s="229">
        <v>0</v>
      </c>
      <c r="AP95" s="217">
        <v>28620</v>
      </c>
      <c r="AQ95" s="217">
        <v>19800</v>
      </c>
      <c r="AR95" s="217">
        <v>1219</v>
      </c>
      <c r="AS95" s="217">
        <v>7601</v>
      </c>
      <c r="AT95" s="227">
        <v>0.2656</v>
      </c>
      <c r="AU95" s="224" t="str">
        <v/>
      </c>
      <c r="AV95" s="229">
        <v>0</v>
      </c>
      <c r="AW95" s="118">
        <v>19800</v>
      </c>
    </row>
  </sheetData>
  <phoneticPr fontId="4" type="noConversion"/>
  <conditionalFormatting sqref="A1:AV1">
    <cfRule type="expression" dxfId="115" priority="10">
      <formula>$B1="비닐팩토리"</formula>
    </cfRule>
  </conditionalFormatting>
  <conditionalFormatting sqref="D1">
    <cfRule type="cellIs" dxfId="114" priority="6" operator="equal">
      <formula>"제작"</formula>
    </cfRule>
    <cfRule type="cellIs" dxfId="113" priority="8" operator="equal">
      <formula>"쿠팡"</formula>
    </cfRule>
    <cfRule type="cellIs" dxfId="112" priority="9" operator="equal">
      <formula>"위메프"</formula>
    </cfRule>
  </conditionalFormatting>
  <conditionalFormatting sqref="J1">
    <cfRule type="cellIs" dxfId="111" priority="7" operator="equal">
      <formula>"직접전달"</formula>
    </cfRule>
  </conditionalFormatting>
  <conditionalFormatting sqref="R1:T1 AK1">
    <cfRule type="cellIs" dxfId="110" priority="4" operator="equal">
      <formula>"반품"</formula>
    </cfRule>
  </conditionalFormatting>
  <conditionalFormatting sqref="T1">
    <cfRule type="cellIs" dxfId="109" priority="5" operator="lessThanOrEqual">
      <formula>0</formula>
    </cfRule>
  </conditionalFormatting>
  <conditionalFormatting sqref="AB1:AG1 AP1:AS1">
    <cfRule type="cellIs" dxfId="108" priority="3" operator="lessThan">
      <formula>0</formula>
    </cfRule>
  </conditionalFormatting>
  <conditionalFormatting sqref="AT1 AH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107" priority="1" operator="equal">
      <formula>"투명"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F84DA-0EA7-4093-945A-56E77413C98C}">
  <sheetPr codeName="Sheet11"/>
  <dimension ref="A1:AX67"/>
  <sheetViews>
    <sheetView topLeftCell="AG1" workbookViewId="0">
      <selection activeCell="AW1" sqref="AW1"/>
    </sheetView>
  </sheetViews>
  <sheetFormatPr defaultRowHeight="16.5"/>
  <cols>
    <col min="1" max="1" width="3.5" style="118" bestFit="1" customWidth="1"/>
    <col min="2" max="2" width="11.25" style="118" bestFit="1" customWidth="1"/>
    <col min="3" max="3" width="9" style="211" bestFit="1" customWidth="1"/>
    <col min="4" max="4" width="18.375" style="118" bestFit="1" customWidth="1"/>
    <col min="5" max="5" width="13.75" style="118" bestFit="1" customWidth="1"/>
    <col min="6" max="6" width="9" style="118" bestFit="1" customWidth="1"/>
    <col min="7" max="7" width="13.25" style="118" bestFit="1" customWidth="1"/>
    <col min="8" max="8" width="15.5" style="118" bestFit="1" customWidth="1"/>
    <col min="9" max="9" width="9" style="211" bestFit="1" customWidth="1"/>
    <col min="10" max="10" width="11" style="118" bestFit="1" customWidth="1"/>
    <col min="11" max="11" width="13.875" style="118" bestFit="1" customWidth="1"/>
    <col min="12" max="12" width="11" style="211" bestFit="1" customWidth="1"/>
    <col min="13" max="13" width="9.25" style="118" bestFit="1" customWidth="1"/>
    <col min="14" max="14" width="9" style="118" bestFit="1" customWidth="1"/>
    <col min="15" max="15" width="5.25" style="118" bestFit="1" customWidth="1"/>
    <col min="16" max="16" width="21.375" style="118" bestFit="1" customWidth="1"/>
    <col min="17" max="17" width="15.5" style="118" bestFit="1" customWidth="1"/>
    <col min="18" max="18" width="14.125" style="118" bestFit="1" customWidth="1"/>
    <col min="19" max="19" width="35.625" style="118" customWidth="1"/>
    <col min="20" max="20" width="9.75" style="224" customWidth="1"/>
    <col min="21" max="22" width="5.625" style="224" customWidth="1"/>
    <col min="23" max="23" width="8.625" style="217" bestFit="1" customWidth="1"/>
    <col min="24" max="24" width="11.75" style="217" customWidth="1"/>
    <col min="25" max="25" width="8.625" style="217" bestFit="1" customWidth="1"/>
    <col min="26" max="29" width="8.625" style="217" customWidth="1"/>
    <col min="30" max="30" width="12.875" style="118" bestFit="1" customWidth="1"/>
    <col min="31" max="31" width="8.625" style="224" bestFit="1" customWidth="1"/>
    <col min="32" max="32" width="13.875" style="217" bestFit="1" customWidth="1"/>
    <col min="33" max="33" width="12.75" style="217" bestFit="1" customWidth="1"/>
    <col min="34" max="34" width="11.125" style="217" bestFit="1" customWidth="1"/>
    <col min="35" max="35" width="14.875" style="217" bestFit="1" customWidth="1"/>
    <col min="36" max="36" width="7.375" style="217" bestFit="1" customWidth="1"/>
    <col min="37" max="37" width="8.75" style="217" bestFit="1" customWidth="1"/>
    <col min="38" max="38" width="8.625" style="227" bestFit="1" customWidth="1"/>
    <col min="39" max="39" width="6.75" style="224" bestFit="1" customWidth="1"/>
    <col min="40" max="40" width="10.5" style="118" bestFit="1" customWidth="1"/>
    <col min="41" max="41" width="6.75" style="264" bestFit="1" customWidth="1"/>
    <col min="42" max="42" width="16.125" style="217" bestFit="1" customWidth="1"/>
    <col min="43" max="43" width="18.125" style="217" bestFit="1" customWidth="1"/>
    <col min="44" max="45" width="11.875" style="217" bestFit="1" customWidth="1"/>
    <col min="46" max="46" width="11.875" style="227" bestFit="1" customWidth="1"/>
    <col min="47" max="47" width="9.875" style="224" bestFit="1" customWidth="1"/>
    <col min="48" max="48" width="6.75" style="264" bestFit="1" customWidth="1"/>
    <col min="49" max="49" width="21.5" style="118" bestFit="1" customWidth="1"/>
    <col min="50" max="16384" width="9" style="118"/>
  </cols>
  <sheetData>
    <row r="1" spans="1:50" s="91" customFormat="1" ht="30" customHeight="1">
      <c r="A1" s="82" t="s">
        <v>660</v>
      </c>
      <c r="B1" s="82" t="s">
        <v>539</v>
      </c>
      <c r="C1" s="213" t="s">
        <v>540</v>
      </c>
      <c r="D1" s="82" t="s">
        <v>633</v>
      </c>
      <c r="E1" s="89" t="s">
        <v>538</v>
      </c>
      <c r="F1" s="89" t="s">
        <v>313</v>
      </c>
      <c r="G1" s="89" t="s">
        <v>632</v>
      </c>
      <c r="H1" s="88" t="s">
        <v>544</v>
      </c>
      <c r="I1" s="212" t="s">
        <v>127</v>
      </c>
      <c r="J1" s="86" t="s">
        <v>546</v>
      </c>
      <c r="K1" s="85" t="s">
        <v>116</v>
      </c>
      <c r="L1" s="210" t="s">
        <v>840</v>
      </c>
      <c r="M1" s="83" t="s">
        <v>113</v>
      </c>
      <c r="N1" s="82" t="s">
        <v>624</v>
      </c>
      <c r="O1" s="82" t="s">
        <v>536</v>
      </c>
      <c r="P1" s="82" t="s">
        <v>123</v>
      </c>
      <c r="Q1" s="82" t="s">
        <v>626</v>
      </c>
      <c r="R1" s="82" t="s">
        <v>625</v>
      </c>
      <c r="S1" s="81" t="s">
        <v>549</v>
      </c>
      <c r="T1" s="81" t="s">
        <v>550</v>
      </c>
      <c r="U1" s="223" t="s">
        <v>847</v>
      </c>
      <c r="V1" s="223" t="s">
        <v>825</v>
      </c>
      <c r="W1" s="221" t="s">
        <v>841</v>
      </c>
      <c r="X1" s="221" t="s">
        <v>845</v>
      </c>
      <c r="Y1" s="221" t="s">
        <v>842</v>
      </c>
      <c r="Z1" s="221" t="s">
        <v>817</v>
      </c>
      <c r="AA1" s="221" t="s">
        <v>846</v>
      </c>
      <c r="AB1" s="222" t="s">
        <v>824</v>
      </c>
      <c r="AC1" s="222" t="s">
        <v>843</v>
      </c>
      <c r="AD1" s="77" t="s">
        <v>839</v>
      </c>
      <c r="AE1" s="225" t="s">
        <v>822</v>
      </c>
      <c r="AF1" s="218" t="s">
        <v>863</v>
      </c>
      <c r="AG1" s="219" t="s">
        <v>915</v>
      </c>
      <c r="AH1" s="220" t="s">
        <v>865</v>
      </c>
      <c r="AI1" s="220" t="s">
        <v>119</v>
      </c>
      <c r="AJ1" s="220" t="s">
        <v>866</v>
      </c>
      <c r="AK1" s="221" t="s">
        <v>820</v>
      </c>
      <c r="AL1" s="226" t="s">
        <v>821</v>
      </c>
      <c r="AM1" s="231" t="s">
        <v>844</v>
      </c>
      <c r="AN1" s="70" t="s">
        <v>867</v>
      </c>
      <c r="AO1" s="263" t="s">
        <v>701</v>
      </c>
      <c r="AP1" s="214" t="s">
        <v>868</v>
      </c>
      <c r="AQ1" s="215" t="s">
        <v>869</v>
      </c>
      <c r="AR1" s="215" t="s">
        <v>870</v>
      </c>
      <c r="AS1" s="216" t="s">
        <v>871</v>
      </c>
      <c r="AT1" s="228" t="s">
        <v>872</v>
      </c>
      <c r="AU1" s="230" t="s">
        <v>873</v>
      </c>
      <c r="AV1" s="262" t="s">
        <v>874</v>
      </c>
      <c r="AW1" s="67" t="s">
        <v>917</v>
      </c>
      <c r="AX1" s="66"/>
    </row>
    <row r="2" spans="1:50">
      <c r="A2" s="118" cm="1">
        <f t="array" ref="A2:AW67">_xlfn._xlws.FILTER(F출고표[],IF(대시보드!$B$6="",F출고표[발송일]=F출고표[발송일],YEAR(F출고표[발송일])=대시보드!$B$6)*IF(대시보드!$E$6="",F출고표[발송일]=F출고표[발송일],MONTH(F출고표[발송일])=대시보드!$E$6),"no filter")</f>
        <v>20</v>
      </c>
      <c r="B2" s="118" t="str">
        <v>비닐팩토리</v>
      </c>
      <c r="C2" s="211">
        <v>45446</v>
      </c>
      <c r="D2" s="118" t="str">
        <v>45470286</v>
      </c>
      <c r="E2" s="118" t="str">
        <v>대표</v>
      </c>
      <c r="F2" s="118">
        <v>0</v>
      </c>
      <c r="G2" s="118">
        <v>0</v>
      </c>
      <c r="H2" s="118">
        <v>0</v>
      </c>
      <c r="I2" s="211">
        <v>45446</v>
      </c>
      <c r="J2" s="118" t="str">
        <v>CJ대한통운</v>
      </c>
      <c r="K2" s="118" t="str">
        <v>530213589552</v>
      </c>
      <c r="L2" s="211">
        <v>0</v>
      </c>
      <c r="M2" s="118" t="str">
        <v>SE.1000</v>
      </c>
      <c r="N2" s="118" t="str">
        <v>투명</v>
      </c>
      <c r="O2" s="118">
        <v>1</v>
      </c>
      <c r="P2" s="118" t="str">
        <v>청도추어탕고디탕</v>
      </c>
      <c r="Q2" s="118" t="str">
        <v>010-8755-5098</v>
      </c>
      <c r="R2" s="118">
        <v>0</v>
      </c>
      <c r="S2" s="118" t="str">
        <v>경북 청도군 청도읍 청화로 211 청도추어탕고디탕</v>
      </c>
      <c r="T2" s="224">
        <v>0</v>
      </c>
      <c r="U2" s="224">
        <v>0</v>
      </c>
      <c r="V2" s="224">
        <v>0</v>
      </c>
      <c r="W2" s="217">
        <v>0</v>
      </c>
      <c r="X2" s="217">
        <v>0</v>
      </c>
      <c r="Y2" s="217">
        <v>0</v>
      </c>
      <c r="Z2" s="217">
        <v>0</v>
      </c>
      <c r="AA2" s="217">
        <v>0</v>
      </c>
      <c r="AB2" s="217">
        <v>0</v>
      </c>
      <c r="AC2" s="217">
        <v>0</v>
      </c>
      <c r="AD2" s="118" t="str">
        <v>대표</v>
      </c>
      <c r="AE2" s="224" t="str">
        <v>재구매</v>
      </c>
      <c r="AF2" s="217">
        <v>0</v>
      </c>
      <c r="AG2" s="217">
        <v>0</v>
      </c>
      <c r="AH2" s="217">
        <v>0</v>
      </c>
      <c r="AI2" s="217">
        <v>0</v>
      </c>
      <c r="AJ2" s="217">
        <v>0</v>
      </c>
      <c r="AK2" s="217">
        <v>0</v>
      </c>
      <c r="AL2" s="227">
        <v>0</v>
      </c>
      <c r="AM2" s="224">
        <v>0</v>
      </c>
      <c r="AN2" s="118" t="str">
        <v>ptDB47</v>
      </c>
      <c r="AO2" s="264">
        <v>0</v>
      </c>
      <c r="AP2" s="217">
        <v>0</v>
      </c>
      <c r="AQ2" s="217">
        <v>0</v>
      </c>
      <c r="AR2" s="217">
        <v>0</v>
      </c>
      <c r="AS2" s="217">
        <v>0</v>
      </c>
      <c r="AT2" s="227">
        <v>0</v>
      </c>
      <c r="AU2" s="224" t="str">
        <v/>
      </c>
      <c r="AV2" s="264">
        <v>0</v>
      </c>
      <c r="AW2" s="118">
        <v>0</v>
      </c>
    </row>
    <row r="3" spans="1:50">
      <c r="A3" s="118">
        <v>21</v>
      </c>
      <c r="B3" s="118" t="str">
        <v>비닐팩토리</v>
      </c>
      <c r="C3" s="211">
        <v>45446</v>
      </c>
      <c r="D3" s="118" t="str">
        <v>45470237</v>
      </c>
      <c r="E3" s="118" t="str">
        <v>대표</v>
      </c>
      <c r="F3" s="118">
        <v>0</v>
      </c>
      <c r="G3" s="118">
        <v>0</v>
      </c>
      <c r="H3" s="118">
        <v>0</v>
      </c>
      <c r="I3" s="211">
        <v>45446</v>
      </c>
      <c r="J3" s="118" t="str">
        <v>CJ대한통운</v>
      </c>
      <c r="K3" s="118" t="str">
        <v>530213521733</v>
      </c>
      <c r="L3" s="211">
        <v>0</v>
      </c>
      <c r="M3" s="118" t="str">
        <v>SE.1000</v>
      </c>
      <c r="N3" s="118" t="str">
        <v>투명</v>
      </c>
      <c r="O3" s="118">
        <v>1</v>
      </c>
      <c r="P3" s="118" t="str">
        <v>형제떡방앗간</v>
      </c>
      <c r="Q3" s="118" t="str">
        <v>010-6246-4029</v>
      </c>
      <c r="R3" s="118">
        <v>0</v>
      </c>
      <c r="S3" s="118" t="str">
        <v>경북 청도군 청도읍 고수동4길 1 형제떡방앗간</v>
      </c>
      <c r="T3" s="224">
        <v>0</v>
      </c>
      <c r="U3" s="224">
        <v>0</v>
      </c>
      <c r="V3" s="224">
        <v>0</v>
      </c>
      <c r="W3" s="217">
        <v>0</v>
      </c>
      <c r="X3" s="217">
        <v>0</v>
      </c>
      <c r="Y3" s="217">
        <v>0</v>
      </c>
      <c r="Z3" s="217">
        <v>0</v>
      </c>
      <c r="AA3" s="217">
        <v>0</v>
      </c>
      <c r="AB3" s="217">
        <v>0</v>
      </c>
      <c r="AC3" s="217">
        <v>0</v>
      </c>
      <c r="AD3" s="118" t="str">
        <v>대표</v>
      </c>
      <c r="AE3" s="224" t="str">
        <v>재구매</v>
      </c>
      <c r="AF3" s="217">
        <v>0</v>
      </c>
      <c r="AG3" s="217">
        <v>0</v>
      </c>
      <c r="AH3" s="217">
        <v>0</v>
      </c>
      <c r="AI3" s="217">
        <v>0</v>
      </c>
      <c r="AJ3" s="217">
        <v>0</v>
      </c>
      <c r="AK3" s="217">
        <v>0</v>
      </c>
      <c r="AL3" s="227">
        <v>0</v>
      </c>
      <c r="AM3" s="224">
        <v>0</v>
      </c>
      <c r="AN3" s="118" t="str">
        <v>ptDB47</v>
      </c>
      <c r="AO3" s="264">
        <v>0</v>
      </c>
      <c r="AP3" s="217">
        <v>0</v>
      </c>
      <c r="AQ3" s="217">
        <v>0</v>
      </c>
      <c r="AR3" s="217">
        <v>0</v>
      </c>
      <c r="AS3" s="217">
        <v>0</v>
      </c>
      <c r="AT3" s="227">
        <v>0</v>
      </c>
      <c r="AU3" s="224" t="str">
        <v/>
      </c>
      <c r="AV3" s="264">
        <v>0</v>
      </c>
      <c r="AW3" s="118">
        <v>0</v>
      </c>
    </row>
    <row r="4" spans="1:50">
      <c r="A4" s="118">
        <v>22</v>
      </c>
      <c r="B4" s="118" t="str">
        <v>비닐팩토리</v>
      </c>
      <c r="C4" s="211">
        <v>45446</v>
      </c>
      <c r="D4" s="118" t="str">
        <v>45470899</v>
      </c>
      <c r="E4" s="118" t="str">
        <v>대표</v>
      </c>
      <c r="F4" s="118">
        <v>0</v>
      </c>
      <c r="G4" s="118">
        <v>0</v>
      </c>
      <c r="H4" s="118">
        <v>0</v>
      </c>
      <c r="I4" s="211">
        <v>45446</v>
      </c>
      <c r="J4" s="118" t="str">
        <v>CJ대한통운</v>
      </c>
      <c r="K4" s="118" t="str">
        <v>530213372596</v>
      </c>
      <c r="L4" s="211">
        <v>0</v>
      </c>
      <c r="M4" s="118" t="str">
        <v>SE.1000</v>
      </c>
      <c r="N4" s="118" t="str">
        <v>투명</v>
      </c>
      <c r="O4" s="118">
        <v>4</v>
      </c>
      <c r="P4" s="118" t="str">
        <v>역전떡집</v>
      </c>
      <c r="Q4" s="118" t="str">
        <v>010-4106-0020</v>
      </c>
      <c r="R4" s="118">
        <v>0</v>
      </c>
      <c r="S4" s="118" t="str">
        <v>경북 예천군 예천읍 대심로 134 역전떡집</v>
      </c>
      <c r="T4" s="224">
        <v>0</v>
      </c>
      <c r="U4" s="224">
        <v>0</v>
      </c>
      <c r="V4" s="224">
        <v>0</v>
      </c>
      <c r="W4" s="217">
        <v>0</v>
      </c>
      <c r="X4" s="217">
        <v>0</v>
      </c>
      <c r="Y4" s="217">
        <v>0</v>
      </c>
      <c r="Z4" s="217">
        <v>5500</v>
      </c>
      <c r="AA4" s="217">
        <v>0</v>
      </c>
      <c r="AB4" s="217">
        <v>0</v>
      </c>
      <c r="AC4" s="217">
        <v>0</v>
      </c>
      <c r="AD4" s="118" t="str">
        <v>대표</v>
      </c>
      <c r="AE4" s="224" t="str">
        <v>재구매</v>
      </c>
      <c r="AF4" s="217">
        <v>0</v>
      </c>
      <c r="AG4" s="217">
        <v>0</v>
      </c>
      <c r="AH4" s="217">
        <v>0</v>
      </c>
      <c r="AI4" s="217">
        <v>0</v>
      </c>
      <c r="AJ4" s="217">
        <v>0</v>
      </c>
      <c r="AK4" s="217">
        <v>0</v>
      </c>
      <c r="AL4" s="227">
        <v>0</v>
      </c>
      <c r="AM4" s="224">
        <v>0</v>
      </c>
      <c r="AN4" s="118" t="str">
        <v>ptDB47</v>
      </c>
      <c r="AO4" s="264">
        <v>0</v>
      </c>
      <c r="AP4" s="217">
        <v>0</v>
      </c>
      <c r="AQ4" s="217">
        <v>0</v>
      </c>
      <c r="AR4" s="217">
        <v>0</v>
      </c>
      <c r="AS4" s="217">
        <v>0</v>
      </c>
      <c r="AT4" s="227">
        <v>0</v>
      </c>
      <c r="AU4" s="224" t="str">
        <v/>
      </c>
      <c r="AV4" s="264">
        <v>0</v>
      </c>
      <c r="AW4" s="118">
        <v>0</v>
      </c>
    </row>
    <row r="5" spans="1:50">
      <c r="A5" s="118">
        <v>26</v>
      </c>
      <c r="B5" s="118" t="str">
        <v>비닐팩토리</v>
      </c>
      <c r="C5" s="211">
        <v>45446</v>
      </c>
      <c r="D5" s="118" t="str">
        <v>2024060349869161</v>
      </c>
      <c r="E5" s="118" t="str">
        <v>스마트 스토어</v>
      </c>
      <c r="F5" s="118" t="str">
        <v>노민정</v>
      </c>
      <c r="G5" s="118" t="str">
        <v>mimi****</v>
      </c>
      <c r="H5" s="118" t="str">
        <v>010-2714-7704</v>
      </c>
      <c r="I5" s="211">
        <v>45446</v>
      </c>
      <c r="J5" s="118" t="str">
        <v>CJ대한통운</v>
      </c>
      <c r="K5" s="118" t="str">
        <v>530213304862</v>
      </c>
      <c r="L5" s="211">
        <v>0</v>
      </c>
      <c r="M5" s="118" t="str">
        <v>SE.205</v>
      </c>
      <c r="N5" s="118" t="str">
        <v>투명</v>
      </c>
      <c r="O5" s="118">
        <v>1</v>
      </c>
      <c r="P5" s="118" t="str">
        <v>노민정</v>
      </c>
      <c r="Q5" s="118" t="str">
        <v>010-2714-7704</v>
      </c>
      <c r="R5" s="118">
        <v>0</v>
      </c>
      <c r="S5" s="118" t="str">
        <v>서울특별시 양천구 중앙로 224 (신정동) 102호</v>
      </c>
      <c r="T5" s="224">
        <v>0</v>
      </c>
      <c r="U5" s="224">
        <v>0</v>
      </c>
      <c r="V5" s="224">
        <v>0</v>
      </c>
      <c r="W5" s="217">
        <v>24000</v>
      </c>
      <c r="X5" s="217">
        <v>0</v>
      </c>
      <c r="Y5" s="217">
        <v>3000</v>
      </c>
      <c r="Z5" s="217">
        <v>3000</v>
      </c>
      <c r="AA5" s="217">
        <v>0</v>
      </c>
      <c r="AB5" s="217">
        <v>0</v>
      </c>
      <c r="AC5" s="217">
        <v>0</v>
      </c>
      <c r="AD5" s="118" t="str">
        <v>떡롤 35*400</v>
      </c>
      <c r="AE5" s="224">
        <v>0</v>
      </c>
      <c r="AF5" s="217">
        <v>24000</v>
      </c>
      <c r="AG5" s="217">
        <v>16500</v>
      </c>
      <c r="AH5" s="217">
        <v>27000</v>
      </c>
      <c r="AI5" s="217">
        <v>0</v>
      </c>
      <c r="AJ5" s="217">
        <v>1375</v>
      </c>
      <c r="AK5" s="217">
        <v>0</v>
      </c>
      <c r="AL5" s="227">
        <v>0</v>
      </c>
      <c r="AM5" s="224">
        <v>0</v>
      </c>
      <c r="AN5" s="118" t="str">
        <v>ptDB47</v>
      </c>
      <c r="AO5" s="264">
        <v>0</v>
      </c>
      <c r="AP5" s="217">
        <v>27000</v>
      </c>
      <c r="AQ5" s="217">
        <v>0</v>
      </c>
      <c r="AR5" s="217">
        <v>1375</v>
      </c>
      <c r="AS5" s="217">
        <v>0</v>
      </c>
      <c r="AT5" s="227">
        <v>0</v>
      </c>
      <c r="AU5" s="224" t="str">
        <v/>
      </c>
      <c r="AV5" s="264">
        <v>0</v>
      </c>
      <c r="AW5" s="118">
        <v>16500</v>
      </c>
    </row>
    <row r="6" spans="1:50">
      <c r="A6" s="118">
        <v>27</v>
      </c>
      <c r="B6" s="118" t="str">
        <v>비닐팩토리</v>
      </c>
      <c r="C6" s="211">
        <v>45445</v>
      </c>
      <c r="D6" s="118" t="str">
        <v>2024060234540801</v>
      </c>
      <c r="E6" s="118" t="str">
        <v>스마트 스토어</v>
      </c>
      <c r="F6" s="118" t="str">
        <v>한찬범</v>
      </c>
      <c r="G6" s="118" t="str">
        <v>gksq****</v>
      </c>
      <c r="H6" s="118" t="str">
        <v>010-9589-2203</v>
      </c>
      <c r="I6" s="211">
        <v>45446</v>
      </c>
      <c r="J6" s="118" t="str">
        <v>CJ대한통운</v>
      </c>
      <c r="K6" s="118" t="str">
        <v>530213304980</v>
      </c>
      <c r="L6" s="211">
        <v>0</v>
      </c>
      <c r="M6" s="118" t="str">
        <v>SE.203</v>
      </c>
      <c r="N6" s="118" t="str">
        <v>투명</v>
      </c>
      <c r="O6" s="118">
        <v>1</v>
      </c>
      <c r="P6" s="118" t="str">
        <v>한찬범</v>
      </c>
      <c r="Q6" s="118" t="str">
        <v>010-9589-2203</v>
      </c>
      <c r="R6" s="118">
        <v>0</v>
      </c>
      <c r="S6" s="118" t="str">
        <v>충청북도 청주시 서원구 장전로20번나길 8 (성화동) 1층 꿀꺽삼겹살</v>
      </c>
      <c r="T6" s="224">
        <v>0</v>
      </c>
      <c r="U6" s="224">
        <v>0</v>
      </c>
      <c r="V6" s="224">
        <v>0</v>
      </c>
      <c r="W6" s="217">
        <v>17600</v>
      </c>
      <c r="X6" s="217">
        <v>0</v>
      </c>
      <c r="Y6" s="217">
        <v>3000</v>
      </c>
      <c r="Z6" s="217">
        <v>3000</v>
      </c>
      <c r="AA6" s="217">
        <v>0</v>
      </c>
      <c r="AB6" s="217">
        <v>0</v>
      </c>
      <c r="AC6" s="217">
        <v>0</v>
      </c>
      <c r="AD6" s="118" t="str">
        <v>떡롤 24*400</v>
      </c>
      <c r="AE6" s="224">
        <v>0</v>
      </c>
      <c r="AF6" s="217">
        <v>17600</v>
      </c>
      <c r="AG6" s="217">
        <v>12100</v>
      </c>
      <c r="AH6" s="217">
        <v>20600</v>
      </c>
      <c r="AI6" s="217">
        <v>0</v>
      </c>
      <c r="AJ6" s="217">
        <v>1053</v>
      </c>
      <c r="AK6" s="217">
        <v>0</v>
      </c>
      <c r="AL6" s="227">
        <v>0</v>
      </c>
      <c r="AM6" s="224">
        <v>0</v>
      </c>
      <c r="AN6" s="118" t="str">
        <v>ptDB47</v>
      </c>
      <c r="AO6" s="264">
        <v>0</v>
      </c>
      <c r="AP6" s="217">
        <v>20600</v>
      </c>
      <c r="AQ6" s="217">
        <v>0</v>
      </c>
      <c r="AR6" s="217">
        <v>1053</v>
      </c>
      <c r="AS6" s="217">
        <v>0</v>
      </c>
      <c r="AT6" s="227">
        <v>0</v>
      </c>
      <c r="AU6" s="224" t="str">
        <v/>
      </c>
      <c r="AV6" s="264">
        <v>0</v>
      </c>
      <c r="AW6" s="118">
        <v>12100</v>
      </c>
    </row>
    <row r="7" spans="1:50">
      <c r="A7" s="118">
        <v>28</v>
      </c>
      <c r="B7" s="118" t="str">
        <v>비닐팩토리</v>
      </c>
      <c r="C7" s="211">
        <v>45444</v>
      </c>
      <c r="D7" s="118" t="str">
        <v>2024060186841831</v>
      </c>
      <c r="E7" s="118" t="str">
        <v>스마트 스토어</v>
      </c>
      <c r="F7" s="118" t="str">
        <v>JINXIANGHUA</v>
      </c>
      <c r="G7" s="118" t="str">
        <v>danh****</v>
      </c>
      <c r="H7" s="118" t="str">
        <v>010-5313-3880</v>
      </c>
      <c r="I7" s="211">
        <v>45446</v>
      </c>
      <c r="J7" s="118" t="str">
        <v>CJ대한통운</v>
      </c>
      <c r="K7" s="118" t="str">
        <v>530213304910</v>
      </c>
      <c r="L7" s="211">
        <v>0</v>
      </c>
      <c r="M7" s="118" t="str">
        <v>SE.204</v>
      </c>
      <c r="N7" s="118" t="str">
        <v>투명</v>
      </c>
      <c r="O7" s="118">
        <v>1</v>
      </c>
      <c r="P7" s="118" t="str">
        <v>김단혜</v>
      </c>
      <c r="Q7" s="118" t="str">
        <v>010-5313-3880</v>
      </c>
      <c r="R7" s="118">
        <v>0</v>
      </c>
      <c r="S7" s="118" t="str">
        <v>경기도 안양시 동안구 시민대로 180 (호계동, G.SQURE, 롯데백화점 평촌점) 지하1층 검품장</v>
      </c>
      <c r="T7" s="224">
        <v>0</v>
      </c>
      <c r="U7" s="224">
        <v>0</v>
      </c>
      <c r="V7" s="224">
        <v>0</v>
      </c>
      <c r="W7" s="217">
        <v>20800</v>
      </c>
      <c r="X7" s="217">
        <v>0</v>
      </c>
      <c r="Y7" s="217">
        <v>3000</v>
      </c>
      <c r="Z7" s="217">
        <v>3500</v>
      </c>
      <c r="AA7" s="217">
        <v>0</v>
      </c>
      <c r="AB7" s="217">
        <v>0</v>
      </c>
      <c r="AC7" s="217">
        <v>0</v>
      </c>
      <c r="AD7" s="118" t="str">
        <v>떡롤 30*400</v>
      </c>
      <c r="AE7" s="224">
        <v>0</v>
      </c>
      <c r="AF7" s="217">
        <v>20800</v>
      </c>
      <c r="AG7" s="217">
        <v>14300</v>
      </c>
      <c r="AH7" s="217">
        <v>23800</v>
      </c>
      <c r="AI7" s="217">
        <v>0</v>
      </c>
      <c r="AJ7" s="217">
        <v>1214</v>
      </c>
      <c r="AK7" s="217">
        <v>0</v>
      </c>
      <c r="AL7" s="227">
        <v>0</v>
      </c>
      <c r="AM7" s="224">
        <v>0</v>
      </c>
      <c r="AN7" s="118" t="str">
        <v>ptDB47</v>
      </c>
      <c r="AO7" s="264">
        <v>0</v>
      </c>
      <c r="AP7" s="217">
        <v>23800</v>
      </c>
      <c r="AQ7" s="217">
        <v>0</v>
      </c>
      <c r="AR7" s="217">
        <v>1214</v>
      </c>
      <c r="AS7" s="217">
        <v>0</v>
      </c>
      <c r="AT7" s="227">
        <v>0</v>
      </c>
      <c r="AU7" s="224" t="str">
        <v/>
      </c>
      <c r="AV7" s="264">
        <v>0</v>
      </c>
      <c r="AW7" s="118">
        <v>14300</v>
      </c>
    </row>
    <row r="8" spans="1:50">
      <c r="A8" s="118">
        <v>29</v>
      </c>
      <c r="B8" s="118" t="str">
        <v>비닐팩토리</v>
      </c>
      <c r="C8" s="211">
        <v>45444</v>
      </c>
      <c r="D8" s="118" t="str">
        <v>2024060185000311</v>
      </c>
      <c r="E8" s="118" t="str">
        <v>스마트 스토어</v>
      </c>
      <c r="F8" s="118" t="str">
        <v>정유연</v>
      </c>
      <c r="G8" s="118" t="str">
        <v>simi****</v>
      </c>
      <c r="H8" s="118" t="str">
        <v>010-9518-2588</v>
      </c>
      <c r="I8" s="211">
        <v>45446</v>
      </c>
      <c r="J8" s="118" t="str">
        <v>CJ대한통운</v>
      </c>
      <c r="K8" s="118" t="str">
        <v>530213304895</v>
      </c>
      <c r="L8" s="211">
        <v>0</v>
      </c>
      <c r="M8" s="118" t="str">
        <v>SE.18</v>
      </c>
      <c r="N8" s="118" t="str">
        <v>청백</v>
      </c>
      <c r="O8" s="118">
        <v>1</v>
      </c>
      <c r="P8" s="118" t="str">
        <v>하루정육</v>
      </c>
      <c r="Q8" s="118" t="str">
        <v>010-9518-2588</v>
      </c>
      <c r="R8" s="118">
        <v>0</v>
      </c>
      <c r="S8" s="118" t="str">
        <v>부산광역시 부산진구 동평로 173 (부암동, 협성휴포레 시티즌파크) 상가 1층 하루정육</v>
      </c>
      <c r="T8" s="224">
        <v>0</v>
      </c>
      <c r="U8" s="224">
        <v>0</v>
      </c>
      <c r="V8" s="224">
        <v>0</v>
      </c>
      <c r="W8" s="217">
        <v>1770</v>
      </c>
      <c r="X8" s="217">
        <v>1440</v>
      </c>
      <c r="Y8" s="217">
        <v>0</v>
      </c>
      <c r="Z8" s="217">
        <v>3000</v>
      </c>
      <c r="AA8" s="217">
        <v>0</v>
      </c>
      <c r="AB8" s="217">
        <v>0</v>
      </c>
      <c r="AC8" s="217">
        <v>0</v>
      </c>
      <c r="AD8" s="118" t="str">
        <v>왕대A</v>
      </c>
      <c r="AE8" s="224">
        <v>0</v>
      </c>
      <c r="AF8" s="217">
        <v>1770</v>
      </c>
      <c r="AG8" s="217">
        <v>1293</v>
      </c>
      <c r="AH8" s="217">
        <v>1770</v>
      </c>
      <c r="AI8" s="217">
        <v>0</v>
      </c>
      <c r="AJ8" s="217">
        <v>169</v>
      </c>
      <c r="AK8" s="217">
        <v>0</v>
      </c>
      <c r="AL8" s="227">
        <v>0</v>
      </c>
      <c r="AM8" s="224">
        <v>0</v>
      </c>
      <c r="AN8" s="118" t="str">
        <v>ptDB47</v>
      </c>
      <c r="AO8" s="264">
        <v>0</v>
      </c>
      <c r="AP8" s="217">
        <v>1770</v>
      </c>
      <c r="AQ8" s="217">
        <v>0</v>
      </c>
      <c r="AR8" s="217">
        <v>169</v>
      </c>
      <c r="AS8" s="217">
        <v>0</v>
      </c>
      <c r="AT8" s="227">
        <v>0</v>
      </c>
      <c r="AU8" s="224" t="str">
        <v/>
      </c>
      <c r="AV8" s="264">
        <v>0</v>
      </c>
      <c r="AW8" s="118">
        <v>1293</v>
      </c>
    </row>
    <row r="9" spans="1:50">
      <c r="A9" s="118">
        <v>30</v>
      </c>
      <c r="B9" s="118" t="str">
        <v>비닐팩토리</v>
      </c>
      <c r="C9" s="211">
        <v>45444</v>
      </c>
      <c r="D9" s="118" t="str">
        <v>2024060185000301</v>
      </c>
      <c r="E9" s="118" t="str">
        <v>스마트 스토어</v>
      </c>
      <c r="F9" s="118" t="str">
        <v>정유연</v>
      </c>
      <c r="G9" s="118" t="str">
        <v>simi****</v>
      </c>
      <c r="H9" s="118" t="str">
        <v>010-9518-2588</v>
      </c>
      <c r="I9" s="211">
        <v>45446</v>
      </c>
      <c r="J9" s="118" t="str">
        <v>CJ대한통운</v>
      </c>
      <c r="K9" s="118" t="str">
        <v>530213304895</v>
      </c>
      <c r="L9" s="211">
        <v>0</v>
      </c>
      <c r="M9" s="118" t="str">
        <v>SE.8</v>
      </c>
      <c r="N9" s="118" t="str">
        <v>유백</v>
      </c>
      <c r="O9" s="118">
        <v>10</v>
      </c>
      <c r="P9" s="118" t="str">
        <v>하루정육</v>
      </c>
      <c r="Q9" s="118" t="str">
        <v>010-9518-2588</v>
      </c>
      <c r="R9" s="118">
        <v>0</v>
      </c>
      <c r="S9" s="118" t="str">
        <v>부산광역시 부산진구 동평로 173 (부암동, 협성휴포레 시티즌파크) 상가 1층 하루정육</v>
      </c>
      <c r="T9" s="224">
        <v>0</v>
      </c>
      <c r="U9" s="224">
        <v>0</v>
      </c>
      <c r="V9" s="224">
        <v>0</v>
      </c>
      <c r="W9" s="217">
        <v>9800</v>
      </c>
      <c r="X9" s="217">
        <v>14400</v>
      </c>
      <c r="Y9" s="217">
        <v>0</v>
      </c>
      <c r="Z9" s="217">
        <v>0</v>
      </c>
      <c r="AA9" s="217">
        <v>0</v>
      </c>
      <c r="AB9" s="217">
        <v>0</v>
      </c>
      <c r="AC9" s="217">
        <v>0</v>
      </c>
      <c r="AD9" s="118" t="str">
        <v>대위</v>
      </c>
      <c r="AE9" s="224" t="str">
        <v>재구매</v>
      </c>
      <c r="AF9" s="217">
        <v>980</v>
      </c>
      <c r="AG9" s="217">
        <v>715</v>
      </c>
      <c r="AH9" s="217">
        <v>9800</v>
      </c>
      <c r="AI9" s="217">
        <v>0</v>
      </c>
      <c r="AJ9" s="217">
        <v>572</v>
      </c>
      <c r="AK9" s="217">
        <v>0</v>
      </c>
      <c r="AL9" s="227">
        <v>0</v>
      </c>
      <c r="AM9" s="224">
        <v>0</v>
      </c>
      <c r="AN9" s="118" t="str">
        <v>ptDB47</v>
      </c>
      <c r="AO9" s="264">
        <v>0</v>
      </c>
      <c r="AP9" s="217">
        <v>9800</v>
      </c>
      <c r="AQ9" s="217">
        <v>0</v>
      </c>
      <c r="AR9" s="217">
        <v>572</v>
      </c>
      <c r="AS9" s="217">
        <v>0</v>
      </c>
      <c r="AT9" s="227">
        <v>0</v>
      </c>
      <c r="AU9" s="224" t="str">
        <v/>
      </c>
      <c r="AV9" s="264">
        <v>0</v>
      </c>
      <c r="AW9" s="118">
        <v>7150</v>
      </c>
    </row>
    <row r="10" spans="1:50">
      <c r="A10" s="118">
        <v>31</v>
      </c>
      <c r="B10" s="118" t="str">
        <v>비닐팩토리</v>
      </c>
      <c r="C10" s="211">
        <v>45444</v>
      </c>
      <c r="D10" s="118" t="str">
        <v>2024060185000291</v>
      </c>
      <c r="E10" s="118" t="str">
        <v>스마트 스토어</v>
      </c>
      <c r="F10" s="118" t="str">
        <v>정유연</v>
      </c>
      <c r="G10" s="118" t="str">
        <v>simi****</v>
      </c>
      <c r="H10" s="118" t="str">
        <v>010-9518-2588</v>
      </c>
      <c r="I10" s="211">
        <v>45446</v>
      </c>
      <c r="J10" s="118" t="str">
        <v>CJ대한통운</v>
      </c>
      <c r="K10" s="118" t="str">
        <v>530213304895</v>
      </c>
      <c r="L10" s="211">
        <v>0</v>
      </c>
      <c r="M10" s="118" t="str">
        <v>SE.406</v>
      </c>
      <c r="N10" s="118" t="str">
        <v>투명</v>
      </c>
      <c r="O10" s="118">
        <v>1</v>
      </c>
      <c r="P10" s="118" t="str">
        <v>하루정육</v>
      </c>
      <c r="Q10" s="118" t="str">
        <v>010-9518-2588</v>
      </c>
      <c r="R10" s="118">
        <v>0</v>
      </c>
      <c r="S10" s="118" t="str">
        <v>부산광역시 부산진구 동평로 173 (부암동, 협성휴포레 시티즌파크) 상가 1층 하루정육</v>
      </c>
      <c r="T10" s="224">
        <v>0</v>
      </c>
      <c r="U10" s="224">
        <v>0</v>
      </c>
      <c r="V10" s="224">
        <v>0</v>
      </c>
      <c r="W10" s="217">
        <v>12600</v>
      </c>
      <c r="X10" s="217">
        <v>0</v>
      </c>
      <c r="Y10" s="217">
        <v>0</v>
      </c>
      <c r="Z10" s="217">
        <v>0</v>
      </c>
      <c r="AA10" s="217">
        <v>0</v>
      </c>
      <c r="AB10" s="217">
        <v>0</v>
      </c>
      <c r="AC10" s="217">
        <v>0</v>
      </c>
      <c r="AD10" s="118" t="str">
        <v>0</v>
      </c>
      <c r="AE10" s="224" t="str">
        <v>재구매</v>
      </c>
      <c r="AF10" s="217">
        <v>12380</v>
      </c>
      <c r="AG10" s="217">
        <v>8250</v>
      </c>
      <c r="AH10" s="217">
        <v>12600</v>
      </c>
      <c r="AI10" s="217">
        <v>0</v>
      </c>
      <c r="AJ10" s="217">
        <v>713</v>
      </c>
      <c r="AK10" s="217">
        <v>0</v>
      </c>
      <c r="AL10" s="227">
        <v>0</v>
      </c>
      <c r="AM10" s="224">
        <v>0</v>
      </c>
      <c r="AN10" s="118" t="str">
        <v>ptDB47</v>
      </c>
      <c r="AO10" s="264">
        <v>0</v>
      </c>
      <c r="AP10" s="217">
        <v>12600</v>
      </c>
      <c r="AQ10" s="217">
        <v>0</v>
      </c>
      <c r="AR10" s="217">
        <v>713</v>
      </c>
      <c r="AS10" s="217">
        <v>0</v>
      </c>
      <c r="AT10" s="227">
        <v>0</v>
      </c>
      <c r="AU10" s="224" t="str">
        <v/>
      </c>
      <c r="AV10" s="264">
        <v>0</v>
      </c>
      <c r="AW10" s="118">
        <v>8250</v>
      </c>
    </row>
    <row r="11" spans="1:50">
      <c r="A11" s="118">
        <v>32</v>
      </c>
      <c r="B11" s="118" t="str">
        <v>비닐팩토리</v>
      </c>
      <c r="C11" s="211">
        <v>45443</v>
      </c>
      <c r="D11" s="118" t="str">
        <v>2024053168578671</v>
      </c>
      <c r="E11" s="118" t="str">
        <v>스마트 스토어</v>
      </c>
      <c r="F11" s="118" t="str">
        <v>안태진</v>
      </c>
      <c r="G11" s="118" t="str">
        <v>sdho****</v>
      </c>
      <c r="H11" s="118" t="str">
        <v>010-3096-4296</v>
      </c>
      <c r="I11" s="211">
        <v>45446</v>
      </c>
      <c r="J11" s="118" t="str">
        <v>CJ대한통운</v>
      </c>
      <c r="K11" s="118" t="str">
        <v>530213305013</v>
      </c>
      <c r="L11" s="211">
        <v>0</v>
      </c>
      <c r="M11" s="118" t="str">
        <v>SE.204</v>
      </c>
      <c r="N11" s="118" t="str">
        <v>투명</v>
      </c>
      <c r="O11" s="118">
        <v>1</v>
      </c>
      <c r="P11" s="118" t="str">
        <v>안태진</v>
      </c>
      <c r="Q11" s="118" t="str">
        <v>010-3096-4296</v>
      </c>
      <c r="R11" s="118">
        <v>0</v>
      </c>
      <c r="S11" s="118" t="str">
        <v>충청북도 단양군 단양읍 도전5길 30 (단양읍) 주전부리</v>
      </c>
      <c r="T11" s="224">
        <v>0</v>
      </c>
      <c r="U11" s="224">
        <v>0</v>
      </c>
      <c r="V11" s="224">
        <v>0</v>
      </c>
      <c r="W11" s="217">
        <v>20800</v>
      </c>
      <c r="X11" s="217">
        <v>0</v>
      </c>
      <c r="Y11" s="217">
        <v>3000</v>
      </c>
      <c r="Z11" s="217">
        <v>3000</v>
      </c>
      <c r="AA11" s="217">
        <v>0</v>
      </c>
      <c r="AB11" s="217">
        <v>0</v>
      </c>
      <c r="AC11" s="217">
        <v>0</v>
      </c>
      <c r="AD11" s="118" t="str">
        <v>떡롤 30*400</v>
      </c>
      <c r="AE11" s="224">
        <v>0</v>
      </c>
      <c r="AF11" s="217">
        <v>20800</v>
      </c>
      <c r="AG11" s="217">
        <v>14300</v>
      </c>
      <c r="AH11" s="217">
        <v>23800</v>
      </c>
      <c r="AI11" s="217">
        <v>0</v>
      </c>
      <c r="AJ11" s="217">
        <v>1214</v>
      </c>
      <c r="AK11" s="217">
        <v>0</v>
      </c>
      <c r="AL11" s="227">
        <v>0</v>
      </c>
      <c r="AM11" s="224">
        <v>0</v>
      </c>
      <c r="AN11" s="118" t="str">
        <v>ptDB47</v>
      </c>
      <c r="AO11" s="264">
        <v>0</v>
      </c>
      <c r="AP11" s="217">
        <v>23800</v>
      </c>
      <c r="AQ11" s="217">
        <v>0</v>
      </c>
      <c r="AR11" s="217">
        <v>1214</v>
      </c>
      <c r="AS11" s="217">
        <v>0</v>
      </c>
      <c r="AT11" s="227">
        <v>0</v>
      </c>
      <c r="AU11" s="224" t="str">
        <v/>
      </c>
      <c r="AV11" s="264">
        <v>0</v>
      </c>
      <c r="AW11" s="118">
        <v>14300</v>
      </c>
    </row>
    <row r="12" spans="1:50">
      <c r="A12" s="118">
        <v>38</v>
      </c>
      <c r="B12" s="118" t="str">
        <v>비닐팩토리</v>
      </c>
      <c r="C12" s="211">
        <v>45444</v>
      </c>
      <c r="D12" s="118" t="str">
        <v>2100050628554</v>
      </c>
      <c r="E12" s="118" t="str">
        <v>쿠팡</v>
      </c>
      <c r="F12" s="118" t="str">
        <v>이은주</v>
      </c>
      <c r="G12" s="118" t="str">
        <v>en*****@gm</v>
      </c>
      <c r="H12" s="118" t="str">
        <v>0504-4916-6426</v>
      </c>
      <c r="I12" s="211">
        <v>45446</v>
      </c>
      <c r="J12" s="118" t="str">
        <v>CJ대한통운</v>
      </c>
      <c r="K12" s="118" t="str">
        <v>530213304840</v>
      </c>
      <c r="L12" s="211">
        <v>0</v>
      </c>
      <c r="M12" s="118" t="str">
        <v>SE.101</v>
      </c>
      <c r="N12" s="118" t="str">
        <v>투명</v>
      </c>
      <c r="O12" s="118">
        <v>1</v>
      </c>
      <c r="P12" s="118" t="str">
        <v>이은주</v>
      </c>
      <c r="Q12" s="118" t="str">
        <v>0504-4916-6426</v>
      </c>
      <c r="R12" s="118">
        <v>0</v>
      </c>
      <c r="S12" s="118" t="str">
        <v>대구광역시 북구 태전동 997-1 칠곡에덴타운 103동305호</v>
      </c>
      <c r="T12" s="224" t="str">
        <v>문 앞</v>
      </c>
      <c r="U12" s="224">
        <v>0</v>
      </c>
      <c r="V12" s="224">
        <v>0</v>
      </c>
      <c r="W12" s="217">
        <v>17300</v>
      </c>
      <c r="X12" s="217">
        <v>0</v>
      </c>
      <c r="Y12" s="217">
        <v>3000</v>
      </c>
      <c r="Z12" s="217">
        <v>3000</v>
      </c>
      <c r="AA12" s="217">
        <v>0</v>
      </c>
      <c r="AB12" s="217">
        <v>0</v>
      </c>
      <c r="AC12" s="217">
        <v>0</v>
      </c>
      <c r="AD12" s="118" t="str">
        <v>소폭 10*26</v>
      </c>
      <c r="AE12" s="224">
        <v>0</v>
      </c>
      <c r="AF12" s="217">
        <v>8700</v>
      </c>
      <c r="AG12" s="217">
        <v>5500</v>
      </c>
      <c r="AH12" s="217">
        <v>20300</v>
      </c>
      <c r="AI12" s="217">
        <v>0</v>
      </c>
      <c r="AJ12" s="217">
        <v>2154</v>
      </c>
      <c r="AK12" s="217">
        <v>0</v>
      </c>
      <c r="AL12" s="227">
        <v>0</v>
      </c>
      <c r="AM12" s="224">
        <v>0</v>
      </c>
      <c r="AN12" s="118" t="str">
        <v>ptDB47</v>
      </c>
      <c r="AO12" s="264">
        <v>10</v>
      </c>
      <c r="AP12" s="217">
        <v>20300</v>
      </c>
      <c r="AQ12" s="217">
        <v>0</v>
      </c>
      <c r="AR12" s="217">
        <v>2154</v>
      </c>
      <c r="AS12" s="217">
        <v>0</v>
      </c>
      <c r="AT12" s="227">
        <v>0</v>
      </c>
      <c r="AU12" s="224" t="str">
        <v/>
      </c>
      <c r="AV12" s="264">
        <v>0</v>
      </c>
      <c r="AW12" s="118">
        <v>5500</v>
      </c>
    </row>
    <row r="13" spans="1:50">
      <c r="A13" s="118">
        <v>47</v>
      </c>
      <c r="B13" s="118" t="str">
        <v>비닐팩토리</v>
      </c>
      <c r="C13" s="211">
        <v>45447</v>
      </c>
      <c r="D13" s="118" t="str">
        <v>2024060499064921</v>
      </c>
      <c r="E13" s="118" t="str">
        <v>스마트 스토어</v>
      </c>
      <c r="F13" s="118" t="str">
        <v>고종연</v>
      </c>
      <c r="G13" s="118" t="str">
        <v>kjy6****</v>
      </c>
      <c r="H13" s="118" t="str">
        <v>010-3789-6659</v>
      </c>
      <c r="I13" s="211">
        <v>45447</v>
      </c>
      <c r="J13" s="118" t="str">
        <v>CJ대한통운</v>
      </c>
      <c r="K13" s="118" t="str">
        <v>540213347831</v>
      </c>
      <c r="L13" s="211">
        <v>0</v>
      </c>
      <c r="M13" s="118" t="str">
        <v>SE.106</v>
      </c>
      <c r="N13" s="118" t="str">
        <v>투명</v>
      </c>
      <c r="O13" s="118">
        <v>10</v>
      </c>
      <c r="P13" s="118" t="str">
        <v>고종연</v>
      </c>
      <c r="Q13" s="118" t="str">
        <v>010-3789-6659</v>
      </c>
      <c r="R13" s="118">
        <v>0</v>
      </c>
      <c r="S13" s="118" t="str">
        <v>경기도 하남시 미사대로 380 (망월동) 농협하나로마트</v>
      </c>
      <c r="T13" s="224" t="str">
        <v>배송 전 미리 연락해 주세요</v>
      </c>
      <c r="U13" s="224">
        <v>0</v>
      </c>
      <c r="V13" s="224">
        <v>0</v>
      </c>
      <c r="W13" s="217">
        <v>29700</v>
      </c>
      <c r="X13" s="217">
        <v>12900</v>
      </c>
      <c r="Y13" s="217">
        <v>0</v>
      </c>
      <c r="Z13" s="217">
        <v>3500</v>
      </c>
      <c r="AA13" s="217">
        <v>0</v>
      </c>
      <c r="AB13" s="217">
        <v>0</v>
      </c>
      <c r="AC13" s="217">
        <v>0</v>
      </c>
      <c r="AD13" s="118" t="str">
        <v>소폭 24*38</v>
      </c>
      <c r="AE13" s="224">
        <v>0</v>
      </c>
      <c r="AF13" s="217">
        <v>2970</v>
      </c>
      <c r="AG13" s="217">
        <v>1980</v>
      </c>
      <c r="AH13" s="217">
        <v>29700</v>
      </c>
      <c r="AI13" s="217">
        <v>0</v>
      </c>
      <c r="AJ13" s="217">
        <v>1572</v>
      </c>
      <c r="AK13" s="217">
        <v>0</v>
      </c>
      <c r="AL13" s="227">
        <v>0</v>
      </c>
      <c r="AM13" s="224">
        <v>0</v>
      </c>
      <c r="AN13" s="118" t="str">
        <v>ptDB47</v>
      </c>
      <c r="AO13" s="264">
        <v>0</v>
      </c>
      <c r="AP13" s="217">
        <v>29700</v>
      </c>
      <c r="AQ13" s="217">
        <v>0</v>
      </c>
      <c r="AR13" s="217">
        <v>1572</v>
      </c>
      <c r="AS13" s="217">
        <v>0</v>
      </c>
      <c r="AT13" s="227">
        <v>0</v>
      </c>
      <c r="AU13" s="224" t="str">
        <v/>
      </c>
      <c r="AV13" s="264">
        <v>0</v>
      </c>
      <c r="AW13" s="118">
        <v>19800</v>
      </c>
    </row>
    <row r="14" spans="1:50">
      <c r="A14" s="118">
        <v>48</v>
      </c>
      <c r="B14" s="118" t="str">
        <v>비닐팩토리</v>
      </c>
      <c r="C14" s="211">
        <v>45446</v>
      </c>
      <c r="D14" s="118" t="str">
        <v>2024060382796881</v>
      </c>
      <c r="E14" s="118" t="str">
        <v>스마트 스토어</v>
      </c>
      <c r="F14" s="118" t="str">
        <v>이은희</v>
      </c>
      <c r="G14" s="118" t="str">
        <v>cute****</v>
      </c>
      <c r="H14" s="118" t="str">
        <v>010-6321-3452</v>
      </c>
      <c r="I14" s="211">
        <v>45447</v>
      </c>
      <c r="J14" s="118" t="str">
        <v>CJ대한통운</v>
      </c>
      <c r="K14" s="118" t="str">
        <v>540213347444</v>
      </c>
      <c r="L14" s="211">
        <v>0</v>
      </c>
      <c r="M14" s="118" t="str">
        <v>SE.204</v>
      </c>
      <c r="N14" s="118" t="str">
        <v>투명</v>
      </c>
      <c r="O14" s="118">
        <v>1</v>
      </c>
      <c r="P14" s="118" t="str">
        <v>이은희</v>
      </c>
      <c r="Q14" s="118" t="str">
        <v>010-6321-3452</v>
      </c>
      <c r="R14" s="118">
        <v>0</v>
      </c>
      <c r="S14" s="118" t="str">
        <v>경기도 하남시 초광산단서로16번길 30 (초이동) 이레 3층</v>
      </c>
      <c r="T14" s="224">
        <v>0</v>
      </c>
      <c r="U14" s="224">
        <v>0</v>
      </c>
      <c r="V14" s="224">
        <v>0</v>
      </c>
      <c r="W14" s="217">
        <v>20800</v>
      </c>
      <c r="X14" s="217">
        <v>0</v>
      </c>
      <c r="Y14" s="217">
        <v>3000</v>
      </c>
      <c r="Z14" s="217">
        <v>3000</v>
      </c>
      <c r="AA14" s="217">
        <v>0</v>
      </c>
      <c r="AB14" s="217">
        <v>0</v>
      </c>
      <c r="AC14" s="217">
        <v>0</v>
      </c>
      <c r="AD14" s="118" t="str">
        <v>떡롤 30*400</v>
      </c>
      <c r="AE14" s="224">
        <v>0</v>
      </c>
      <c r="AF14" s="217">
        <v>20800</v>
      </c>
      <c r="AG14" s="217">
        <v>14300</v>
      </c>
      <c r="AH14" s="217">
        <v>23800</v>
      </c>
      <c r="AI14" s="217">
        <v>0</v>
      </c>
      <c r="AJ14" s="217">
        <v>1214</v>
      </c>
      <c r="AK14" s="217">
        <v>0</v>
      </c>
      <c r="AL14" s="227">
        <v>0</v>
      </c>
      <c r="AM14" s="224">
        <v>0</v>
      </c>
      <c r="AN14" s="118" t="str">
        <v>ptDB47</v>
      </c>
      <c r="AO14" s="264">
        <v>0</v>
      </c>
      <c r="AP14" s="217">
        <v>23800</v>
      </c>
      <c r="AQ14" s="217">
        <v>0</v>
      </c>
      <c r="AR14" s="217">
        <v>1214</v>
      </c>
      <c r="AS14" s="217">
        <v>0</v>
      </c>
      <c r="AT14" s="227">
        <v>0</v>
      </c>
      <c r="AU14" s="224" t="str">
        <v/>
      </c>
      <c r="AV14" s="264">
        <v>0</v>
      </c>
      <c r="AW14" s="118">
        <v>14300</v>
      </c>
    </row>
    <row r="15" spans="1:50">
      <c r="A15" s="118">
        <v>49</v>
      </c>
      <c r="B15" s="118" t="str">
        <v>비닐팩토리</v>
      </c>
      <c r="C15" s="211">
        <v>45446</v>
      </c>
      <c r="D15" s="118" t="str">
        <v>2024060374861381</v>
      </c>
      <c r="E15" s="118" t="str">
        <v>스마트 스토어</v>
      </c>
      <c r="F15" s="118" t="str">
        <v>조선옥</v>
      </c>
      <c r="G15" s="118" t="str">
        <v>leec****</v>
      </c>
      <c r="H15" s="118" t="str">
        <v>010-7321-8989</v>
      </c>
      <c r="I15" s="211">
        <v>45447</v>
      </c>
      <c r="J15" s="118" t="str">
        <v>CJ대한통운</v>
      </c>
      <c r="K15" s="118" t="str">
        <v>540213347002</v>
      </c>
      <c r="L15" s="211">
        <v>0</v>
      </c>
      <c r="M15" s="118" t="str">
        <v>SE.204</v>
      </c>
      <c r="N15" s="118" t="str">
        <v>투명</v>
      </c>
      <c r="O15" s="118">
        <v>1</v>
      </c>
      <c r="P15" s="118" t="str">
        <v>조선옥</v>
      </c>
      <c r="Q15" s="118" t="str">
        <v>010-7321-8989</v>
      </c>
      <c r="R15" s="118">
        <v>0</v>
      </c>
      <c r="S15" s="118" t="str">
        <v>세종특별자치시 다정남로 123 가온마을 12단지 1206동 802호</v>
      </c>
      <c r="T15" s="224">
        <v>0</v>
      </c>
      <c r="U15" s="224">
        <v>0</v>
      </c>
      <c r="V15" s="224">
        <v>0</v>
      </c>
      <c r="W15" s="217">
        <v>20800</v>
      </c>
      <c r="X15" s="217">
        <v>0</v>
      </c>
      <c r="Y15" s="217">
        <v>3000</v>
      </c>
      <c r="Z15" s="217">
        <v>3000</v>
      </c>
      <c r="AA15" s="217">
        <v>0</v>
      </c>
      <c r="AB15" s="217">
        <v>0</v>
      </c>
      <c r="AC15" s="217">
        <v>0</v>
      </c>
      <c r="AD15" s="118" t="str">
        <v>떡롤 30*400</v>
      </c>
      <c r="AE15" s="224">
        <v>0</v>
      </c>
      <c r="AF15" s="217">
        <v>20800</v>
      </c>
      <c r="AG15" s="217">
        <v>14300</v>
      </c>
      <c r="AH15" s="217">
        <v>23800</v>
      </c>
      <c r="AI15" s="217">
        <v>0</v>
      </c>
      <c r="AJ15" s="217">
        <v>1214</v>
      </c>
      <c r="AK15" s="217">
        <v>0</v>
      </c>
      <c r="AL15" s="227">
        <v>0</v>
      </c>
      <c r="AM15" s="224">
        <v>0</v>
      </c>
      <c r="AN15" s="118" t="str">
        <v>ptDB47</v>
      </c>
      <c r="AO15" s="264">
        <v>0</v>
      </c>
      <c r="AP15" s="217">
        <v>23800</v>
      </c>
      <c r="AQ15" s="217">
        <v>0</v>
      </c>
      <c r="AR15" s="217">
        <v>1214</v>
      </c>
      <c r="AS15" s="217">
        <v>0</v>
      </c>
      <c r="AT15" s="227">
        <v>0</v>
      </c>
      <c r="AU15" s="224" t="str">
        <v/>
      </c>
      <c r="AV15" s="264">
        <v>0</v>
      </c>
      <c r="AW15" s="118">
        <v>14300</v>
      </c>
    </row>
    <row r="16" spans="1:50">
      <c r="A16" s="118">
        <v>50</v>
      </c>
      <c r="B16" s="118" t="str">
        <v>비닐팩토리</v>
      </c>
      <c r="C16" s="211">
        <v>45447</v>
      </c>
      <c r="D16" s="118" t="str">
        <v>45470394</v>
      </c>
      <c r="E16" s="118" t="str">
        <v>대표</v>
      </c>
      <c r="F16" s="118">
        <v>0</v>
      </c>
      <c r="G16" s="118">
        <v>0</v>
      </c>
      <c r="H16" s="118">
        <v>0</v>
      </c>
      <c r="I16" s="211">
        <v>45447</v>
      </c>
      <c r="J16" s="118" t="str">
        <v>CJ대한통운</v>
      </c>
      <c r="K16" s="118" t="str">
        <v>540213347956</v>
      </c>
      <c r="L16" s="211">
        <v>0</v>
      </c>
      <c r="M16" s="118" t="str">
        <v>SE.1000</v>
      </c>
      <c r="N16" s="118" t="str">
        <v>투명</v>
      </c>
      <c r="O16" s="118">
        <v>1</v>
      </c>
      <c r="P16" s="118" t="str">
        <v>운문로컬푸드</v>
      </c>
      <c r="Q16" s="118" t="str">
        <v>054-372-8181</v>
      </c>
      <c r="R16" s="118">
        <v>0</v>
      </c>
      <c r="S16" s="118" t="str">
        <v>경북 청도군 운문면 운문사길 129-8 운문로컬푸드</v>
      </c>
      <c r="T16" s="224">
        <v>0</v>
      </c>
      <c r="U16" s="224">
        <v>0</v>
      </c>
      <c r="V16" s="224">
        <v>0</v>
      </c>
      <c r="W16" s="217">
        <v>0</v>
      </c>
      <c r="X16" s="217">
        <v>0</v>
      </c>
      <c r="Y16" s="217">
        <v>0</v>
      </c>
      <c r="Z16" s="217">
        <v>0</v>
      </c>
      <c r="AA16" s="217">
        <v>0</v>
      </c>
      <c r="AB16" s="217">
        <v>0</v>
      </c>
      <c r="AC16" s="217">
        <v>0</v>
      </c>
      <c r="AD16" s="118" t="str">
        <v>대표</v>
      </c>
      <c r="AE16" s="224" t="str">
        <v>재구매</v>
      </c>
      <c r="AF16" s="217">
        <v>0</v>
      </c>
      <c r="AG16" s="217">
        <v>0</v>
      </c>
      <c r="AH16" s="217">
        <v>0</v>
      </c>
      <c r="AI16" s="217">
        <v>0</v>
      </c>
      <c r="AJ16" s="217">
        <v>0</v>
      </c>
      <c r="AK16" s="217">
        <v>0</v>
      </c>
      <c r="AL16" s="227">
        <v>0</v>
      </c>
      <c r="AM16" s="224">
        <v>0</v>
      </c>
      <c r="AN16" s="118" t="str">
        <v>ptDB47</v>
      </c>
      <c r="AO16" s="264">
        <v>0</v>
      </c>
      <c r="AP16" s="217">
        <v>0</v>
      </c>
      <c r="AQ16" s="217">
        <v>0</v>
      </c>
      <c r="AR16" s="217">
        <v>0</v>
      </c>
      <c r="AS16" s="217">
        <v>0</v>
      </c>
      <c r="AT16" s="227">
        <v>0</v>
      </c>
      <c r="AU16" s="224" t="str">
        <v/>
      </c>
      <c r="AV16" s="264">
        <v>0</v>
      </c>
      <c r="AW16" s="118">
        <v>0</v>
      </c>
    </row>
    <row r="17" spans="1:49">
      <c r="A17" s="118">
        <v>51</v>
      </c>
      <c r="B17" s="118" t="str">
        <v>비닐팩토리</v>
      </c>
      <c r="C17" s="211">
        <v>45447</v>
      </c>
      <c r="D17" s="118" t="str">
        <v>45470734</v>
      </c>
      <c r="E17" s="118" t="str">
        <v>대표</v>
      </c>
      <c r="F17" s="118">
        <v>0</v>
      </c>
      <c r="G17" s="118">
        <v>0</v>
      </c>
      <c r="H17" s="118">
        <v>0</v>
      </c>
      <c r="I17" s="211">
        <v>45447</v>
      </c>
      <c r="J17" s="118" t="str">
        <v>CJ대한통운</v>
      </c>
      <c r="K17" s="118" t="str">
        <v>530214334540</v>
      </c>
      <c r="L17" s="211">
        <v>0</v>
      </c>
      <c r="M17" s="118" t="str">
        <v>SE.1000</v>
      </c>
      <c r="N17" s="118" t="str">
        <v>투명</v>
      </c>
      <c r="O17" s="118">
        <v>1</v>
      </c>
      <c r="P17" s="118" t="str">
        <v>운문로컬푸드</v>
      </c>
      <c r="Q17" s="118" t="str">
        <v>054-372-8181</v>
      </c>
      <c r="R17" s="118">
        <v>0</v>
      </c>
      <c r="S17" s="118" t="str">
        <v>경북 청도군 운문면 운문사길 129-8 운문로컬푸드</v>
      </c>
      <c r="T17" s="224">
        <v>0</v>
      </c>
      <c r="U17" s="224">
        <v>0</v>
      </c>
      <c r="V17" s="224">
        <v>0</v>
      </c>
      <c r="W17" s="217">
        <v>0</v>
      </c>
      <c r="X17" s="217">
        <v>0</v>
      </c>
      <c r="Y17" s="217">
        <v>0</v>
      </c>
      <c r="Z17" s="217">
        <v>0</v>
      </c>
      <c r="AA17" s="217">
        <v>0</v>
      </c>
      <c r="AB17" s="217">
        <v>0</v>
      </c>
      <c r="AC17" s="217">
        <v>0</v>
      </c>
      <c r="AD17" s="118" t="str">
        <v>대표</v>
      </c>
      <c r="AE17" s="224" t="str">
        <v>재구매</v>
      </c>
      <c r="AF17" s="217">
        <v>0</v>
      </c>
      <c r="AG17" s="217">
        <v>0</v>
      </c>
      <c r="AH17" s="217">
        <v>0</v>
      </c>
      <c r="AI17" s="217">
        <v>0</v>
      </c>
      <c r="AJ17" s="217">
        <v>0</v>
      </c>
      <c r="AK17" s="217">
        <v>0</v>
      </c>
      <c r="AL17" s="227">
        <v>0</v>
      </c>
      <c r="AM17" s="224">
        <v>0</v>
      </c>
      <c r="AN17" s="118" t="str">
        <v>ptDB47</v>
      </c>
      <c r="AO17" s="264">
        <v>0</v>
      </c>
      <c r="AP17" s="217">
        <v>0</v>
      </c>
      <c r="AQ17" s="217">
        <v>0</v>
      </c>
      <c r="AR17" s="217">
        <v>0</v>
      </c>
      <c r="AS17" s="217">
        <v>0</v>
      </c>
      <c r="AT17" s="227">
        <v>0</v>
      </c>
      <c r="AU17" s="224" t="str">
        <v/>
      </c>
      <c r="AV17" s="264">
        <v>0</v>
      </c>
      <c r="AW17" s="118">
        <v>0</v>
      </c>
    </row>
    <row r="18" spans="1:49">
      <c r="A18" s="118">
        <v>52</v>
      </c>
      <c r="B18" s="118" t="str">
        <v>비닐팩토리</v>
      </c>
      <c r="C18" s="211">
        <v>45447</v>
      </c>
      <c r="D18" s="118" t="str">
        <v>45470770</v>
      </c>
      <c r="E18" s="118" t="str">
        <v>대표</v>
      </c>
      <c r="F18" s="118">
        <v>0</v>
      </c>
      <c r="G18" s="118">
        <v>0</v>
      </c>
      <c r="H18" s="118">
        <v>0</v>
      </c>
      <c r="I18" s="211">
        <v>45447</v>
      </c>
      <c r="J18" s="118" t="str">
        <v>CJ대한통운</v>
      </c>
      <c r="K18" s="118" t="str">
        <v>530214334643</v>
      </c>
      <c r="L18" s="211">
        <v>0</v>
      </c>
      <c r="M18" s="118" t="str">
        <v>SE.1000</v>
      </c>
      <c r="N18" s="118" t="str">
        <v>투명</v>
      </c>
      <c r="O18" s="118">
        <v>1</v>
      </c>
      <c r="P18" s="118" t="str">
        <v>운문로컬푸드</v>
      </c>
      <c r="Q18" s="118" t="str">
        <v>054-372-8181</v>
      </c>
      <c r="R18" s="118">
        <v>0</v>
      </c>
      <c r="S18" s="118" t="str">
        <v>경북 청도군 운문면 운문사길 129-8 운문로컬푸드</v>
      </c>
      <c r="T18" s="224">
        <v>0</v>
      </c>
      <c r="U18" s="224">
        <v>0</v>
      </c>
      <c r="V18" s="224">
        <v>0</v>
      </c>
      <c r="W18" s="217">
        <v>0</v>
      </c>
      <c r="X18" s="217">
        <v>0</v>
      </c>
      <c r="Y18" s="217">
        <v>0</v>
      </c>
      <c r="Z18" s="217">
        <v>5500</v>
      </c>
      <c r="AA18" s="217">
        <v>0</v>
      </c>
      <c r="AB18" s="217">
        <v>0</v>
      </c>
      <c r="AC18" s="217">
        <v>0</v>
      </c>
      <c r="AD18" s="118" t="str">
        <v>대표</v>
      </c>
      <c r="AE18" s="224" t="str">
        <v>재구매</v>
      </c>
      <c r="AF18" s="217">
        <v>0</v>
      </c>
      <c r="AG18" s="217">
        <v>0</v>
      </c>
      <c r="AH18" s="217">
        <v>0</v>
      </c>
      <c r="AI18" s="217">
        <v>0</v>
      </c>
      <c r="AJ18" s="217">
        <v>0</v>
      </c>
      <c r="AK18" s="217">
        <v>0</v>
      </c>
      <c r="AL18" s="227">
        <v>0</v>
      </c>
      <c r="AM18" s="224">
        <v>0</v>
      </c>
      <c r="AN18" s="118" t="str">
        <v>ptDB47</v>
      </c>
      <c r="AO18" s="264">
        <v>0</v>
      </c>
      <c r="AP18" s="217">
        <v>0</v>
      </c>
      <c r="AQ18" s="217">
        <v>0</v>
      </c>
      <c r="AR18" s="217">
        <v>0</v>
      </c>
      <c r="AS18" s="217">
        <v>0</v>
      </c>
      <c r="AT18" s="227">
        <v>0</v>
      </c>
      <c r="AU18" s="224" t="str">
        <v/>
      </c>
      <c r="AV18" s="264">
        <v>0</v>
      </c>
      <c r="AW18" s="118">
        <v>0</v>
      </c>
    </row>
    <row r="19" spans="1:49">
      <c r="A19" s="118">
        <v>55</v>
      </c>
      <c r="B19" s="118" t="str">
        <v>비닐팩토리</v>
      </c>
      <c r="C19" s="211">
        <v>45446</v>
      </c>
      <c r="D19" s="118" t="str">
        <v>25100051185893</v>
      </c>
      <c r="E19" s="118" t="str">
        <v>쿠팡</v>
      </c>
      <c r="F19" s="118" t="str">
        <v>김형희</v>
      </c>
      <c r="G19" s="118" t="str">
        <v>gu*****@ha</v>
      </c>
      <c r="H19" s="118" t="str">
        <v>0502-4733-5563</v>
      </c>
      <c r="I19" s="211">
        <v>45447</v>
      </c>
      <c r="J19" s="118" t="str">
        <v>CJ대한통운</v>
      </c>
      <c r="K19" s="118" t="str">
        <v>530214334702</v>
      </c>
      <c r="L19" s="211">
        <v>0</v>
      </c>
      <c r="M19" s="118" t="str">
        <v>SE.205</v>
      </c>
      <c r="N19" s="118" t="str">
        <v>투명</v>
      </c>
      <c r="O19" s="118">
        <v>1</v>
      </c>
      <c r="P19" s="118" t="str">
        <v>김형희</v>
      </c>
      <c r="Q19" s="118" t="str">
        <v>0502-4733-5563</v>
      </c>
      <c r="R19" s="118">
        <v>0</v>
      </c>
      <c r="S19" s="118" t="str">
        <v>전라남도 강진군 군동면 호계리 호계길5 떡마루</v>
      </c>
      <c r="T19" s="224" t="str">
        <v>직접 받고 부재 시 문 앞</v>
      </c>
      <c r="U19" s="224">
        <v>0</v>
      </c>
      <c r="V19" s="224">
        <v>0</v>
      </c>
      <c r="W19" s="217">
        <v>25200</v>
      </c>
      <c r="X19" s="217">
        <v>0</v>
      </c>
      <c r="Y19" s="217">
        <v>3000</v>
      </c>
      <c r="Z19" s="217">
        <v>3000</v>
      </c>
      <c r="AA19" s="217">
        <v>0</v>
      </c>
      <c r="AB19" s="217">
        <v>0</v>
      </c>
      <c r="AC19" s="217">
        <v>0</v>
      </c>
      <c r="AD19" s="118" t="str">
        <v>떡롤 35*400</v>
      </c>
      <c r="AE19" s="224">
        <v>0</v>
      </c>
      <c r="AF19" s="217">
        <v>25200</v>
      </c>
      <c r="AG19" s="217">
        <v>16500</v>
      </c>
      <c r="AH19" s="217">
        <v>28200</v>
      </c>
      <c r="AI19" s="217">
        <v>0</v>
      </c>
      <c r="AJ19" s="217">
        <v>3093</v>
      </c>
      <c r="AK19" s="217">
        <v>0</v>
      </c>
      <c r="AL19" s="227">
        <v>0</v>
      </c>
      <c r="AM19" s="224">
        <v>0</v>
      </c>
      <c r="AN19" s="118" t="str">
        <v>ptDB47</v>
      </c>
      <c r="AO19" s="264">
        <v>0</v>
      </c>
      <c r="AP19" s="217">
        <v>28200</v>
      </c>
      <c r="AQ19" s="217">
        <v>0</v>
      </c>
      <c r="AR19" s="217">
        <v>3093</v>
      </c>
      <c r="AS19" s="217">
        <v>0</v>
      </c>
      <c r="AT19" s="227">
        <v>0</v>
      </c>
      <c r="AU19" s="224" t="str">
        <v/>
      </c>
      <c r="AV19" s="264">
        <v>0</v>
      </c>
      <c r="AW19" s="118">
        <v>16500</v>
      </c>
    </row>
    <row r="20" spans="1:49">
      <c r="A20" s="118">
        <v>56</v>
      </c>
      <c r="B20" s="118" t="str">
        <v>비닐팩토리</v>
      </c>
      <c r="C20" s="211">
        <v>45446</v>
      </c>
      <c r="D20" s="118" t="str">
        <v>26100051000988</v>
      </c>
      <c r="E20" s="118" t="str">
        <v>쿠팡</v>
      </c>
      <c r="F20" s="118" t="str">
        <v>박인섭</v>
      </c>
      <c r="G20" s="118" t="str">
        <v>kj*****@na</v>
      </c>
      <c r="H20" s="118" t="str">
        <v>0502-4802-6019</v>
      </c>
      <c r="I20" s="211">
        <v>45447</v>
      </c>
      <c r="J20" s="118" t="str">
        <v>CJ대한통운</v>
      </c>
      <c r="K20" s="118" t="str">
        <v>540213351456</v>
      </c>
      <c r="L20" s="211">
        <v>0</v>
      </c>
      <c r="M20" s="118" t="str">
        <v>SE.201</v>
      </c>
      <c r="N20" s="118" t="str">
        <v>투명</v>
      </c>
      <c r="O20" s="118">
        <v>1</v>
      </c>
      <c r="P20" s="118" t="str">
        <v>김지언</v>
      </c>
      <c r="Q20" s="118" t="str">
        <v>0502-4802-6019</v>
      </c>
      <c r="R20" s="118">
        <v>0</v>
      </c>
      <c r="S20" s="118" t="str">
        <v>경기도 성남시 분당구 백현동 535 크래프톤타워 3층 서울강정형외과</v>
      </c>
      <c r="T20" s="224" t="str">
        <v>직접 받고 부재 시 문 앞</v>
      </c>
      <c r="U20" s="224">
        <v>0</v>
      </c>
      <c r="V20" s="224">
        <v>0</v>
      </c>
      <c r="W20" s="217">
        <v>15120</v>
      </c>
      <c r="X20" s="217">
        <v>0</v>
      </c>
      <c r="Y20" s="217">
        <v>3000</v>
      </c>
      <c r="Z20" s="217">
        <v>3000</v>
      </c>
      <c r="AA20" s="217">
        <v>0</v>
      </c>
      <c r="AB20" s="217">
        <v>0</v>
      </c>
      <c r="AC20" s="217">
        <v>0</v>
      </c>
      <c r="AD20" s="118" t="str">
        <v>떡롤 20*400</v>
      </c>
      <c r="AE20" s="224">
        <v>0</v>
      </c>
      <c r="AF20" s="217">
        <v>15120</v>
      </c>
      <c r="AG20" s="217">
        <v>9900</v>
      </c>
      <c r="AH20" s="217">
        <v>18120</v>
      </c>
      <c r="AI20" s="217">
        <v>0</v>
      </c>
      <c r="AJ20" s="217">
        <v>1895</v>
      </c>
      <c r="AK20" s="217">
        <v>0</v>
      </c>
      <c r="AL20" s="227">
        <v>0</v>
      </c>
      <c r="AM20" s="224">
        <v>0</v>
      </c>
      <c r="AN20" s="118" t="str">
        <v>ptDB47</v>
      </c>
      <c r="AO20" s="264">
        <v>0</v>
      </c>
      <c r="AP20" s="217">
        <v>18120</v>
      </c>
      <c r="AQ20" s="217">
        <v>0</v>
      </c>
      <c r="AR20" s="217">
        <v>1895</v>
      </c>
      <c r="AS20" s="217">
        <v>0</v>
      </c>
      <c r="AT20" s="227">
        <v>0</v>
      </c>
      <c r="AU20" s="224" t="str">
        <v/>
      </c>
      <c r="AV20" s="264">
        <v>0</v>
      </c>
      <c r="AW20" s="118">
        <v>9900</v>
      </c>
    </row>
    <row r="21" spans="1:49">
      <c r="A21" s="118">
        <v>57</v>
      </c>
      <c r="B21" s="118" t="str">
        <v>비닐팩토리</v>
      </c>
      <c r="C21" s="211">
        <v>45448</v>
      </c>
      <c r="D21" s="118" t="str">
        <v>45470535</v>
      </c>
      <c r="E21" s="118" t="str">
        <v>대표</v>
      </c>
      <c r="F21" s="118">
        <v>0</v>
      </c>
      <c r="G21" s="118">
        <v>0</v>
      </c>
      <c r="H21" s="118">
        <v>0</v>
      </c>
      <c r="I21" s="211">
        <v>45448</v>
      </c>
      <c r="J21" s="118" t="str">
        <v>CJ대한통운</v>
      </c>
      <c r="K21" s="118" t="str">
        <v>530215380023</v>
      </c>
      <c r="L21" s="211">
        <v>0</v>
      </c>
      <c r="M21" s="118" t="str">
        <v>SE.1000</v>
      </c>
      <c r="N21" s="118" t="str">
        <v>투명</v>
      </c>
      <c r="O21" s="118">
        <v>3</v>
      </c>
      <c r="P21" s="118" t="str">
        <v>이동한</v>
      </c>
      <c r="Q21" s="118" t="str">
        <v>010-4902-5844</v>
      </c>
      <c r="R21" s="118">
        <v>0</v>
      </c>
      <c r="S21" s="118" t="str">
        <v>경북 성주군 월항면 안포1길 34</v>
      </c>
      <c r="T21" s="224">
        <v>0</v>
      </c>
      <c r="U21" s="224">
        <v>0</v>
      </c>
      <c r="V21" s="224">
        <v>0</v>
      </c>
      <c r="W21" s="217">
        <v>0</v>
      </c>
      <c r="X21" s="217">
        <v>0</v>
      </c>
      <c r="Y21" s="217">
        <v>0</v>
      </c>
      <c r="Z21" s="217">
        <v>5500</v>
      </c>
      <c r="AA21" s="217">
        <v>0</v>
      </c>
      <c r="AB21" s="217">
        <v>0</v>
      </c>
      <c r="AC21" s="217">
        <v>0</v>
      </c>
      <c r="AD21" s="118" t="str">
        <v>대표</v>
      </c>
      <c r="AE21" s="224" t="str">
        <v>재구매</v>
      </c>
      <c r="AF21" s="217">
        <v>0</v>
      </c>
      <c r="AG21" s="217">
        <v>0</v>
      </c>
      <c r="AH21" s="217">
        <v>0</v>
      </c>
      <c r="AI21" s="217">
        <v>0</v>
      </c>
      <c r="AJ21" s="217">
        <v>0</v>
      </c>
      <c r="AK21" s="217">
        <v>0</v>
      </c>
      <c r="AL21" s="227">
        <v>0</v>
      </c>
      <c r="AM21" s="224">
        <v>0</v>
      </c>
      <c r="AN21" s="118" t="str">
        <v>ptDB47</v>
      </c>
      <c r="AO21" s="264">
        <v>0</v>
      </c>
      <c r="AP21" s="217">
        <v>0</v>
      </c>
      <c r="AQ21" s="217">
        <v>0</v>
      </c>
      <c r="AR21" s="217">
        <v>0</v>
      </c>
      <c r="AS21" s="217">
        <v>0</v>
      </c>
      <c r="AT21" s="227">
        <v>0</v>
      </c>
      <c r="AU21" s="224" t="str">
        <v/>
      </c>
      <c r="AV21" s="264">
        <v>0</v>
      </c>
      <c r="AW21" s="118">
        <v>0</v>
      </c>
    </row>
    <row r="22" spans="1:49">
      <c r="A22" s="118">
        <v>58</v>
      </c>
      <c r="B22" s="118" t="str">
        <v>비닐팩토리</v>
      </c>
      <c r="C22" s="211">
        <v>45448</v>
      </c>
      <c r="D22" s="118" t="str">
        <v>45470453</v>
      </c>
      <c r="E22" s="118" t="str">
        <v>대표</v>
      </c>
      <c r="F22" s="118">
        <v>0</v>
      </c>
      <c r="G22" s="118">
        <v>0</v>
      </c>
      <c r="H22" s="118">
        <v>0</v>
      </c>
      <c r="I22" s="211">
        <v>45448</v>
      </c>
      <c r="J22" s="118" t="str">
        <v>CJ대한통운</v>
      </c>
      <c r="K22" s="118" t="str">
        <v>530215380001</v>
      </c>
      <c r="L22" s="211">
        <v>0</v>
      </c>
      <c r="M22" s="118" t="str">
        <v>SE.1000</v>
      </c>
      <c r="N22" s="118" t="str">
        <v>투명</v>
      </c>
      <c r="O22" s="118">
        <v>3</v>
      </c>
      <c r="P22" s="118" t="str">
        <v>이동한</v>
      </c>
      <c r="Q22" s="118" t="str">
        <v>010-4902-5844</v>
      </c>
      <c r="R22" s="118">
        <v>0</v>
      </c>
      <c r="S22" s="118" t="str">
        <v>경북 성주군 월항면 안포1길 34</v>
      </c>
      <c r="T22" s="224">
        <v>0</v>
      </c>
      <c r="U22" s="224">
        <v>0</v>
      </c>
      <c r="V22" s="224">
        <v>0</v>
      </c>
      <c r="W22" s="217">
        <v>0</v>
      </c>
      <c r="X22" s="217">
        <v>0</v>
      </c>
      <c r="Y22" s="217">
        <v>0</v>
      </c>
      <c r="Z22" s="217">
        <v>5500</v>
      </c>
      <c r="AA22" s="217">
        <v>0</v>
      </c>
      <c r="AB22" s="217">
        <v>0</v>
      </c>
      <c r="AC22" s="217">
        <v>0</v>
      </c>
      <c r="AD22" s="118" t="str">
        <v>대표</v>
      </c>
      <c r="AE22" s="224" t="str">
        <v>재구매</v>
      </c>
      <c r="AF22" s="217">
        <v>0</v>
      </c>
      <c r="AG22" s="217">
        <v>0</v>
      </c>
      <c r="AH22" s="217">
        <v>0</v>
      </c>
      <c r="AI22" s="217">
        <v>0</v>
      </c>
      <c r="AJ22" s="217">
        <v>0</v>
      </c>
      <c r="AK22" s="217">
        <v>0</v>
      </c>
      <c r="AL22" s="227">
        <v>0</v>
      </c>
      <c r="AM22" s="224">
        <v>0</v>
      </c>
      <c r="AN22" s="118" t="str">
        <v>ptDB47</v>
      </c>
      <c r="AO22" s="264">
        <v>0</v>
      </c>
      <c r="AP22" s="217">
        <v>0</v>
      </c>
      <c r="AQ22" s="217">
        <v>0</v>
      </c>
      <c r="AR22" s="217">
        <v>0</v>
      </c>
      <c r="AS22" s="217">
        <v>0</v>
      </c>
      <c r="AT22" s="227">
        <v>0</v>
      </c>
      <c r="AU22" s="224" t="str">
        <v/>
      </c>
      <c r="AV22" s="264">
        <v>0</v>
      </c>
      <c r="AW22" s="118">
        <v>0</v>
      </c>
    </row>
    <row r="23" spans="1:49">
      <c r="A23" s="118">
        <v>59</v>
      </c>
      <c r="B23" s="118" t="str">
        <v>비닐팩토리</v>
      </c>
      <c r="C23" s="211">
        <v>45448</v>
      </c>
      <c r="D23" s="118" t="str">
        <v>45470870</v>
      </c>
      <c r="E23" s="118" t="str">
        <v>대표</v>
      </c>
      <c r="F23" s="118">
        <v>0</v>
      </c>
      <c r="G23" s="118">
        <v>0</v>
      </c>
      <c r="H23" s="118">
        <v>0</v>
      </c>
      <c r="I23" s="211">
        <v>45448</v>
      </c>
      <c r="J23" s="118" t="str">
        <v>CJ대한통운</v>
      </c>
      <c r="K23" s="118" t="str">
        <v>540214280603</v>
      </c>
      <c r="L23" s="211">
        <v>0</v>
      </c>
      <c r="M23" s="118" t="str">
        <v>SE.1000</v>
      </c>
      <c r="N23" s="118" t="str">
        <v>투명</v>
      </c>
      <c r="O23" s="118">
        <v>1</v>
      </c>
      <c r="P23" s="118" t="str">
        <v>풍년농약사</v>
      </c>
      <c r="Q23" s="118" t="str">
        <v>010-2049-5007</v>
      </c>
      <c r="R23" s="118">
        <v>0</v>
      </c>
      <c r="S23" s="118" t="str">
        <v>경북 포항시 남구 오천읍 장기로 1688-1 풍년농약사</v>
      </c>
      <c r="T23" s="224">
        <v>0</v>
      </c>
      <c r="U23" s="224">
        <v>0</v>
      </c>
      <c r="V23" s="224">
        <v>0</v>
      </c>
      <c r="W23" s="217">
        <v>0</v>
      </c>
      <c r="X23" s="217">
        <v>0</v>
      </c>
      <c r="Y23" s="217">
        <v>0</v>
      </c>
      <c r="Z23" s="217">
        <v>0</v>
      </c>
      <c r="AA23" s="217">
        <v>0</v>
      </c>
      <c r="AB23" s="217">
        <v>0</v>
      </c>
      <c r="AC23" s="217">
        <v>0</v>
      </c>
      <c r="AD23" s="118" t="str">
        <v>대표</v>
      </c>
      <c r="AE23" s="224" t="str">
        <v>재구매</v>
      </c>
      <c r="AF23" s="217">
        <v>0</v>
      </c>
      <c r="AG23" s="217">
        <v>0</v>
      </c>
      <c r="AH23" s="217">
        <v>0</v>
      </c>
      <c r="AI23" s="217">
        <v>0</v>
      </c>
      <c r="AJ23" s="217">
        <v>0</v>
      </c>
      <c r="AK23" s="217">
        <v>0</v>
      </c>
      <c r="AL23" s="227">
        <v>0</v>
      </c>
      <c r="AM23" s="224">
        <v>0</v>
      </c>
      <c r="AN23" s="118" t="str">
        <v>ptDB47</v>
      </c>
      <c r="AO23" s="264">
        <v>0</v>
      </c>
      <c r="AP23" s="217">
        <v>0</v>
      </c>
      <c r="AQ23" s="217">
        <v>0</v>
      </c>
      <c r="AR23" s="217">
        <v>0</v>
      </c>
      <c r="AS23" s="217">
        <v>0</v>
      </c>
      <c r="AT23" s="227">
        <v>0</v>
      </c>
      <c r="AU23" s="224" t="str">
        <v/>
      </c>
      <c r="AV23" s="264">
        <v>0</v>
      </c>
      <c r="AW23" s="118">
        <v>0</v>
      </c>
    </row>
    <row r="24" spans="1:49">
      <c r="A24" s="118">
        <v>64</v>
      </c>
      <c r="B24" s="118" t="str">
        <v>비닐팩토리</v>
      </c>
      <c r="C24" s="211">
        <v>45448</v>
      </c>
      <c r="D24" s="118" t="str">
        <v>2024060552559121</v>
      </c>
      <c r="E24" s="118" t="str">
        <v>스마트 스토어</v>
      </c>
      <c r="F24" s="118" t="str">
        <v>방현진</v>
      </c>
      <c r="G24" s="118" t="str">
        <v>litt****</v>
      </c>
      <c r="H24" s="118" t="str">
        <v>010-8671-1750</v>
      </c>
      <c r="I24" s="211">
        <v>45448</v>
      </c>
      <c r="J24" s="118" t="str">
        <v>CJ대한통운</v>
      </c>
      <c r="K24" s="118" t="str">
        <v>540214302620</v>
      </c>
      <c r="L24" s="211">
        <v>0</v>
      </c>
      <c r="M24" s="118" t="str">
        <v>SE.206</v>
      </c>
      <c r="N24" s="118" t="str">
        <v>투명</v>
      </c>
      <c r="O24" s="118">
        <v>3</v>
      </c>
      <c r="P24" s="118" t="str">
        <v>방현진</v>
      </c>
      <c r="Q24" s="118" t="str">
        <v>010-8671-1750</v>
      </c>
      <c r="R24" s="118" t="str">
        <v>041-632-9497</v>
      </c>
      <c r="S24" s="118" t="str">
        <v>충청남도 홍성군 홍북면 내용길275번길 9 내덕리 564-2</v>
      </c>
      <c r="T24" s="224">
        <v>0</v>
      </c>
      <c r="U24" s="224">
        <v>0</v>
      </c>
      <c r="V24" s="224">
        <v>0</v>
      </c>
      <c r="W24" s="217">
        <v>85200</v>
      </c>
      <c r="X24" s="217">
        <v>0</v>
      </c>
      <c r="Y24" s="217">
        <v>0</v>
      </c>
      <c r="Z24" s="217">
        <v>0</v>
      </c>
      <c r="AA24" s="217">
        <v>0</v>
      </c>
      <c r="AB24" s="217">
        <v>0</v>
      </c>
      <c r="AC24" s="217">
        <v>0</v>
      </c>
      <c r="AD24" s="118" t="str">
        <v>떡롤 45*330</v>
      </c>
      <c r="AE24" s="224">
        <v>0</v>
      </c>
      <c r="AF24" s="217">
        <v>28800</v>
      </c>
      <c r="AG24" s="217">
        <v>19800</v>
      </c>
      <c r="AH24" s="217">
        <v>85200</v>
      </c>
      <c r="AI24" s="217">
        <v>0</v>
      </c>
      <c r="AJ24" s="217">
        <v>4361</v>
      </c>
      <c r="AK24" s="217">
        <v>0</v>
      </c>
      <c r="AL24" s="227">
        <v>0</v>
      </c>
      <c r="AM24" s="224">
        <v>0</v>
      </c>
      <c r="AN24" s="118" t="str">
        <v>ptDB47</v>
      </c>
      <c r="AO24" s="264">
        <v>0</v>
      </c>
      <c r="AP24" s="217">
        <v>85200</v>
      </c>
      <c r="AQ24" s="217">
        <v>0</v>
      </c>
      <c r="AR24" s="217">
        <v>4361</v>
      </c>
      <c r="AS24" s="217">
        <v>0</v>
      </c>
      <c r="AT24" s="227">
        <v>0</v>
      </c>
      <c r="AU24" s="224" t="str">
        <v/>
      </c>
      <c r="AV24" s="264">
        <v>0</v>
      </c>
      <c r="AW24" s="118">
        <v>59400</v>
      </c>
    </row>
    <row r="25" spans="1:49">
      <c r="A25" s="118">
        <v>65</v>
      </c>
      <c r="B25" s="118" t="str">
        <v>비닐팩토리</v>
      </c>
      <c r="C25" s="211">
        <v>45448</v>
      </c>
      <c r="D25" s="118" t="str">
        <v>2024060550366461</v>
      </c>
      <c r="E25" s="118" t="str">
        <v>스마트 스토어</v>
      </c>
      <c r="F25" s="118" t="str">
        <v>신성자</v>
      </c>
      <c r="G25" s="118" t="str">
        <v>mipe****</v>
      </c>
      <c r="H25" s="118" t="str">
        <v>010-4806-1561</v>
      </c>
      <c r="I25" s="211">
        <v>45448</v>
      </c>
      <c r="J25" s="118" t="str">
        <v>CJ대한통운</v>
      </c>
      <c r="K25" s="118" t="str">
        <v>530215273844</v>
      </c>
      <c r="L25" s="211">
        <v>0</v>
      </c>
      <c r="M25" s="118" t="str">
        <v>SE.204</v>
      </c>
      <c r="N25" s="118" t="str">
        <v>투명</v>
      </c>
      <c r="O25" s="118">
        <v>1</v>
      </c>
      <c r="P25" s="118" t="str">
        <v>신성자</v>
      </c>
      <c r="Q25" s="118" t="str">
        <v>010-4806-1561</v>
      </c>
      <c r="R25" s="118">
        <v>0</v>
      </c>
      <c r="S25" s="118" t="str">
        <v>서울특별시 양천구 목동동로8길 33 (신정동) 1층</v>
      </c>
      <c r="T25" s="224" t="str">
        <v>1층가게 문앞에 두고가세여</v>
      </c>
      <c r="U25" s="224">
        <v>0</v>
      </c>
      <c r="V25" s="224">
        <v>0</v>
      </c>
      <c r="W25" s="217">
        <v>20800</v>
      </c>
      <c r="X25" s="217">
        <v>0</v>
      </c>
      <c r="Y25" s="217">
        <v>3000</v>
      </c>
      <c r="Z25" s="217">
        <v>3000</v>
      </c>
      <c r="AA25" s="217">
        <v>0</v>
      </c>
      <c r="AB25" s="217">
        <v>0</v>
      </c>
      <c r="AC25" s="217">
        <v>0</v>
      </c>
      <c r="AD25" s="118" t="str">
        <v>떡롤 30*400</v>
      </c>
      <c r="AE25" s="224">
        <v>0</v>
      </c>
      <c r="AF25" s="217">
        <v>20800</v>
      </c>
      <c r="AG25" s="217">
        <v>14300</v>
      </c>
      <c r="AH25" s="217">
        <v>23800</v>
      </c>
      <c r="AI25" s="217">
        <v>0</v>
      </c>
      <c r="AJ25" s="217">
        <v>1214</v>
      </c>
      <c r="AK25" s="217">
        <v>0</v>
      </c>
      <c r="AL25" s="227">
        <v>0</v>
      </c>
      <c r="AM25" s="224">
        <v>0</v>
      </c>
      <c r="AN25" s="118" t="str">
        <v>ptDB47</v>
      </c>
      <c r="AO25" s="264">
        <v>0</v>
      </c>
      <c r="AP25" s="217">
        <v>23800</v>
      </c>
      <c r="AQ25" s="217">
        <v>0</v>
      </c>
      <c r="AR25" s="217">
        <v>1214</v>
      </c>
      <c r="AS25" s="217">
        <v>0</v>
      </c>
      <c r="AT25" s="227">
        <v>0</v>
      </c>
      <c r="AU25" s="224" t="str">
        <v/>
      </c>
      <c r="AV25" s="264">
        <v>0</v>
      </c>
      <c r="AW25" s="118">
        <v>14300</v>
      </c>
    </row>
    <row r="26" spans="1:49">
      <c r="A26" s="118">
        <v>66</v>
      </c>
      <c r="B26" s="118" t="str">
        <v>비닐팩토리</v>
      </c>
      <c r="C26" s="211">
        <v>45447</v>
      </c>
      <c r="D26" s="118" t="str">
        <v>29100051408736</v>
      </c>
      <c r="E26" s="118" t="str">
        <v>쿠팡</v>
      </c>
      <c r="F26" s="118" t="str">
        <v>PIAO SHUNDAO</v>
      </c>
      <c r="G26" s="118" t="str">
        <v>pi*****@na</v>
      </c>
      <c r="H26" s="118" t="str">
        <v>0502-4630-5725</v>
      </c>
      <c r="I26" s="211">
        <v>45448</v>
      </c>
      <c r="J26" s="118" t="str">
        <v>CJ대한통운</v>
      </c>
      <c r="K26" s="118" t="str">
        <v>530215273870</v>
      </c>
      <c r="L26" s="211">
        <v>0</v>
      </c>
      <c r="M26" s="118" t="str">
        <v>SE.307</v>
      </c>
      <c r="N26" s="118" t="str">
        <v>투명</v>
      </c>
      <c r="O26" s="118">
        <v>10</v>
      </c>
      <c r="P26" s="118" t="str">
        <v>황용해</v>
      </c>
      <c r="Q26" s="118" t="str">
        <v>0502-4630-5725</v>
      </c>
      <c r="R26" s="118">
        <v>0</v>
      </c>
      <c r="S26" s="118" t="str">
        <v>충청남도 천안시 동남구 천중3길 3 2층미스터용 ( 문화동 )</v>
      </c>
      <c r="T26" s="224" t="str">
        <v>문 앞</v>
      </c>
      <c r="U26" s="224">
        <v>0</v>
      </c>
      <c r="V26" s="224">
        <v>0</v>
      </c>
      <c r="W26" s="217">
        <v>110900</v>
      </c>
      <c r="X26" s="217">
        <v>0</v>
      </c>
      <c r="Y26" s="217">
        <v>0</v>
      </c>
      <c r="Z26" s="217">
        <v>0</v>
      </c>
      <c r="AA26" s="217">
        <v>0</v>
      </c>
      <c r="AB26" s="217">
        <v>0</v>
      </c>
      <c r="AC26" s="217">
        <v>0</v>
      </c>
      <c r="AD26" s="118" t="str">
        <v>떡외겹 30*30</v>
      </c>
      <c r="AE26" s="224">
        <v>0</v>
      </c>
      <c r="AF26" s="217">
        <v>11090</v>
      </c>
      <c r="AG26" s="217">
        <v>7260</v>
      </c>
      <c r="AH26" s="217">
        <v>110900</v>
      </c>
      <c r="AI26" s="217">
        <v>0</v>
      </c>
      <c r="AJ26" s="217">
        <v>13175</v>
      </c>
      <c r="AK26" s="217">
        <v>0</v>
      </c>
      <c r="AL26" s="227">
        <v>0</v>
      </c>
      <c r="AM26" s="224">
        <v>0</v>
      </c>
      <c r="AN26" s="118" t="str">
        <v>ptDB47</v>
      </c>
      <c r="AO26" s="264">
        <v>0</v>
      </c>
      <c r="AP26" s="217">
        <v>110900</v>
      </c>
      <c r="AQ26" s="217">
        <v>0</v>
      </c>
      <c r="AR26" s="217">
        <v>13175</v>
      </c>
      <c r="AS26" s="217">
        <v>0</v>
      </c>
      <c r="AT26" s="227">
        <v>0</v>
      </c>
      <c r="AU26" s="224" t="str">
        <v/>
      </c>
      <c r="AV26" s="264">
        <v>0</v>
      </c>
      <c r="AW26" s="118">
        <v>72600</v>
      </c>
    </row>
    <row r="27" spans="1:49">
      <c r="A27" s="118">
        <v>69</v>
      </c>
      <c r="B27" s="118" t="str">
        <v>비닐팩토리</v>
      </c>
      <c r="C27" s="211">
        <v>45450</v>
      </c>
      <c r="D27" s="118" t="str">
        <v>45470585</v>
      </c>
      <c r="E27" s="118" t="str">
        <v>대표</v>
      </c>
      <c r="F27" s="118">
        <v>0</v>
      </c>
      <c r="G27" s="118">
        <v>0</v>
      </c>
      <c r="H27" s="118">
        <v>0</v>
      </c>
      <c r="I27" s="211">
        <v>45450</v>
      </c>
      <c r="J27" s="118" t="str">
        <v>CJ대한통운</v>
      </c>
      <c r="K27" s="118" t="str">
        <v>540215666102</v>
      </c>
      <c r="L27" s="211">
        <v>0</v>
      </c>
      <c r="M27" s="118" t="str">
        <v>SE.1000</v>
      </c>
      <c r="N27" s="118" t="str">
        <v>투명</v>
      </c>
      <c r="O27" s="118">
        <v>1</v>
      </c>
      <c r="P27" s="118" t="str">
        <v>효떡집</v>
      </c>
      <c r="Q27" s="118" t="str">
        <v>010-2104-9556</v>
      </c>
      <c r="R27" s="118">
        <v>0</v>
      </c>
      <c r="S27" s="118" t="str">
        <v>인천 남동구 논현동 771-7 1층 효떡집</v>
      </c>
      <c r="T27" s="224">
        <v>0</v>
      </c>
      <c r="U27" s="224">
        <v>0</v>
      </c>
      <c r="V27" s="224">
        <v>0</v>
      </c>
      <c r="W27" s="217">
        <v>0</v>
      </c>
      <c r="X27" s="217">
        <v>0</v>
      </c>
      <c r="Y27" s="217">
        <v>0</v>
      </c>
      <c r="Z27" s="217">
        <v>5500</v>
      </c>
      <c r="AA27" s="217">
        <v>0</v>
      </c>
      <c r="AB27" s="217">
        <v>0</v>
      </c>
      <c r="AC27" s="217">
        <v>0</v>
      </c>
      <c r="AD27" s="118" t="str">
        <v>대표</v>
      </c>
      <c r="AE27" s="224" t="str">
        <v>재구매</v>
      </c>
      <c r="AF27" s="217">
        <v>0</v>
      </c>
      <c r="AG27" s="217">
        <v>0</v>
      </c>
      <c r="AH27" s="217">
        <v>0</v>
      </c>
      <c r="AI27" s="217">
        <v>0</v>
      </c>
      <c r="AJ27" s="217">
        <v>0</v>
      </c>
      <c r="AK27" s="217">
        <v>0</v>
      </c>
      <c r="AL27" s="227">
        <v>0</v>
      </c>
      <c r="AM27" s="224">
        <v>0</v>
      </c>
      <c r="AN27" s="118" t="str">
        <v>ptDB47</v>
      </c>
      <c r="AO27" s="264">
        <v>0</v>
      </c>
      <c r="AP27" s="217">
        <v>0</v>
      </c>
      <c r="AQ27" s="217">
        <v>0</v>
      </c>
      <c r="AR27" s="217">
        <v>0</v>
      </c>
      <c r="AS27" s="217">
        <v>0</v>
      </c>
      <c r="AT27" s="227">
        <v>0</v>
      </c>
      <c r="AU27" s="224" t="str">
        <v/>
      </c>
      <c r="AV27" s="264">
        <v>0</v>
      </c>
      <c r="AW27" s="118">
        <v>0</v>
      </c>
    </row>
    <row r="28" spans="1:49">
      <c r="A28" s="118">
        <v>70</v>
      </c>
      <c r="B28" s="118" t="str">
        <v>비닐팩토리</v>
      </c>
      <c r="C28" s="211">
        <v>45450</v>
      </c>
      <c r="D28" s="118" t="str">
        <v>45470121</v>
      </c>
      <c r="E28" s="118" t="str">
        <v>대표</v>
      </c>
      <c r="F28" s="118">
        <v>0</v>
      </c>
      <c r="G28" s="118">
        <v>0</v>
      </c>
      <c r="H28" s="118">
        <v>0</v>
      </c>
      <c r="I28" s="211">
        <v>45450</v>
      </c>
      <c r="J28" s="118" t="str">
        <v>CJ대한통운</v>
      </c>
      <c r="K28" s="118" t="str">
        <v>530216665551</v>
      </c>
      <c r="L28" s="211">
        <v>0</v>
      </c>
      <c r="M28" s="118" t="str">
        <v>SE.1000</v>
      </c>
      <c r="N28" s="118" t="str">
        <v>투명</v>
      </c>
      <c r="O28" s="118">
        <v>1</v>
      </c>
      <c r="P28" s="118" t="str">
        <v>효떡집</v>
      </c>
      <c r="Q28" s="118" t="str">
        <v>010-2104-9556</v>
      </c>
      <c r="R28" s="118">
        <v>0</v>
      </c>
      <c r="S28" s="118" t="str">
        <v>인천 남동구 논현동 771-7 1층 효떡집</v>
      </c>
      <c r="T28" s="224">
        <v>0</v>
      </c>
      <c r="U28" s="224">
        <v>0</v>
      </c>
      <c r="V28" s="224">
        <v>0</v>
      </c>
      <c r="W28" s="217">
        <v>0</v>
      </c>
      <c r="X28" s="217">
        <v>0</v>
      </c>
      <c r="Y28" s="217">
        <v>0</v>
      </c>
      <c r="Z28" s="217">
        <v>0</v>
      </c>
      <c r="AA28" s="217">
        <v>0</v>
      </c>
      <c r="AB28" s="217">
        <v>0</v>
      </c>
      <c r="AC28" s="217">
        <v>0</v>
      </c>
      <c r="AD28" s="118" t="str">
        <v>대표</v>
      </c>
      <c r="AE28" s="224" t="str">
        <v>재구매</v>
      </c>
      <c r="AF28" s="217">
        <v>0</v>
      </c>
      <c r="AG28" s="217">
        <v>0</v>
      </c>
      <c r="AH28" s="217">
        <v>0</v>
      </c>
      <c r="AI28" s="217">
        <v>0</v>
      </c>
      <c r="AJ28" s="217">
        <v>0</v>
      </c>
      <c r="AK28" s="217">
        <v>0</v>
      </c>
      <c r="AL28" s="227">
        <v>0</v>
      </c>
      <c r="AM28" s="224">
        <v>0</v>
      </c>
      <c r="AN28" s="118" t="str">
        <v>ptDB47</v>
      </c>
      <c r="AO28" s="264">
        <v>0</v>
      </c>
      <c r="AP28" s="217">
        <v>0</v>
      </c>
      <c r="AQ28" s="217">
        <v>0</v>
      </c>
      <c r="AR28" s="217">
        <v>0</v>
      </c>
      <c r="AS28" s="217">
        <v>0</v>
      </c>
      <c r="AT28" s="227">
        <v>0</v>
      </c>
      <c r="AU28" s="224" t="str">
        <v/>
      </c>
      <c r="AV28" s="264">
        <v>0</v>
      </c>
      <c r="AW28" s="118">
        <v>0</v>
      </c>
    </row>
    <row r="29" spans="1:49">
      <c r="A29" s="118">
        <v>71</v>
      </c>
      <c r="B29" s="118" t="str">
        <v>비닐팩토리</v>
      </c>
      <c r="C29" s="211">
        <v>45450</v>
      </c>
      <c r="D29" s="118" t="str">
        <v>45470272</v>
      </c>
      <c r="E29" s="118" t="str">
        <v>대표</v>
      </c>
      <c r="F29" s="118">
        <v>0</v>
      </c>
      <c r="G29" s="118">
        <v>0</v>
      </c>
      <c r="H29" s="118">
        <v>0</v>
      </c>
      <c r="I29" s="211">
        <v>45450</v>
      </c>
      <c r="J29" s="118" t="str">
        <v>CJ대한통운</v>
      </c>
      <c r="K29" s="118" t="str">
        <v>540215527244</v>
      </c>
      <c r="L29" s="211">
        <v>0</v>
      </c>
      <c r="M29" s="118" t="str">
        <v>SE.1000</v>
      </c>
      <c r="N29" s="118" t="str">
        <v>투명</v>
      </c>
      <c r="O29" s="118">
        <v>1</v>
      </c>
      <c r="P29" s="118" t="str">
        <v>김필순</v>
      </c>
      <c r="Q29" s="118" t="str">
        <v>010-6590-0696</v>
      </c>
      <c r="R29" s="118">
        <v>0</v>
      </c>
      <c r="S29" s="118" t="str">
        <v>경남 창원시 마산합포구 현동3길 1 (창원현동엘에이치아파트) 102동 201호</v>
      </c>
      <c r="T29" s="224">
        <v>0</v>
      </c>
      <c r="U29" s="224">
        <v>0</v>
      </c>
      <c r="V29" s="224">
        <v>0</v>
      </c>
      <c r="W29" s="217">
        <v>0</v>
      </c>
      <c r="X29" s="217">
        <v>0</v>
      </c>
      <c r="Y29" s="217">
        <v>0</v>
      </c>
      <c r="Z29" s="217">
        <v>3000</v>
      </c>
      <c r="AA29" s="217">
        <v>0</v>
      </c>
      <c r="AB29" s="217">
        <v>0</v>
      </c>
      <c r="AC29" s="217">
        <v>0</v>
      </c>
      <c r="AD29" s="118" t="str">
        <v>대표</v>
      </c>
      <c r="AE29" s="224" t="str">
        <v>재구매</v>
      </c>
      <c r="AF29" s="217">
        <v>0</v>
      </c>
      <c r="AG29" s="217">
        <v>0</v>
      </c>
      <c r="AH29" s="217">
        <v>0</v>
      </c>
      <c r="AI29" s="217">
        <v>0</v>
      </c>
      <c r="AJ29" s="217">
        <v>0</v>
      </c>
      <c r="AK29" s="217">
        <v>0</v>
      </c>
      <c r="AL29" s="227">
        <v>0</v>
      </c>
      <c r="AM29" s="224">
        <v>0</v>
      </c>
      <c r="AN29" s="118" t="str">
        <v>ptDB47</v>
      </c>
      <c r="AO29" s="264">
        <v>0</v>
      </c>
      <c r="AP29" s="217">
        <v>0</v>
      </c>
      <c r="AQ29" s="217">
        <v>0</v>
      </c>
      <c r="AR29" s="217">
        <v>0</v>
      </c>
      <c r="AS29" s="217">
        <v>0</v>
      </c>
      <c r="AT29" s="227">
        <v>0</v>
      </c>
      <c r="AU29" s="224" t="str">
        <v/>
      </c>
      <c r="AV29" s="264">
        <v>0</v>
      </c>
      <c r="AW29" s="118">
        <v>0</v>
      </c>
    </row>
    <row r="30" spans="1:49">
      <c r="A30" s="118">
        <v>72</v>
      </c>
      <c r="B30" s="118" t="str">
        <v>비닐팩토리</v>
      </c>
      <c r="C30" s="211">
        <v>45450</v>
      </c>
      <c r="D30" s="118" t="str">
        <v>45470646</v>
      </c>
      <c r="E30" s="118" t="str">
        <v>대표</v>
      </c>
      <c r="F30" s="118">
        <v>0</v>
      </c>
      <c r="G30" s="118">
        <v>0</v>
      </c>
      <c r="H30" s="118">
        <v>0</v>
      </c>
      <c r="I30" s="211">
        <v>45450</v>
      </c>
      <c r="J30" s="118" t="str">
        <v>CJ대한통운</v>
      </c>
      <c r="K30" s="118" t="str">
        <v>540215666216</v>
      </c>
      <c r="L30" s="211">
        <v>0</v>
      </c>
      <c r="M30" s="118" t="str">
        <v>SE.1000</v>
      </c>
      <c r="N30" s="118" t="str">
        <v>투명</v>
      </c>
      <c r="O30" s="118">
        <v>1</v>
      </c>
      <c r="P30" s="118" t="str">
        <v>효떡집</v>
      </c>
      <c r="Q30" s="118" t="str">
        <v>010-2104-9556</v>
      </c>
      <c r="R30" s="118">
        <v>0</v>
      </c>
      <c r="S30" s="118" t="str">
        <v>인천 남동구 논현동 771-7 1층 효떡집</v>
      </c>
      <c r="T30" s="224">
        <v>0</v>
      </c>
      <c r="U30" s="224">
        <v>0</v>
      </c>
      <c r="V30" s="224">
        <v>0</v>
      </c>
      <c r="W30" s="217">
        <v>0</v>
      </c>
      <c r="X30" s="217">
        <v>0</v>
      </c>
      <c r="Y30" s="217">
        <v>0</v>
      </c>
      <c r="Z30" s="217">
        <v>0</v>
      </c>
      <c r="AA30" s="217">
        <v>0</v>
      </c>
      <c r="AB30" s="217">
        <v>0</v>
      </c>
      <c r="AC30" s="217">
        <v>0</v>
      </c>
      <c r="AD30" s="118" t="str">
        <v>대표</v>
      </c>
      <c r="AE30" s="224" t="str">
        <v>재구매</v>
      </c>
      <c r="AF30" s="217">
        <v>0</v>
      </c>
      <c r="AG30" s="217">
        <v>0</v>
      </c>
      <c r="AH30" s="217">
        <v>0</v>
      </c>
      <c r="AI30" s="217">
        <v>0</v>
      </c>
      <c r="AJ30" s="217">
        <v>0</v>
      </c>
      <c r="AK30" s="217">
        <v>0</v>
      </c>
      <c r="AL30" s="227">
        <v>0</v>
      </c>
      <c r="AM30" s="224">
        <v>0</v>
      </c>
      <c r="AN30" s="118" t="str">
        <v>ptDB47</v>
      </c>
      <c r="AO30" s="264">
        <v>0</v>
      </c>
      <c r="AP30" s="217">
        <v>0</v>
      </c>
      <c r="AQ30" s="217">
        <v>0</v>
      </c>
      <c r="AR30" s="217">
        <v>0</v>
      </c>
      <c r="AS30" s="217">
        <v>0</v>
      </c>
      <c r="AT30" s="227">
        <v>0</v>
      </c>
      <c r="AU30" s="224" t="str">
        <v/>
      </c>
      <c r="AV30" s="264">
        <v>0</v>
      </c>
      <c r="AW30" s="118">
        <v>0</v>
      </c>
    </row>
    <row r="31" spans="1:49">
      <c r="A31" s="118">
        <v>73</v>
      </c>
      <c r="B31" s="118" t="str">
        <v>비닐팩토리</v>
      </c>
      <c r="C31" s="211">
        <v>45450</v>
      </c>
      <c r="D31" s="118" t="str">
        <v>2024060720131911</v>
      </c>
      <c r="E31" s="118" t="str">
        <v>스마트 스토어</v>
      </c>
      <c r="F31" s="118" t="str">
        <v>김영희</v>
      </c>
      <c r="G31" s="118" t="str">
        <v>hapt****</v>
      </c>
      <c r="H31" s="118" t="str">
        <v>010-8563-3273</v>
      </c>
      <c r="I31" s="211">
        <v>45450</v>
      </c>
      <c r="J31" s="118" t="str">
        <v>CJ대한통운</v>
      </c>
      <c r="K31" s="118" t="str">
        <v>540215483284</v>
      </c>
      <c r="L31" s="211">
        <v>0</v>
      </c>
      <c r="M31" s="118" t="str">
        <v>SE.206</v>
      </c>
      <c r="N31" s="118" t="str">
        <v>투명</v>
      </c>
      <c r="O31" s="118">
        <v>1</v>
      </c>
      <c r="P31" s="118" t="str">
        <v>김영희</v>
      </c>
      <c r="Q31" s="118" t="str">
        <v>0502-3778-2814</v>
      </c>
      <c r="R31" s="118">
        <v>0</v>
      </c>
      <c r="S31" s="118" t="str">
        <v>경기도 남양주시 와부읍 수레로 88 (와부읍, 강산빌딩) 코너 103호 인생떡집</v>
      </c>
      <c r="T31" s="224">
        <v>0</v>
      </c>
      <c r="U31" s="224">
        <v>0</v>
      </c>
      <c r="V31" s="224">
        <v>0</v>
      </c>
      <c r="W31" s="217">
        <v>28400</v>
      </c>
      <c r="X31" s="217">
        <v>0</v>
      </c>
      <c r="Y31" s="217">
        <v>3000</v>
      </c>
      <c r="Z31" s="217">
        <v>3000</v>
      </c>
      <c r="AA31" s="217">
        <v>0</v>
      </c>
      <c r="AB31" s="217">
        <v>0</v>
      </c>
      <c r="AC31" s="217">
        <v>0</v>
      </c>
      <c r="AD31" s="118" t="str">
        <v>떡롤 45*330</v>
      </c>
      <c r="AE31" s="224">
        <v>0</v>
      </c>
      <c r="AF31" s="217">
        <v>28800</v>
      </c>
      <c r="AG31" s="217">
        <v>19800</v>
      </c>
      <c r="AH31" s="217">
        <v>31400</v>
      </c>
      <c r="AI31" s="217">
        <v>0</v>
      </c>
      <c r="AJ31" s="217">
        <v>1596</v>
      </c>
      <c r="AK31" s="217">
        <v>0</v>
      </c>
      <c r="AL31" s="227">
        <v>0</v>
      </c>
      <c r="AM31" s="224">
        <v>0</v>
      </c>
      <c r="AN31" s="118" t="str">
        <v>ptDB47</v>
      </c>
      <c r="AO31" s="264">
        <v>0</v>
      </c>
      <c r="AP31" s="217">
        <v>31400</v>
      </c>
      <c r="AQ31" s="217">
        <v>0</v>
      </c>
      <c r="AR31" s="217">
        <v>1596</v>
      </c>
      <c r="AS31" s="217">
        <v>0</v>
      </c>
      <c r="AT31" s="227">
        <v>0</v>
      </c>
      <c r="AU31" s="224" t="str">
        <v/>
      </c>
      <c r="AV31" s="264">
        <v>0</v>
      </c>
      <c r="AW31" s="118">
        <v>19800</v>
      </c>
    </row>
    <row r="32" spans="1:49">
      <c r="A32" s="118">
        <v>74</v>
      </c>
      <c r="B32" s="118" t="str">
        <v>비닐팩토리</v>
      </c>
      <c r="C32" s="211">
        <v>45449</v>
      </c>
      <c r="D32" s="118" t="str">
        <v>2024060673126881</v>
      </c>
      <c r="E32" s="118" t="str">
        <v>스마트 스토어</v>
      </c>
      <c r="F32" s="118" t="str">
        <v>한은혜</v>
      </c>
      <c r="G32" s="118" t="str">
        <v>lili****</v>
      </c>
      <c r="H32" s="118" t="str">
        <v>010-7444-5029</v>
      </c>
      <c r="I32" s="211">
        <v>45450</v>
      </c>
      <c r="J32" s="118" t="str">
        <v>CJ대한통운</v>
      </c>
      <c r="K32" s="118" t="str">
        <v>540215391691</v>
      </c>
      <c r="L32" s="211">
        <v>0</v>
      </c>
      <c r="M32" s="118" t="str">
        <v>SE.307</v>
      </c>
      <c r="N32" s="118" t="str">
        <v>투명</v>
      </c>
      <c r="O32" s="118">
        <v>2</v>
      </c>
      <c r="P32" s="118" t="str">
        <v>기찬수제돈까스</v>
      </c>
      <c r="Q32" s="118" t="str">
        <v>010-7444-5029</v>
      </c>
      <c r="R32" s="118" t="str">
        <v>010-7704-5638</v>
      </c>
      <c r="S32" s="118" t="str">
        <v>서울특별시 도봉구 도봉로153길 63 (방학동) 1층 좌측</v>
      </c>
      <c r="T32" s="224">
        <v>0</v>
      </c>
      <c r="U32" s="224">
        <v>0</v>
      </c>
      <c r="V32" s="224">
        <v>0</v>
      </c>
      <c r="W32" s="217">
        <v>21120</v>
      </c>
      <c r="X32" s="217">
        <v>0</v>
      </c>
      <c r="Y32" s="217">
        <v>0</v>
      </c>
      <c r="Z32" s="217">
        <v>3500</v>
      </c>
      <c r="AA32" s="217">
        <v>0</v>
      </c>
      <c r="AB32" s="217">
        <v>0</v>
      </c>
      <c r="AC32" s="217">
        <v>0</v>
      </c>
      <c r="AD32" s="118" t="str">
        <v>떡외겹 30*30</v>
      </c>
      <c r="AE32" s="224">
        <v>0</v>
      </c>
      <c r="AF32" s="217">
        <v>10560</v>
      </c>
      <c r="AG32" s="217">
        <v>7260</v>
      </c>
      <c r="AH32" s="217">
        <v>21120</v>
      </c>
      <c r="AI32" s="217">
        <v>0</v>
      </c>
      <c r="AJ32" s="217">
        <v>1141</v>
      </c>
      <c r="AK32" s="217">
        <v>0</v>
      </c>
      <c r="AL32" s="227">
        <v>0</v>
      </c>
      <c r="AM32" s="224">
        <v>0</v>
      </c>
      <c r="AN32" s="118" t="str">
        <v>ptDB47</v>
      </c>
      <c r="AO32" s="264">
        <v>0</v>
      </c>
      <c r="AP32" s="217">
        <v>21120</v>
      </c>
      <c r="AQ32" s="217">
        <v>0</v>
      </c>
      <c r="AR32" s="217">
        <v>1141</v>
      </c>
      <c r="AS32" s="217">
        <v>0</v>
      </c>
      <c r="AT32" s="227">
        <v>0</v>
      </c>
      <c r="AU32" s="224" t="str">
        <v/>
      </c>
      <c r="AV32" s="264">
        <v>0</v>
      </c>
      <c r="AW32" s="118">
        <v>14520</v>
      </c>
    </row>
    <row r="33" spans="1:49">
      <c r="A33" s="118">
        <v>75</v>
      </c>
      <c r="B33" s="118" t="str">
        <v>비닐팩토리</v>
      </c>
      <c r="C33" s="211">
        <v>45449</v>
      </c>
      <c r="D33" s="118" t="str">
        <v>2024060673126871</v>
      </c>
      <c r="E33" s="118" t="str">
        <v>스마트 스토어</v>
      </c>
      <c r="F33" s="118" t="str">
        <v>한은혜</v>
      </c>
      <c r="G33" s="118" t="str">
        <v>lili****</v>
      </c>
      <c r="H33" s="118" t="str">
        <v>010-7444-5029</v>
      </c>
      <c r="I33" s="211">
        <v>45450</v>
      </c>
      <c r="J33" s="118" t="str">
        <v>CJ대한통운</v>
      </c>
      <c r="K33" s="118" t="str">
        <v>540215391691</v>
      </c>
      <c r="L33" s="211">
        <v>0</v>
      </c>
      <c r="M33" s="118" t="str">
        <v>SE.14</v>
      </c>
      <c r="N33" s="118" t="str">
        <v>검정</v>
      </c>
      <c r="O33" s="118">
        <v>5</v>
      </c>
      <c r="P33" s="118" t="str">
        <v>기찬수제돈까스</v>
      </c>
      <c r="Q33" s="118" t="str">
        <v>010-7444-5029</v>
      </c>
      <c r="R33" s="118" t="str">
        <v>010-7704-5638</v>
      </c>
      <c r="S33" s="118" t="str">
        <v>서울특별시 도봉구 도봉로153길 63 (방학동) 1층 좌측</v>
      </c>
      <c r="T33" s="224">
        <v>0</v>
      </c>
      <c r="U33" s="224">
        <v>0</v>
      </c>
      <c r="V33" s="224">
        <v>0</v>
      </c>
      <c r="W33" s="217">
        <v>7150</v>
      </c>
      <c r="X33" s="217">
        <v>7200</v>
      </c>
      <c r="Y33" s="217">
        <v>0</v>
      </c>
      <c r="Z33" s="217">
        <v>0</v>
      </c>
      <c r="AA33" s="217">
        <v>0</v>
      </c>
      <c r="AB33" s="217">
        <v>0</v>
      </c>
      <c r="AC33" s="217">
        <v>0</v>
      </c>
      <c r="AD33" s="118" t="str">
        <v>특대B</v>
      </c>
      <c r="AE33" s="224" t="str">
        <v>재구매</v>
      </c>
      <c r="AF33" s="217">
        <v>1430</v>
      </c>
      <c r="AG33" s="217">
        <v>1045</v>
      </c>
      <c r="AH33" s="217">
        <v>7150</v>
      </c>
      <c r="AI33" s="217">
        <v>0</v>
      </c>
      <c r="AJ33" s="217">
        <v>439</v>
      </c>
      <c r="AK33" s="217">
        <v>0</v>
      </c>
      <c r="AL33" s="227">
        <v>0</v>
      </c>
      <c r="AM33" s="224">
        <v>0</v>
      </c>
      <c r="AN33" s="118" t="str">
        <v>ptDB47</v>
      </c>
      <c r="AO33" s="264">
        <v>0</v>
      </c>
      <c r="AP33" s="217">
        <v>7150</v>
      </c>
      <c r="AQ33" s="217">
        <v>0</v>
      </c>
      <c r="AR33" s="217">
        <v>439</v>
      </c>
      <c r="AS33" s="217">
        <v>0</v>
      </c>
      <c r="AT33" s="227">
        <v>0</v>
      </c>
      <c r="AU33" s="224" t="str">
        <v/>
      </c>
      <c r="AV33" s="264">
        <v>0</v>
      </c>
      <c r="AW33" s="118">
        <v>5225</v>
      </c>
    </row>
    <row r="34" spans="1:49">
      <c r="A34" s="118">
        <v>76</v>
      </c>
      <c r="B34" s="118" t="str">
        <v>비닐팩토리</v>
      </c>
      <c r="C34" s="211">
        <v>45449</v>
      </c>
      <c r="D34" s="118" t="str">
        <v>2024060673126861</v>
      </c>
      <c r="E34" s="118" t="str">
        <v>스마트 스토어</v>
      </c>
      <c r="F34" s="118" t="str">
        <v>한은혜</v>
      </c>
      <c r="G34" s="118" t="str">
        <v>lili****</v>
      </c>
      <c r="H34" s="118" t="str">
        <v>010-7444-5029</v>
      </c>
      <c r="I34" s="211">
        <v>45450</v>
      </c>
      <c r="J34" s="118" t="str">
        <v>CJ대한통운</v>
      </c>
      <c r="K34" s="118" t="str">
        <v>540215391691</v>
      </c>
      <c r="L34" s="211">
        <v>0</v>
      </c>
      <c r="M34" s="118" t="str">
        <v>SE.107</v>
      </c>
      <c r="N34" s="118" t="str">
        <v>투명</v>
      </c>
      <c r="O34" s="118">
        <v>3</v>
      </c>
      <c r="P34" s="118" t="str">
        <v>기찬수제돈까스</v>
      </c>
      <c r="Q34" s="118" t="str">
        <v>010-7444-5029</v>
      </c>
      <c r="R34" s="118" t="str">
        <v>010-7704-5638</v>
      </c>
      <c r="S34" s="118" t="str">
        <v>서울특별시 도봉구 도봉로153길 63 (방학동) 1층 좌측</v>
      </c>
      <c r="T34" s="224">
        <v>0</v>
      </c>
      <c r="U34" s="224">
        <v>0</v>
      </c>
      <c r="V34" s="224">
        <v>0</v>
      </c>
      <c r="W34" s="217">
        <v>9720</v>
      </c>
      <c r="X34" s="217">
        <v>3870</v>
      </c>
      <c r="Y34" s="217">
        <v>0</v>
      </c>
      <c r="Z34" s="217">
        <v>0</v>
      </c>
      <c r="AA34" s="217">
        <v>0</v>
      </c>
      <c r="AB34" s="217">
        <v>0</v>
      </c>
      <c r="AC34" s="217">
        <v>0</v>
      </c>
      <c r="AD34" s="118" t="str">
        <v>소폭 30*51</v>
      </c>
      <c r="AE34" s="224" t="str">
        <v>재구매</v>
      </c>
      <c r="AF34" s="217">
        <v>3240</v>
      </c>
      <c r="AG34" s="217">
        <v>2156</v>
      </c>
      <c r="AH34" s="217">
        <v>9720</v>
      </c>
      <c r="AI34" s="217">
        <v>0</v>
      </c>
      <c r="AJ34" s="217">
        <v>568</v>
      </c>
      <c r="AK34" s="217">
        <v>0</v>
      </c>
      <c r="AL34" s="227">
        <v>0</v>
      </c>
      <c r="AM34" s="224">
        <v>0</v>
      </c>
      <c r="AN34" s="118" t="str">
        <v>ptDB47</v>
      </c>
      <c r="AO34" s="264">
        <v>0</v>
      </c>
      <c r="AP34" s="217">
        <v>9720</v>
      </c>
      <c r="AQ34" s="217">
        <v>0</v>
      </c>
      <c r="AR34" s="217">
        <v>568</v>
      </c>
      <c r="AS34" s="217">
        <v>0</v>
      </c>
      <c r="AT34" s="227">
        <v>0</v>
      </c>
      <c r="AU34" s="224" t="str">
        <v/>
      </c>
      <c r="AV34" s="264">
        <v>0</v>
      </c>
      <c r="AW34" s="118">
        <v>6468</v>
      </c>
    </row>
    <row r="35" spans="1:49">
      <c r="A35" s="118">
        <v>84</v>
      </c>
      <c r="B35" s="118" t="str">
        <v>비닐팩토리</v>
      </c>
      <c r="C35" s="211">
        <v>45448</v>
      </c>
      <c r="D35" s="118" t="str">
        <v>5100051437810</v>
      </c>
      <c r="E35" s="118" t="str">
        <v>쿠팡</v>
      </c>
      <c r="F35" s="118" t="str">
        <v>김서영</v>
      </c>
      <c r="G35" s="118" t="str">
        <v>vv*****@na</v>
      </c>
      <c r="H35" s="118" t="str">
        <v>0502-4860-8914</v>
      </c>
      <c r="I35" s="211">
        <v>45450</v>
      </c>
      <c r="J35" s="118" t="str">
        <v>CJ대한통운</v>
      </c>
      <c r="K35" s="118" t="str">
        <v>540215391573</v>
      </c>
      <c r="L35" s="211">
        <v>0</v>
      </c>
      <c r="M35" s="118" t="str">
        <v>SE.205</v>
      </c>
      <c r="N35" s="118" t="str">
        <v>투명</v>
      </c>
      <c r="O35" s="118">
        <v>1</v>
      </c>
      <c r="P35" s="118" t="str">
        <v>김서영</v>
      </c>
      <c r="Q35" s="118" t="str">
        <v>0502-4860-8914</v>
      </c>
      <c r="R35" s="118">
        <v>0</v>
      </c>
      <c r="S35" s="118" t="str">
        <v>부산광역시 부산진구 성지로 37 연지 래미안어반파크 101동 102호 ( 연지동 )</v>
      </c>
      <c r="T35" s="224" t="str">
        <v>직접 받고 부재 시 문 앞</v>
      </c>
      <c r="U35" s="224">
        <v>0</v>
      </c>
      <c r="V35" s="224">
        <v>0</v>
      </c>
      <c r="W35" s="217">
        <v>25200</v>
      </c>
      <c r="X35" s="217">
        <v>0</v>
      </c>
      <c r="Y35" s="217">
        <v>3000</v>
      </c>
      <c r="Z35" s="217">
        <v>3500</v>
      </c>
      <c r="AA35" s="217">
        <v>0</v>
      </c>
      <c r="AB35" s="217">
        <v>0</v>
      </c>
      <c r="AC35" s="217">
        <v>0</v>
      </c>
      <c r="AD35" s="118" t="str">
        <v>떡롤 35*400</v>
      </c>
      <c r="AE35" s="224">
        <v>0</v>
      </c>
      <c r="AF35" s="217">
        <v>25200</v>
      </c>
      <c r="AG35" s="217">
        <v>16500</v>
      </c>
      <c r="AH35" s="217">
        <v>28200</v>
      </c>
      <c r="AI35" s="217">
        <v>0</v>
      </c>
      <c r="AJ35" s="217">
        <v>3093</v>
      </c>
      <c r="AK35" s="217">
        <v>0</v>
      </c>
      <c r="AL35" s="227">
        <v>0</v>
      </c>
      <c r="AM35" s="224">
        <v>0</v>
      </c>
      <c r="AN35" s="118" t="str">
        <v>ptDB47</v>
      </c>
      <c r="AO35" s="264">
        <v>0</v>
      </c>
      <c r="AP35" s="217">
        <v>28200</v>
      </c>
      <c r="AQ35" s="217">
        <v>0</v>
      </c>
      <c r="AR35" s="217">
        <v>3093</v>
      </c>
      <c r="AS35" s="217">
        <v>0</v>
      </c>
      <c r="AT35" s="227">
        <v>0</v>
      </c>
      <c r="AU35" s="224" t="str">
        <v/>
      </c>
      <c r="AV35" s="264">
        <v>0</v>
      </c>
      <c r="AW35" s="118">
        <v>16500</v>
      </c>
    </row>
    <row r="36" spans="1:49">
      <c r="A36" s="118">
        <v>85</v>
      </c>
      <c r="B36" s="118" t="str">
        <v>비닐팩토리</v>
      </c>
      <c r="C36" s="211">
        <v>45449</v>
      </c>
      <c r="D36" s="118" t="str">
        <v>13100051693704</v>
      </c>
      <c r="E36" s="118" t="str">
        <v>쿠팡</v>
      </c>
      <c r="F36" s="118" t="str">
        <v>김기옥</v>
      </c>
      <c r="G36" s="118" t="str">
        <v>ki*****@ha</v>
      </c>
      <c r="H36" s="118" t="str">
        <v>0502-4592-1021</v>
      </c>
      <c r="I36" s="211">
        <v>45450</v>
      </c>
      <c r="J36" s="118" t="str">
        <v>CJ대한통운</v>
      </c>
      <c r="K36" s="118" t="str">
        <v>540215391374</v>
      </c>
      <c r="L36" s="211">
        <v>0</v>
      </c>
      <c r="M36" s="118" t="str">
        <v>SE.206</v>
      </c>
      <c r="N36" s="118" t="str">
        <v>투명</v>
      </c>
      <c r="O36" s="118">
        <v>1</v>
      </c>
      <c r="P36" s="118" t="str">
        <v>김기옥</v>
      </c>
      <c r="Q36" s="118" t="str">
        <v>0502-4592-1021</v>
      </c>
      <c r="R36" s="118">
        <v>0</v>
      </c>
      <c r="S36" s="118" t="str">
        <v>서울특별시 은평구 구산동 16-85 1층 왼쪽</v>
      </c>
      <c r="T36" s="224" t="str">
        <v>문 앞</v>
      </c>
      <c r="U36" s="224">
        <v>0</v>
      </c>
      <c r="V36" s="224">
        <v>0</v>
      </c>
      <c r="W36" s="217">
        <v>30240</v>
      </c>
      <c r="X36" s="217">
        <v>0</v>
      </c>
      <c r="Y36" s="217">
        <v>3000</v>
      </c>
      <c r="Z36" s="217">
        <v>3500</v>
      </c>
      <c r="AA36" s="217">
        <v>0</v>
      </c>
      <c r="AB36" s="217">
        <v>0</v>
      </c>
      <c r="AC36" s="217">
        <v>0</v>
      </c>
      <c r="AD36" s="118" t="str">
        <v>떡롤 45*330</v>
      </c>
      <c r="AE36" s="224">
        <v>0</v>
      </c>
      <c r="AF36" s="217">
        <v>30240</v>
      </c>
      <c r="AG36" s="217">
        <v>19800</v>
      </c>
      <c r="AH36" s="217">
        <v>33240</v>
      </c>
      <c r="AI36" s="217">
        <v>0</v>
      </c>
      <c r="AJ36" s="217">
        <v>3692</v>
      </c>
      <c r="AK36" s="217">
        <v>0</v>
      </c>
      <c r="AL36" s="227">
        <v>0</v>
      </c>
      <c r="AM36" s="224">
        <v>0</v>
      </c>
      <c r="AN36" s="118" t="str">
        <v>ptDB47</v>
      </c>
      <c r="AO36" s="264">
        <v>0</v>
      </c>
      <c r="AP36" s="217">
        <v>33240</v>
      </c>
      <c r="AQ36" s="217">
        <v>0</v>
      </c>
      <c r="AR36" s="217">
        <v>3692</v>
      </c>
      <c r="AS36" s="217">
        <v>0</v>
      </c>
      <c r="AT36" s="227">
        <v>0</v>
      </c>
      <c r="AU36" s="224" t="str">
        <v/>
      </c>
      <c r="AV36" s="264">
        <v>0</v>
      </c>
      <c r="AW36" s="118">
        <v>19800</v>
      </c>
    </row>
    <row r="37" spans="1:49">
      <c r="A37" s="118">
        <v>88</v>
      </c>
      <c r="B37" s="118" t="str">
        <v>비닐팩토리</v>
      </c>
      <c r="C37" s="211">
        <v>45453</v>
      </c>
      <c r="D37" s="118" t="str">
        <v>45470688</v>
      </c>
      <c r="E37" s="118" t="str">
        <v>대표</v>
      </c>
      <c r="F37" s="118">
        <v>0</v>
      </c>
      <c r="G37" s="118">
        <v>0</v>
      </c>
      <c r="H37" s="118">
        <v>0</v>
      </c>
      <c r="I37" s="211">
        <v>45453</v>
      </c>
      <c r="J37" s="118" t="str">
        <v>CJ대한통운</v>
      </c>
      <c r="K37" s="118" t="str">
        <v>530218428490</v>
      </c>
      <c r="L37" s="211">
        <v>0</v>
      </c>
      <c r="M37" s="118" t="str">
        <v>SE.1000</v>
      </c>
      <c r="N37" s="118" t="str">
        <v>투명</v>
      </c>
      <c r="O37" s="118">
        <v>1</v>
      </c>
      <c r="P37" s="118" t="str">
        <v>동해수산</v>
      </c>
      <c r="Q37" s="118" t="str">
        <v>010-6313-8011</v>
      </c>
      <c r="R37" s="118">
        <v>0</v>
      </c>
      <c r="S37" s="118" t="str">
        <v>대구 동구 아양로37길 31 동서시장내 동해수산</v>
      </c>
      <c r="T37" s="224">
        <v>0</v>
      </c>
      <c r="U37" s="224">
        <v>0</v>
      </c>
      <c r="V37" s="224">
        <v>0</v>
      </c>
      <c r="W37" s="217">
        <v>0</v>
      </c>
      <c r="X37" s="217">
        <v>0</v>
      </c>
      <c r="Y37" s="217">
        <v>0</v>
      </c>
      <c r="Z37" s="217">
        <v>5500</v>
      </c>
      <c r="AA37" s="217">
        <v>0</v>
      </c>
      <c r="AB37" s="217">
        <v>0</v>
      </c>
      <c r="AC37" s="217">
        <v>0</v>
      </c>
      <c r="AD37" s="118" t="str">
        <v>대표</v>
      </c>
      <c r="AE37" s="224" t="str">
        <v>재구매</v>
      </c>
      <c r="AF37" s="217">
        <v>0</v>
      </c>
      <c r="AG37" s="217">
        <v>0</v>
      </c>
      <c r="AH37" s="217">
        <v>0</v>
      </c>
      <c r="AI37" s="217">
        <v>0</v>
      </c>
      <c r="AJ37" s="217">
        <v>0</v>
      </c>
      <c r="AK37" s="217">
        <v>0</v>
      </c>
      <c r="AL37" s="227">
        <v>0</v>
      </c>
      <c r="AM37" s="224">
        <v>0</v>
      </c>
      <c r="AN37" s="118" t="str">
        <v>ptDB47</v>
      </c>
      <c r="AO37" s="264">
        <v>0</v>
      </c>
      <c r="AP37" s="217">
        <v>0</v>
      </c>
      <c r="AQ37" s="217">
        <v>0</v>
      </c>
      <c r="AR37" s="217">
        <v>0</v>
      </c>
      <c r="AS37" s="217">
        <v>0</v>
      </c>
      <c r="AT37" s="227">
        <v>0</v>
      </c>
      <c r="AU37" s="224" t="str">
        <v/>
      </c>
      <c r="AV37" s="264">
        <v>0</v>
      </c>
      <c r="AW37" s="118">
        <v>0</v>
      </c>
    </row>
    <row r="38" spans="1:49">
      <c r="A38" s="118">
        <v>89</v>
      </c>
      <c r="B38" s="118" t="str">
        <v>비닐팩토리</v>
      </c>
      <c r="C38" s="211">
        <v>45453</v>
      </c>
      <c r="D38" s="118" t="str">
        <v>45470625</v>
      </c>
      <c r="E38" s="118" t="str">
        <v>대표</v>
      </c>
      <c r="F38" s="118">
        <v>0</v>
      </c>
      <c r="G38" s="118">
        <v>0</v>
      </c>
      <c r="H38" s="118">
        <v>0</v>
      </c>
      <c r="I38" s="211">
        <v>45453</v>
      </c>
      <c r="J38" s="118" t="str">
        <v>CJ대한통운</v>
      </c>
      <c r="K38" s="118" t="str">
        <v>530218428431</v>
      </c>
      <c r="L38" s="211">
        <v>0</v>
      </c>
      <c r="M38" s="118" t="str">
        <v>SE.1000</v>
      </c>
      <c r="N38" s="118" t="str">
        <v>투명</v>
      </c>
      <c r="O38" s="118">
        <v>1</v>
      </c>
      <c r="P38" s="118" t="str">
        <v>동해수산</v>
      </c>
      <c r="Q38" s="118" t="str">
        <v>010-6313-8011</v>
      </c>
      <c r="R38" s="118">
        <v>0</v>
      </c>
      <c r="S38" s="118" t="str">
        <v>대구 동구 아양로37길 31 동서시장내 동해수산</v>
      </c>
      <c r="T38" s="224">
        <v>0</v>
      </c>
      <c r="U38" s="224">
        <v>0</v>
      </c>
      <c r="V38" s="224">
        <v>0</v>
      </c>
      <c r="W38" s="217">
        <v>0</v>
      </c>
      <c r="X38" s="217">
        <v>0</v>
      </c>
      <c r="Y38" s="217">
        <v>0</v>
      </c>
      <c r="Z38" s="217">
        <v>5500</v>
      </c>
      <c r="AA38" s="217">
        <v>0</v>
      </c>
      <c r="AB38" s="217">
        <v>0</v>
      </c>
      <c r="AC38" s="217">
        <v>0</v>
      </c>
      <c r="AD38" s="118" t="str">
        <v>대표</v>
      </c>
      <c r="AE38" s="224" t="str">
        <v>재구매</v>
      </c>
      <c r="AF38" s="217">
        <v>0</v>
      </c>
      <c r="AG38" s="217">
        <v>0</v>
      </c>
      <c r="AH38" s="217">
        <v>0</v>
      </c>
      <c r="AI38" s="217">
        <v>0</v>
      </c>
      <c r="AJ38" s="217">
        <v>0</v>
      </c>
      <c r="AK38" s="217">
        <v>0</v>
      </c>
      <c r="AL38" s="227">
        <v>0</v>
      </c>
      <c r="AM38" s="224">
        <v>0</v>
      </c>
      <c r="AN38" s="118" t="str">
        <v>ptDB47</v>
      </c>
      <c r="AO38" s="264">
        <v>0</v>
      </c>
      <c r="AP38" s="217">
        <v>0</v>
      </c>
      <c r="AQ38" s="217">
        <v>0</v>
      </c>
      <c r="AR38" s="217">
        <v>0</v>
      </c>
      <c r="AS38" s="217">
        <v>0</v>
      </c>
      <c r="AT38" s="227">
        <v>0</v>
      </c>
      <c r="AU38" s="224" t="str">
        <v/>
      </c>
      <c r="AV38" s="264">
        <v>0</v>
      </c>
      <c r="AW38" s="118">
        <v>0</v>
      </c>
    </row>
    <row r="39" spans="1:49">
      <c r="A39" s="118">
        <v>104</v>
      </c>
      <c r="B39" s="118" t="str">
        <v>비닐팩토리</v>
      </c>
      <c r="C39" s="211">
        <v>45453</v>
      </c>
      <c r="D39" s="118" t="str">
        <v>24061001</v>
      </c>
      <c r="E39" s="118" t="str">
        <v>쿠팡</v>
      </c>
      <c r="F39" s="118" t="str">
        <v>모응순</v>
      </c>
      <c r="G39" s="118" t="str">
        <v>es*****@na</v>
      </c>
      <c r="H39" s="118" t="str">
        <v>0502-4691-3281</v>
      </c>
      <c r="I39" s="211">
        <v>45453</v>
      </c>
      <c r="J39" s="118" t="str">
        <v>CJ대한통운</v>
      </c>
      <c r="K39" s="118" t="str">
        <v>530217935804</v>
      </c>
      <c r="L39" s="211">
        <v>0</v>
      </c>
      <c r="M39" s="118" t="str">
        <v>SE.303</v>
      </c>
      <c r="N39" s="118" t="str">
        <v>투명</v>
      </c>
      <c r="O39" s="118">
        <v>10</v>
      </c>
      <c r="P39" s="118" t="str">
        <v>김종욱</v>
      </c>
      <c r="Q39" s="118" t="str">
        <v>0502-4691-3281</v>
      </c>
      <c r="R39" s="118">
        <v>0</v>
      </c>
      <c r="S39" s="118" t="str">
        <v>경기도 과천시 별양로 11 203동 801호 ( 원문동, 과천 위버필드 )</v>
      </c>
      <c r="T39" s="224" t="str">
        <v>문 앞</v>
      </c>
      <c r="U39" s="224">
        <v>0</v>
      </c>
      <c r="V39" s="224">
        <v>0</v>
      </c>
      <c r="W39" s="217">
        <v>230200</v>
      </c>
      <c r="X39" s="217">
        <v>0</v>
      </c>
      <c r="Y39" s="217">
        <v>0</v>
      </c>
      <c r="Z39" s="217">
        <v>5500</v>
      </c>
      <c r="AA39" s="217">
        <v>0</v>
      </c>
      <c r="AB39" s="217">
        <v>0</v>
      </c>
      <c r="AC39" s="217">
        <v>0</v>
      </c>
      <c r="AD39" s="118" t="str">
        <v>떡외겹 25*25</v>
      </c>
      <c r="AE39" s="224">
        <v>0</v>
      </c>
      <c r="AF39" s="217">
        <v>23020</v>
      </c>
      <c r="AG39" s="217">
        <v>15070</v>
      </c>
      <c r="AH39" s="217">
        <v>230200</v>
      </c>
      <c r="AI39" s="217">
        <v>0</v>
      </c>
      <c r="AJ39" s="217">
        <v>27348</v>
      </c>
      <c r="AK39" s="217">
        <v>0</v>
      </c>
      <c r="AL39" s="227">
        <v>0</v>
      </c>
      <c r="AM39" s="224">
        <v>0</v>
      </c>
      <c r="AN39" s="118" t="str">
        <v>ptDB47</v>
      </c>
      <c r="AO39" s="264">
        <v>0</v>
      </c>
      <c r="AP39" s="217">
        <v>230200</v>
      </c>
      <c r="AQ39" s="217">
        <v>0</v>
      </c>
      <c r="AR39" s="217">
        <v>27348</v>
      </c>
      <c r="AS39" s="217">
        <v>0</v>
      </c>
      <c r="AT39" s="227">
        <v>0</v>
      </c>
      <c r="AU39" s="224" t="str">
        <v/>
      </c>
      <c r="AV39" s="264">
        <v>1</v>
      </c>
      <c r="AW39" s="118">
        <v>150700</v>
      </c>
    </row>
    <row r="40" spans="1:49">
      <c r="A40" s="118">
        <v>105</v>
      </c>
      <c r="B40" s="118" t="str">
        <v>비닐팩토리</v>
      </c>
      <c r="C40" s="211">
        <v>45451</v>
      </c>
      <c r="D40" s="118" t="str">
        <v>29100051972880</v>
      </c>
      <c r="E40" s="118" t="str">
        <v>쿠팡</v>
      </c>
      <c r="F40" s="118" t="str">
        <v>이유미</v>
      </c>
      <c r="G40" s="118" t="str">
        <v>yu*****@ha</v>
      </c>
      <c r="H40" s="118" t="str">
        <v>0502-4626-7359</v>
      </c>
      <c r="I40" s="211">
        <v>45453</v>
      </c>
      <c r="J40" s="118" t="str">
        <v>CJ대한통운</v>
      </c>
      <c r="K40" s="118" t="str">
        <v>540216957661</v>
      </c>
      <c r="L40" s="211">
        <v>0</v>
      </c>
      <c r="M40" s="118" t="str">
        <v>SE.305</v>
      </c>
      <c r="N40" s="118" t="str">
        <v>투명</v>
      </c>
      <c r="O40" s="118">
        <v>1</v>
      </c>
      <c r="P40" s="118" t="str">
        <v>권세희</v>
      </c>
      <c r="Q40" s="118" t="str">
        <v>0502-4626-7359</v>
      </c>
      <c r="R40" s="118">
        <v>0</v>
      </c>
      <c r="S40" s="118" t="str">
        <v>부산광역시 연제구 연산동 1310-73 캐슬빌리지 204호</v>
      </c>
      <c r="T40" s="224" t="str">
        <v>문 앞</v>
      </c>
      <c r="U40" s="224">
        <v>0</v>
      </c>
      <c r="V40" s="224">
        <v>0</v>
      </c>
      <c r="W40" s="217">
        <v>19320</v>
      </c>
      <c r="X40" s="217">
        <v>0</v>
      </c>
      <c r="Y40" s="217">
        <v>3000</v>
      </c>
      <c r="Z40" s="217">
        <v>3000</v>
      </c>
      <c r="AA40" s="217">
        <v>0</v>
      </c>
      <c r="AB40" s="217">
        <v>0</v>
      </c>
      <c r="AC40" s="217">
        <v>0</v>
      </c>
      <c r="AD40" s="118" t="str">
        <v>떡외겹 39*40</v>
      </c>
      <c r="AE40" s="224">
        <v>0</v>
      </c>
      <c r="AF40" s="217">
        <v>19320</v>
      </c>
      <c r="AG40" s="217">
        <v>12650</v>
      </c>
      <c r="AH40" s="217">
        <v>22320</v>
      </c>
      <c r="AI40" s="217">
        <v>0</v>
      </c>
      <c r="AJ40" s="217">
        <v>2394</v>
      </c>
      <c r="AK40" s="217">
        <v>0</v>
      </c>
      <c r="AL40" s="227">
        <v>0</v>
      </c>
      <c r="AM40" s="224">
        <v>0</v>
      </c>
      <c r="AN40" s="118" t="str">
        <v>ptDB47</v>
      </c>
      <c r="AO40" s="264">
        <v>0</v>
      </c>
      <c r="AP40" s="217">
        <v>22320</v>
      </c>
      <c r="AQ40" s="217">
        <v>0</v>
      </c>
      <c r="AR40" s="217">
        <v>2394</v>
      </c>
      <c r="AS40" s="217">
        <v>0</v>
      </c>
      <c r="AT40" s="227">
        <v>0</v>
      </c>
      <c r="AU40" s="224" t="str">
        <v/>
      </c>
      <c r="AV40" s="264">
        <v>0</v>
      </c>
      <c r="AW40" s="118">
        <v>12650</v>
      </c>
    </row>
    <row r="41" spans="1:49">
      <c r="A41" s="118">
        <v>106</v>
      </c>
      <c r="B41" s="118" t="str">
        <v>비닐팩토리</v>
      </c>
      <c r="C41" s="211">
        <v>45452</v>
      </c>
      <c r="D41" s="118" t="str">
        <v>6100052038770</v>
      </c>
      <c r="E41" s="118" t="str">
        <v>쿠팡</v>
      </c>
      <c r="F41" s="118" t="str">
        <v>모응순</v>
      </c>
      <c r="G41" s="118" t="str">
        <v>es*****@na</v>
      </c>
      <c r="H41" s="118" t="str">
        <v>0502-4691-3281</v>
      </c>
      <c r="I41" s="211">
        <v>45453</v>
      </c>
      <c r="J41" s="118" t="str">
        <v>CJ대한통운</v>
      </c>
      <c r="K41" s="118" t="str">
        <v>530217935734</v>
      </c>
      <c r="L41" s="211">
        <v>0</v>
      </c>
      <c r="M41" s="118" t="str">
        <v>SE.303</v>
      </c>
      <c r="N41" s="118" t="str">
        <v>투명</v>
      </c>
      <c r="O41" s="118">
        <v>10</v>
      </c>
      <c r="P41" s="118" t="str">
        <v>김종욱</v>
      </c>
      <c r="Q41" s="118" t="str">
        <v>0502-4691-3281</v>
      </c>
      <c r="R41" s="118">
        <v>0</v>
      </c>
      <c r="S41" s="118" t="str">
        <v>경기도 과천시 별양로 11 203동 801호 ( 원문동, 과천 위버필드 )</v>
      </c>
      <c r="T41" s="224" t="str">
        <v>문 앞</v>
      </c>
      <c r="U41" s="224">
        <v>0</v>
      </c>
      <c r="V41" s="224">
        <v>0</v>
      </c>
      <c r="W41" s="217">
        <v>230200</v>
      </c>
      <c r="X41" s="217">
        <v>0</v>
      </c>
      <c r="Y41" s="217">
        <v>0</v>
      </c>
      <c r="Z41" s="217">
        <v>0</v>
      </c>
      <c r="AA41" s="217">
        <v>0</v>
      </c>
      <c r="AB41" s="217">
        <v>0</v>
      </c>
      <c r="AC41" s="217">
        <v>0</v>
      </c>
      <c r="AD41" s="118" t="str">
        <v>떡외겹 25*25</v>
      </c>
      <c r="AE41" s="224" t="str">
        <v>재구매</v>
      </c>
      <c r="AF41" s="217">
        <v>23020</v>
      </c>
      <c r="AG41" s="217">
        <v>15070</v>
      </c>
      <c r="AH41" s="217">
        <v>230200</v>
      </c>
      <c r="AI41" s="217">
        <v>0</v>
      </c>
      <c r="AJ41" s="217">
        <v>27348</v>
      </c>
      <c r="AK41" s="217">
        <v>0</v>
      </c>
      <c r="AL41" s="227">
        <v>0</v>
      </c>
      <c r="AM41" s="224">
        <v>0</v>
      </c>
      <c r="AN41" s="118" t="str">
        <v>ptDB47</v>
      </c>
      <c r="AO41" s="264">
        <v>0</v>
      </c>
      <c r="AP41" s="217">
        <v>230200</v>
      </c>
      <c r="AQ41" s="217">
        <v>0</v>
      </c>
      <c r="AR41" s="217">
        <v>27348</v>
      </c>
      <c r="AS41" s="217">
        <v>0</v>
      </c>
      <c r="AT41" s="227">
        <v>0</v>
      </c>
      <c r="AU41" s="224" t="str">
        <v/>
      </c>
      <c r="AV41" s="264">
        <v>1</v>
      </c>
      <c r="AW41" s="118">
        <v>150700</v>
      </c>
    </row>
    <row r="42" spans="1:49">
      <c r="A42" s="118">
        <v>112</v>
      </c>
      <c r="B42" s="118" t="str">
        <v>비닐팩토리</v>
      </c>
      <c r="C42" s="211">
        <v>45452</v>
      </c>
      <c r="D42" s="118" t="str">
        <v>2024060974196421</v>
      </c>
      <c r="E42" s="118" t="str">
        <v>스마트 스토어</v>
      </c>
      <c r="F42" s="118" t="str">
        <v>심정훈</v>
      </c>
      <c r="G42" s="118" t="str">
        <v>sien****</v>
      </c>
      <c r="H42" s="118" t="str">
        <v>010-9011-7913</v>
      </c>
      <c r="I42" s="211">
        <v>45453</v>
      </c>
      <c r="J42" s="118" t="str">
        <v>CJ대한통운</v>
      </c>
      <c r="K42" s="118" t="str">
        <v>540216957580</v>
      </c>
      <c r="L42" s="211">
        <v>0</v>
      </c>
      <c r="M42" s="118" t="str">
        <v>SE.307</v>
      </c>
      <c r="N42" s="118" t="str">
        <v>투명</v>
      </c>
      <c r="O42" s="118">
        <v>1</v>
      </c>
      <c r="P42" s="118" t="str">
        <v>심정훈</v>
      </c>
      <c r="Q42" s="118" t="str">
        <v>010-9011-7913</v>
      </c>
      <c r="R42" s="118" t="str">
        <v>010-9011-7913</v>
      </c>
      <c r="S42" s="118" t="str">
        <v>서울특별시 강동구 천호대로 991 (천호동) 1층 시에나블루</v>
      </c>
      <c r="T42" s="224">
        <v>0</v>
      </c>
      <c r="U42" s="224">
        <v>0</v>
      </c>
      <c r="V42" s="224">
        <v>0</v>
      </c>
      <c r="W42" s="217">
        <v>10560</v>
      </c>
      <c r="X42" s="217">
        <v>0</v>
      </c>
      <c r="Y42" s="217">
        <v>3000</v>
      </c>
      <c r="Z42" s="217">
        <v>3000</v>
      </c>
      <c r="AA42" s="217">
        <v>0</v>
      </c>
      <c r="AB42" s="217">
        <v>0</v>
      </c>
      <c r="AC42" s="217">
        <v>0</v>
      </c>
      <c r="AD42" s="118" t="str">
        <v>떡외겹 30*30</v>
      </c>
      <c r="AE42" s="224">
        <v>0</v>
      </c>
      <c r="AF42" s="217">
        <v>10560</v>
      </c>
      <c r="AG42" s="217">
        <v>7260</v>
      </c>
      <c r="AH42" s="217">
        <v>13560</v>
      </c>
      <c r="AI42" s="217">
        <v>0</v>
      </c>
      <c r="AJ42" s="217">
        <v>700</v>
      </c>
      <c r="AK42" s="217">
        <v>0</v>
      </c>
      <c r="AL42" s="227">
        <v>0</v>
      </c>
      <c r="AM42" s="224">
        <v>0</v>
      </c>
      <c r="AN42" s="118" t="str">
        <v>ptDB47</v>
      </c>
      <c r="AO42" s="264">
        <v>0</v>
      </c>
      <c r="AP42" s="217">
        <v>13560</v>
      </c>
      <c r="AQ42" s="217">
        <v>0</v>
      </c>
      <c r="AR42" s="217">
        <v>700</v>
      </c>
      <c r="AS42" s="217">
        <v>0</v>
      </c>
      <c r="AT42" s="227">
        <v>0</v>
      </c>
      <c r="AU42" s="224" t="str">
        <v/>
      </c>
      <c r="AV42" s="264">
        <v>0</v>
      </c>
      <c r="AW42" s="118">
        <v>7260</v>
      </c>
    </row>
    <row r="43" spans="1:49">
      <c r="A43" s="118">
        <v>113</v>
      </c>
      <c r="B43" s="118" t="str">
        <v>비닐팩토리</v>
      </c>
      <c r="C43" s="211">
        <v>45450</v>
      </c>
      <c r="D43" s="118" t="str">
        <v>2024060728991501</v>
      </c>
      <c r="E43" s="118" t="str">
        <v>스마트 스토어</v>
      </c>
      <c r="F43" s="118" t="str">
        <v>이호준</v>
      </c>
      <c r="G43" s="118" t="str">
        <v>morn****</v>
      </c>
      <c r="H43" s="118" t="str">
        <v>010-2665-5633</v>
      </c>
      <c r="I43" s="211">
        <v>45453</v>
      </c>
      <c r="J43" s="118" t="str">
        <v>CJ대한통운</v>
      </c>
      <c r="K43" s="118" t="str">
        <v>540216957753</v>
      </c>
      <c r="L43" s="211">
        <v>0</v>
      </c>
      <c r="M43" s="118" t="str">
        <v>SE.306</v>
      </c>
      <c r="N43" s="118" t="str">
        <v>투명</v>
      </c>
      <c r="O43" s="118">
        <v>1</v>
      </c>
      <c r="P43" s="118" t="str">
        <v>이호준</v>
      </c>
      <c r="Q43" s="118" t="str">
        <v>010-2665-5633</v>
      </c>
      <c r="R43" s="118">
        <v>0</v>
      </c>
      <c r="S43" s="118" t="str">
        <v>경기도 평택시 고덕면 방축4길 22-6 (고덕면) 1동 1층</v>
      </c>
      <c r="T43" s="224">
        <v>0</v>
      </c>
      <c r="U43" s="224">
        <v>0</v>
      </c>
      <c r="V43" s="224">
        <v>0</v>
      </c>
      <c r="W43" s="217">
        <v>14080</v>
      </c>
      <c r="X43" s="217">
        <v>0</v>
      </c>
      <c r="Y43" s="217">
        <v>3000</v>
      </c>
      <c r="Z43" s="217">
        <v>3000</v>
      </c>
      <c r="AA43" s="217">
        <v>0</v>
      </c>
      <c r="AB43" s="217">
        <v>0</v>
      </c>
      <c r="AC43" s="217">
        <v>0</v>
      </c>
      <c r="AD43" s="118" t="str">
        <v>떡외겹 20*20</v>
      </c>
      <c r="AE43" s="224">
        <v>0</v>
      </c>
      <c r="AF43" s="217">
        <v>14080</v>
      </c>
      <c r="AG43" s="217">
        <v>9680</v>
      </c>
      <c r="AH43" s="217">
        <v>17080</v>
      </c>
      <c r="AI43" s="217">
        <v>0</v>
      </c>
      <c r="AJ43" s="217">
        <v>877</v>
      </c>
      <c r="AK43" s="217">
        <v>0</v>
      </c>
      <c r="AL43" s="227">
        <v>0</v>
      </c>
      <c r="AM43" s="224">
        <v>0</v>
      </c>
      <c r="AN43" s="118" t="str">
        <v>ptDB47</v>
      </c>
      <c r="AO43" s="264">
        <v>0</v>
      </c>
      <c r="AP43" s="217">
        <v>17080</v>
      </c>
      <c r="AQ43" s="217">
        <v>0</v>
      </c>
      <c r="AR43" s="217">
        <v>877</v>
      </c>
      <c r="AS43" s="217">
        <v>0</v>
      </c>
      <c r="AT43" s="227">
        <v>0</v>
      </c>
      <c r="AU43" s="224" t="str">
        <v/>
      </c>
      <c r="AV43" s="264">
        <v>0</v>
      </c>
      <c r="AW43" s="118">
        <v>9680</v>
      </c>
    </row>
    <row r="44" spans="1:49">
      <c r="A44" s="118">
        <v>114</v>
      </c>
      <c r="B44" s="118" t="str">
        <v>비닐팩토리</v>
      </c>
      <c r="C44" s="211">
        <v>45454</v>
      </c>
      <c r="D44" s="118" t="str">
        <v>45470670</v>
      </c>
      <c r="E44" s="118" t="str">
        <v>대표</v>
      </c>
      <c r="F44" s="118">
        <v>0</v>
      </c>
      <c r="G44" s="118">
        <v>0</v>
      </c>
      <c r="H44" s="118">
        <v>0</v>
      </c>
      <c r="I44" s="211">
        <v>45454</v>
      </c>
      <c r="J44" s="118" t="str">
        <v>CJ대한통운</v>
      </c>
      <c r="K44" s="118" t="str">
        <v>540218460281</v>
      </c>
      <c r="L44" s="211">
        <v>0</v>
      </c>
      <c r="M44" s="118" t="str">
        <v>SE.1000</v>
      </c>
      <c r="N44" s="118" t="str">
        <v>투명</v>
      </c>
      <c r="O44" s="118">
        <v>1</v>
      </c>
      <c r="P44" s="118" t="str">
        <v>경북고추방앗간</v>
      </c>
      <c r="Q44" s="118" t="str">
        <v>010-3539-1432</v>
      </c>
      <c r="R44" s="118">
        <v>0</v>
      </c>
      <c r="S44" s="118" t="str">
        <v>대구 달성군 유가읍 유가길 5 경북고추방앗간</v>
      </c>
      <c r="T44" s="224">
        <v>0</v>
      </c>
      <c r="U44" s="224">
        <v>0</v>
      </c>
      <c r="V44" s="224">
        <v>0</v>
      </c>
      <c r="W44" s="217">
        <v>0</v>
      </c>
      <c r="X44" s="217">
        <v>0</v>
      </c>
      <c r="Y44" s="217">
        <v>0</v>
      </c>
      <c r="Z44" s="217">
        <v>3500</v>
      </c>
      <c r="AA44" s="217">
        <v>0</v>
      </c>
      <c r="AB44" s="217">
        <v>0</v>
      </c>
      <c r="AC44" s="217">
        <v>0</v>
      </c>
      <c r="AD44" s="118" t="str">
        <v>대표</v>
      </c>
      <c r="AE44" s="224" t="str">
        <v>재구매</v>
      </c>
      <c r="AF44" s="217">
        <v>0</v>
      </c>
      <c r="AG44" s="217">
        <v>0</v>
      </c>
      <c r="AH44" s="217">
        <v>0</v>
      </c>
      <c r="AI44" s="217">
        <v>0</v>
      </c>
      <c r="AJ44" s="217">
        <v>0</v>
      </c>
      <c r="AK44" s="217">
        <v>0</v>
      </c>
      <c r="AL44" s="227">
        <v>0</v>
      </c>
      <c r="AM44" s="224">
        <v>0</v>
      </c>
      <c r="AN44" s="118" t="str">
        <v>ptDB47</v>
      </c>
      <c r="AO44" s="264">
        <v>0</v>
      </c>
      <c r="AP44" s="217">
        <v>0</v>
      </c>
      <c r="AQ44" s="217">
        <v>0</v>
      </c>
      <c r="AR44" s="217">
        <v>0</v>
      </c>
      <c r="AS44" s="217">
        <v>0</v>
      </c>
      <c r="AT44" s="227">
        <v>0</v>
      </c>
      <c r="AU44" s="224" t="str">
        <v/>
      </c>
      <c r="AV44" s="264">
        <v>0</v>
      </c>
      <c r="AW44" s="118">
        <v>0</v>
      </c>
    </row>
    <row r="45" spans="1:49">
      <c r="A45" s="118">
        <v>115</v>
      </c>
      <c r="B45" s="118" t="str">
        <v>비닐팩토리</v>
      </c>
      <c r="C45" s="211">
        <v>45454</v>
      </c>
      <c r="D45" s="118" t="str">
        <v>45470736</v>
      </c>
      <c r="E45" s="118" t="str">
        <v>대표</v>
      </c>
      <c r="F45" s="118">
        <v>0</v>
      </c>
      <c r="G45" s="118">
        <v>0</v>
      </c>
      <c r="H45" s="118">
        <v>0</v>
      </c>
      <c r="I45" s="211">
        <v>45454</v>
      </c>
      <c r="J45" s="118" t="str">
        <v>CJ대한통운</v>
      </c>
      <c r="K45" s="118" t="str">
        <v>540218448646</v>
      </c>
      <c r="L45" s="211">
        <v>0</v>
      </c>
      <c r="M45" s="118" t="str">
        <v>SE.1000</v>
      </c>
      <c r="N45" s="118" t="str">
        <v>투명</v>
      </c>
      <c r="O45" s="118">
        <v>1</v>
      </c>
      <c r="P45" s="118" t="str">
        <v>진흥자재백화점</v>
      </c>
      <c r="Q45" s="118" t="str">
        <v>010-7511-6954</v>
      </c>
      <c r="R45" s="118">
        <v>0</v>
      </c>
      <c r="S45" s="118" t="str">
        <v>경북 경주시 산내면 의곡중앙길 6</v>
      </c>
      <c r="T45" s="224">
        <v>0</v>
      </c>
      <c r="U45" s="224">
        <v>0</v>
      </c>
      <c r="V45" s="224">
        <v>0</v>
      </c>
      <c r="W45" s="217">
        <v>0</v>
      </c>
      <c r="X45" s="217">
        <v>0</v>
      </c>
      <c r="Y45" s="217">
        <v>0</v>
      </c>
      <c r="Z45" s="217">
        <v>0</v>
      </c>
      <c r="AA45" s="217">
        <v>0</v>
      </c>
      <c r="AB45" s="217">
        <v>0</v>
      </c>
      <c r="AC45" s="217">
        <v>0</v>
      </c>
      <c r="AD45" s="118" t="str">
        <v>대표</v>
      </c>
      <c r="AE45" s="224" t="str">
        <v>재구매</v>
      </c>
      <c r="AF45" s="217">
        <v>0</v>
      </c>
      <c r="AG45" s="217">
        <v>0</v>
      </c>
      <c r="AH45" s="217">
        <v>0</v>
      </c>
      <c r="AI45" s="217">
        <v>0</v>
      </c>
      <c r="AJ45" s="217">
        <v>0</v>
      </c>
      <c r="AK45" s="217">
        <v>0</v>
      </c>
      <c r="AL45" s="227">
        <v>0</v>
      </c>
      <c r="AM45" s="224">
        <v>0</v>
      </c>
      <c r="AN45" s="118" t="str">
        <v>ptDB47</v>
      </c>
      <c r="AO45" s="264">
        <v>0</v>
      </c>
      <c r="AP45" s="217">
        <v>0</v>
      </c>
      <c r="AQ45" s="217">
        <v>0</v>
      </c>
      <c r="AR45" s="217">
        <v>0</v>
      </c>
      <c r="AS45" s="217">
        <v>0</v>
      </c>
      <c r="AT45" s="227">
        <v>0</v>
      </c>
      <c r="AU45" s="224" t="str">
        <v/>
      </c>
      <c r="AV45" s="264">
        <v>0</v>
      </c>
      <c r="AW45" s="118">
        <v>0</v>
      </c>
    </row>
    <row r="46" spans="1:49">
      <c r="A46" s="118">
        <v>116</v>
      </c>
      <c r="B46" s="118" t="str">
        <v>비닐팩토리</v>
      </c>
      <c r="C46" s="211">
        <v>45454</v>
      </c>
      <c r="D46" s="118" t="str">
        <v>45470376</v>
      </c>
      <c r="E46" s="118" t="str">
        <v>대표</v>
      </c>
      <c r="F46" s="118">
        <v>0</v>
      </c>
      <c r="G46" s="118">
        <v>0</v>
      </c>
      <c r="H46" s="118">
        <v>0</v>
      </c>
      <c r="I46" s="211">
        <v>45454</v>
      </c>
      <c r="J46" s="118" t="str">
        <v>CJ대한통운</v>
      </c>
      <c r="K46" s="118" t="str">
        <v>540218442066</v>
      </c>
      <c r="L46" s="211">
        <v>0</v>
      </c>
      <c r="M46" s="118" t="str">
        <v>SE.1000</v>
      </c>
      <c r="N46" s="118" t="str">
        <v>투명</v>
      </c>
      <c r="O46" s="118">
        <v>1</v>
      </c>
      <c r="P46" s="118" t="str">
        <v>알프스채소</v>
      </c>
      <c r="Q46" s="118" t="str">
        <v>010-9321-7001</v>
      </c>
      <c r="R46" s="118">
        <v>0</v>
      </c>
      <c r="S46" s="118" t="str">
        <v>울산 울주군 언양읍 남부리 336-14 공설시장안쪽</v>
      </c>
      <c r="T46" s="224">
        <v>0</v>
      </c>
      <c r="U46" s="224">
        <v>0</v>
      </c>
      <c r="V46" s="224">
        <v>0</v>
      </c>
      <c r="W46" s="217">
        <v>0</v>
      </c>
      <c r="X46" s="217">
        <v>0</v>
      </c>
      <c r="Y46" s="217">
        <v>0</v>
      </c>
      <c r="Z46" s="217">
        <v>0</v>
      </c>
      <c r="AA46" s="217">
        <v>0</v>
      </c>
      <c r="AB46" s="217">
        <v>0</v>
      </c>
      <c r="AC46" s="217">
        <v>0</v>
      </c>
      <c r="AD46" s="118" t="str">
        <v>대표</v>
      </c>
      <c r="AE46" s="224" t="str">
        <v>재구매</v>
      </c>
      <c r="AF46" s="217">
        <v>0</v>
      </c>
      <c r="AG46" s="217">
        <v>0</v>
      </c>
      <c r="AH46" s="217">
        <v>0</v>
      </c>
      <c r="AI46" s="217">
        <v>0</v>
      </c>
      <c r="AJ46" s="217">
        <v>0</v>
      </c>
      <c r="AK46" s="217">
        <v>0</v>
      </c>
      <c r="AL46" s="227">
        <v>0</v>
      </c>
      <c r="AM46" s="224">
        <v>0</v>
      </c>
      <c r="AN46" s="118" t="str">
        <v>ptDB47</v>
      </c>
      <c r="AO46" s="264">
        <v>0</v>
      </c>
      <c r="AP46" s="217">
        <v>0</v>
      </c>
      <c r="AQ46" s="217">
        <v>0</v>
      </c>
      <c r="AR46" s="217">
        <v>0</v>
      </c>
      <c r="AS46" s="217">
        <v>0</v>
      </c>
      <c r="AT46" s="227">
        <v>0</v>
      </c>
      <c r="AU46" s="224" t="str">
        <v/>
      </c>
      <c r="AV46" s="264">
        <v>0</v>
      </c>
      <c r="AW46" s="118">
        <v>0</v>
      </c>
    </row>
    <row r="47" spans="1:49">
      <c r="A47" s="118">
        <v>117</v>
      </c>
      <c r="B47" s="118" t="str">
        <v>비닐팩토리</v>
      </c>
      <c r="C47" s="211">
        <v>45454</v>
      </c>
      <c r="D47" s="118" t="str">
        <v>45470581</v>
      </c>
      <c r="E47" s="118" t="str">
        <v>대표</v>
      </c>
      <c r="F47" s="118">
        <v>0</v>
      </c>
      <c r="G47" s="118">
        <v>0</v>
      </c>
      <c r="H47" s="118">
        <v>0</v>
      </c>
      <c r="I47" s="211">
        <v>45454</v>
      </c>
      <c r="J47" s="118" t="str">
        <v>CJ대한통운</v>
      </c>
      <c r="K47" s="118" t="str">
        <v>540218442103</v>
      </c>
      <c r="L47" s="211">
        <v>0</v>
      </c>
      <c r="M47" s="118" t="str">
        <v>SE.1000</v>
      </c>
      <c r="N47" s="118" t="str">
        <v>투명</v>
      </c>
      <c r="O47" s="118">
        <v>1</v>
      </c>
      <c r="P47" s="118" t="str">
        <v>진흥자재백화점</v>
      </c>
      <c r="Q47" s="118" t="str">
        <v>010-7511-6954</v>
      </c>
      <c r="R47" s="118">
        <v>0</v>
      </c>
      <c r="S47" s="118" t="str">
        <v>경북 경주시 산내면 의곡중앙길 6</v>
      </c>
      <c r="T47" s="224">
        <v>0</v>
      </c>
      <c r="U47" s="224">
        <v>0</v>
      </c>
      <c r="V47" s="224">
        <v>0</v>
      </c>
      <c r="W47" s="217">
        <v>0</v>
      </c>
      <c r="X47" s="217">
        <v>0</v>
      </c>
      <c r="Y47" s="217">
        <v>0</v>
      </c>
      <c r="Z47" s="217">
        <v>0</v>
      </c>
      <c r="AA47" s="217">
        <v>0</v>
      </c>
      <c r="AB47" s="217">
        <v>0</v>
      </c>
      <c r="AC47" s="217">
        <v>0</v>
      </c>
      <c r="AD47" s="118" t="str">
        <v>대표</v>
      </c>
      <c r="AE47" s="224" t="str">
        <v>재구매</v>
      </c>
      <c r="AF47" s="217">
        <v>0</v>
      </c>
      <c r="AG47" s="217">
        <v>0</v>
      </c>
      <c r="AH47" s="217">
        <v>0</v>
      </c>
      <c r="AI47" s="217">
        <v>0</v>
      </c>
      <c r="AJ47" s="217">
        <v>0</v>
      </c>
      <c r="AK47" s="217">
        <v>0</v>
      </c>
      <c r="AL47" s="227">
        <v>0</v>
      </c>
      <c r="AM47" s="224">
        <v>0</v>
      </c>
      <c r="AN47" s="118" t="str">
        <v>ptDB47</v>
      </c>
      <c r="AO47" s="264">
        <v>0</v>
      </c>
      <c r="AP47" s="217">
        <v>0</v>
      </c>
      <c r="AQ47" s="217">
        <v>0</v>
      </c>
      <c r="AR47" s="217">
        <v>0</v>
      </c>
      <c r="AS47" s="217">
        <v>0</v>
      </c>
      <c r="AT47" s="227">
        <v>0</v>
      </c>
      <c r="AU47" s="224" t="str">
        <v/>
      </c>
      <c r="AV47" s="264">
        <v>0</v>
      </c>
      <c r="AW47" s="118">
        <v>0</v>
      </c>
    </row>
    <row r="48" spans="1:49">
      <c r="A48" s="118">
        <v>118</v>
      </c>
      <c r="B48" s="118" t="str">
        <v>비닐팩토리</v>
      </c>
      <c r="C48" s="211">
        <v>45454</v>
      </c>
      <c r="D48" s="118" t="str">
        <v>45470272</v>
      </c>
      <c r="E48" s="118" t="str">
        <v>대표</v>
      </c>
      <c r="F48" s="118">
        <v>0</v>
      </c>
      <c r="G48" s="118">
        <v>0</v>
      </c>
      <c r="H48" s="118">
        <v>0</v>
      </c>
      <c r="I48" s="211">
        <v>45454</v>
      </c>
      <c r="J48" s="118" t="str">
        <v>CJ대한통운</v>
      </c>
      <c r="K48" s="118" t="str">
        <v>540218442173</v>
      </c>
      <c r="L48" s="211">
        <v>0</v>
      </c>
      <c r="M48" s="118" t="str">
        <v>SE.1000</v>
      </c>
      <c r="N48" s="118" t="str">
        <v>투명</v>
      </c>
      <c r="O48" s="118">
        <v>1</v>
      </c>
      <c r="P48" s="118" t="str">
        <v>경북고추방앗간</v>
      </c>
      <c r="Q48" s="118" t="str">
        <v>010-3539-1432</v>
      </c>
      <c r="R48" s="118">
        <v>0</v>
      </c>
      <c r="S48" s="118" t="str">
        <v>대구 달성군 유가읍 유가길 5 경북고추방앗간</v>
      </c>
      <c r="T48" s="224">
        <v>0</v>
      </c>
      <c r="U48" s="224">
        <v>0</v>
      </c>
      <c r="V48" s="224">
        <v>0</v>
      </c>
      <c r="W48" s="217">
        <v>0</v>
      </c>
      <c r="X48" s="217">
        <v>0</v>
      </c>
      <c r="Y48" s="217">
        <v>0</v>
      </c>
      <c r="Z48" s="217">
        <v>0</v>
      </c>
      <c r="AA48" s="217">
        <v>0</v>
      </c>
      <c r="AB48" s="217">
        <v>0</v>
      </c>
      <c r="AC48" s="217">
        <v>0</v>
      </c>
      <c r="AD48" s="118" t="str">
        <v>대표</v>
      </c>
      <c r="AE48" s="224" t="str">
        <v>재구매</v>
      </c>
      <c r="AF48" s="217">
        <v>0</v>
      </c>
      <c r="AG48" s="217">
        <v>0</v>
      </c>
      <c r="AH48" s="217">
        <v>0</v>
      </c>
      <c r="AI48" s="217">
        <v>0</v>
      </c>
      <c r="AJ48" s="217">
        <v>0</v>
      </c>
      <c r="AK48" s="217">
        <v>0</v>
      </c>
      <c r="AL48" s="227">
        <v>0</v>
      </c>
      <c r="AM48" s="224">
        <v>0</v>
      </c>
      <c r="AN48" s="118" t="str">
        <v>ptDB47</v>
      </c>
      <c r="AO48" s="264">
        <v>1</v>
      </c>
      <c r="AP48" s="217">
        <v>0</v>
      </c>
      <c r="AQ48" s="217">
        <v>0</v>
      </c>
      <c r="AR48" s="217">
        <v>0</v>
      </c>
      <c r="AS48" s="217">
        <v>0</v>
      </c>
      <c r="AT48" s="227">
        <v>0</v>
      </c>
      <c r="AU48" s="224" t="str">
        <v/>
      </c>
      <c r="AV48" s="264">
        <v>0</v>
      </c>
      <c r="AW48" s="118">
        <v>0</v>
      </c>
    </row>
    <row r="49" spans="1:49">
      <c r="A49" s="118">
        <v>119</v>
      </c>
      <c r="B49" s="118" t="str">
        <v>비닐팩토리</v>
      </c>
      <c r="C49" s="211">
        <v>45454</v>
      </c>
      <c r="D49" s="118" t="str">
        <v>45470139</v>
      </c>
      <c r="E49" s="118" t="str">
        <v>대표</v>
      </c>
      <c r="F49" s="118">
        <v>0</v>
      </c>
      <c r="G49" s="118">
        <v>0</v>
      </c>
      <c r="H49" s="118">
        <v>0</v>
      </c>
      <c r="I49" s="211">
        <v>45454</v>
      </c>
      <c r="J49" s="118" t="str">
        <v>CJ대한통운</v>
      </c>
      <c r="K49" s="118" t="str">
        <v>530219497014</v>
      </c>
      <c r="L49" s="211">
        <v>0</v>
      </c>
      <c r="M49" s="118" t="str">
        <v>SE.1000</v>
      </c>
      <c r="N49" s="118" t="str">
        <v>투명</v>
      </c>
      <c r="O49" s="118">
        <v>1</v>
      </c>
      <c r="P49" s="118" t="str">
        <v>제일농수산(만대로)</v>
      </c>
      <c r="Q49" s="118" t="str">
        <v>010-4194-9303</v>
      </c>
      <c r="R49" s="118">
        <v>0</v>
      </c>
      <c r="S49" s="118" t="str">
        <v>강원특별자치도 원주시 만대로 119 (원주무실6단지휴먼시아) 604동 101호</v>
      </c>
      <c r="T49" s="224">
        <v>0</v>
      </c>
      <c r="U49" s="224">
        <v>0</v>
      </c>
      <c r="V49" s="224">
        <v>0</v>
      </c>
      <c r="W49" s="217">
        <v>0</v>
      </c>
      <c r="X49" s="217">
        <v>0</v>
      </c>
      <c r="Y49" s="217">
        <v>0</v>
      </c>
      <c r="Z49" s="217">
        <v>0</v>
      </c>
      <c r="AA49" s="217">
        <v>0</v>
      </c>
      <c r="AB49" s="217">
        <v>0</v>
      </c>
      <c r="AC49" s="217">
        <v>0</v>
      </c>
      <c r="AD49" s="118" t="str">
        <v>대표</v>
      </c>
      <c r="AE49" s="224" t="str">
        <v>재구매</v>
      </c>
      <c r="AF49" s="217">
        <v>0</v>
      </c>
      <c r="AG49" s="217">
        <v>0</v>
      </c>
      <c r="AH49" s="217">
        <v>0</v>
      </c>
      <c r="AI49" s="217">
        <v>0</v>
      </c>
      <c r="AJ49" s="217">
        <v>0</v>
      </c>
      <c r="AK49" s="217">
        <v>0</v>
      </c>
      <c r="AL49" s="227">
        <v>0</v>
      </c>
      <c r="AM49" s="224">
        <v>0</v>
      </c>
      <c r="AN49" s="118" t="str">
        <v>ptDB47</v>
      </c>
      <c r="AO49" s="264">
        <v>0</v>
      </c>
      <c r="AP49" s="217">
        <v>0</v>
      </c>
      <c r="AQ49" s="217">
        <v>0</v>
      </c>
      <c r="AR49" s="217">
        <v>0</v>
      </c>
      <c r="AS49" s="217">
        <v>0</v>
      </c>
      <c r="AT49" s="227">
        <v>0</v>
      </c>
      <c r="AU49" s="224" t="str">
        <v/>
      </c>
      <c r="AV49" s="264">
        <v>0</v>
      </c>
      <c r="AW49" s="118">
        <v>0</v>
      </c>
    </row>
    <row r="50" spans="1:49">
      <c r="A50" s="118">
        <v>120</v>
      </c>
      <c r="B50" s="118" t="str">
        <v>비닐팩토리</v>
      </c>
      <c r="C50" s="211">
        <v>45454</v>
      </c>
      <c r="D50" s="118" t="str">
        <v>45470873</v>
      </c>
      <c r="E50" s="118" t="str">
        <v>대표</v>
      </c>
      <c r="F50" s="118">
        <v>0</v>
      </c>
      <c r="G50" s="118">
        <v>0</v>
      </c>
      <c r="H50" s="118">
        <v>0</v>
      </c>
      <c r="I50" s="211">
        <v>45454</v>
      </c>
      <c r="J50" s="118" t="str">
        <v>CJ대한통운</v>
      </c>
      <c r="K50" s="118" t="str">
        <v>540218431920</v>
      </c>
      <c r="L50" s="211">
        <v>0</v>
      </c>
      <c r="M50" s="118" t="str">
        <v>SE.1000</v>
      </c>
      <c r="N50" s="118" t="str">
        <v>투명</v>
      </c>
      <c r="O50" s="118">
        <v>1</v>
      </c>
      <c r="P50" s="118" t="str">
        <v>제일농수산(만대로)</v>
      </c>
      <c r="Q50" s="118" t="str">
        <v>010-4194-9303</v>
      </c>
      <c r="R50" s="118">
        <v>0</v>
      </c>
      <c r="S50" s="118" t="str">
        <v>강원특별자치도 원주시 만대로 119 (원주무실6단지휴먼시아) 604동 101호</v>
      </c>
      <c r="T50" s="224">
        <v>0</v>
      </c>
      <c r="U50" s="224">
        <v>0</v>
      </c>
      <c r="V50" s="224">
        <v>0</v>
      </c>
      <c r="W50" s="217">
        <v>0</v>
      </c>
      <c r="X50" s="217">
        <v>0</v>
      </c>
      <c r="Y50" s="217">
        <v>0</v>
      </c>
      <c r="Z50" s="217">
        <v>0</v>
      </c>
      <c r="AA50" s="217">
        <v>0</v>
      </c>
      <c r="AB50" s="217">
        <v>0</v>
      </c>
      <c r="AC50" s="217">
        <v>0</v>
      </c>
      <c r="AD50" s="118" t="str">
        <v>대표</v>
      </c>
      <c r="AE50" s="224" t="str">
        <v>재구매</v>
      </c>
      <c r="AF50" s="217">
        <v>0</v>
      </c>
      <c r="AG50" s="217">
        <v>0</v>
      </c>
      <c r="AH50" s="217">
        <v>0</v>
      </c>
      <c r="AI50" s="217">
        <v>0</v>
      </c>
      <c r="AJ50" s="217">
        <v>0</v>
      </c>
      <c r="AK50" s="217">
        <v>0</v>
      </c>
      <c r="AL50" s="227">
        <v>0</v>
      </c>
      <c r="AM50" s="224">
        <v>0</v>
      </c>
      <c r="AN50" s="118" t="str">
        <v>ptDB47</v>
      </c>
      <c r="AO50" s="264">
        <v>0</v>
      </c>
      <c r="AP50" s="217">
        <v>0</v>
      </c>
      <c r="AQ50" s="217">
        <v>0</v>
      </c>
      <c r="AR50" s="217">
        <v>0</v>
      </c>
      <c r="AS50" s="217">
        <v>0</v>
      </c>
      <c r="AT50" s="227">
        <v>0</v>
      </c>
      <c r="AU50" s="224" t="str">
        <v/>
      </c>
      <c r="AV50" s="264">
        <v>0</v>
      </c>
      <c r="AW50" s="118">
        <v>0</v>
      </c>
    </row>
    <row r="51" spans="1:49">
      <c r="A51" s="118">
        <v>121</v>
      </c>
      <c r="B51" s="118" t="str">
        <v>비닐팩토리</v>
      </c>
      <c r="C51" s="211">
        <v>45454</v>
      </c>
      <c r="D51" s="118" t="str">
        <v>45470966</v>
      </c>
      <c r="E51" s="118" t="str">
        <v>대표</v>
      </c>
      <c r="F51" s="118">
        <v>0</v>
      </c>
      <c r="G51" s="118">
        <v>0</v>
      </c>
      <c r="H51" s="118">
        <v>0</v>
      </c>
      <c r="I51" s="211">
        <v>45454</v>
      </c>
      <c r="J51" s="118" t="str">
        <v>CJ대한통운</v>
      </c>
      <c r="K51" s="118" t="str">
        <v>540218431964</v>
      </c>
      <c r="L51" s="211">
        <v>0</v>
      </c>
      <c r="M51" s="118" t="str">
        <v>SE.1000</v>
      </c>
      <c r="N51" s="118" t="str">
        <v>투명</v>
      </c>
      <c r="O51" s="118">
        <v>1</v>
      </c>
      <c r="P51" s="118" t="str">
        <v>제일농수산(만대로)</v>
      </c>
      <c r="Q51" s="118" t="str">
        <v>010-4194-9303</v>
      </c>
      <c r="R51" s="118">
        <v>0</v>
      </c>
      <c r="S51" s="118" t="str">
        <v>강원특별자치도 원주시 만대로 119 (원주무실6단지휴먼시아) 604동 101호</v>
      </c>
      <c r="T51" s="224">
        <v>0</v>
      </c>
      <c r="U51" s="224">
        <v>0</v>
      </c>
      <c r="V51" s="224">
        <v>0</v>
      </c>
      <c r="W51" s="217">
        <v>0</v>
      </c>
      <c r="X51" s="217">
        <v>0</v>
      </c>
      <c r="Y51" s="217">
        <v>0</v>
      </c>
      <c r="Z51" s="217">
        <v>0</v>
      </c>
      <c r="AA51" s="217">
        <v>0</v>
      </c>
      <c r="AB51" s="217">
        <v>0</v>
      </c>
      <c r="AC51" s="217">
        <v>0</v>
      </c>
      <c r="AD51" s="118" t="str">
        <v>대표</v>
      </c>
      <c r="AE51" s="224" t="str">
        <v>재구매</v>
      </c>
      <c r="AF51" s="217">
        <v>0</v>
      </c>
      <c r="AG51" s="217">
        <v>0</v>
      </c>
      <c r="AH51" s="217">
        <v>0</v>
      </c>
      <c r="AI51" s="217">
        <v>0</v>
      </c>
      <c r="AJ51" s="217">
        <v>0</v>
      </c>
      <c r="AK51" s="217">
        <v>0</v>
      </c>
      <c r="AL51" s="227">
        <v>0</v>
      </c>
      <c r="AM51" s="224">
        <v>0</v>
      </c>
      <c r="AN51" s="118" t="str">
        <v>ptDB47</v>
      </c>
      <c r="AO51" s="264">
        <v>0</v>
      </c>
      <c r="AP51" s="217">
        <v>0</v>
      </c>
      <c r="AQ51" s="217">
        <v>0</v>
      </c>
      <c r="AR51" s="217">
        <v>0</v>
      </c>
      <c r="AS51" s="217">
        <v>0</v>
      </c>
      <c r="AT51" s="227">
        <v>0</v>
      </c>
      <c r="AU51" s="224" t="str">
        <v/>
      </c>
      <c r="AV51" s="264">
        <v>0</v>
      </c>
      <c r="AW51" s="118">
        <v>0</v>
      </c>
    </row>
    <row r="52" spans="1:49">
      <c r="A52" s="118">
        <v>135</v>
      </c>
      <c r="B52" s="118" t="str">
        <v>비닐팩토리</v>
      </c>
      <c r="C52" s="211">
        <v>45453</v>
      </c>
      <c r="D52" s="118" t="str">
        <v>2024061023906341</v>
      </c>
      <c r="E52" s="118" t="str">
        <v>스마트 스토어</v>
      </c>
      <c r="F52" s="118" t="str">
        <v>손현주</v>
      </c>
      <c r="G52" s="118" t="str">
        <v>boy8****</v>
      </c>
      <c r="H52" s="118" t="str">
        <v>010-9558-1417</v>
      </c>
      <c r="I52" s="211">
        <v>45454</v>
      </c>
      <c r="J52" s="118" t="str">
        <v>CJ대한통운</v>
      </c>
      <c r="K52" s="118" t="str">
        <v>540218123824</v>
      </c>
      <c r="L52" s="211">
        <v>0</v>
      </c>
      <c r="M52" s="118" t="str">
        <v>SE.303</v>
      </c>
      <c r="N52" s="118" t="str">
        <v>투명</v>
      </c>
      <c r="O52" s="118">
        <v>2</v>
      </c>
      <c r="P52" s="118" t="str">
        <v>손현주</v>
      </c>
      <c r="Q52" s="118" t="str">
        <v>010-9558-1417</v>
      </c>
      <c r="R52" s="118">
        <v>0</v>
      </c>
      <c r="S52" s="118" t="str">
        <v>경상북도 청도군 풍각면 송서로 63 (풍각면) 손가네식품</v>
      </c>
      <c r="T52" s="224">
        <v>0</v>
      </c>
      <c r="U52" s="224">
        <v>0</v>
      </c>
      <c r="V52" s="224">
        <v>0</v>
      </c>
      <c r="W52" s="217">
        <v>43840</v>
      </c>
      <c r="X52" s="217">
        <v>0</v>
      </c>
      <c r="Y52" s="217">
        <v>0</v>
      </c>
      <c r="Z52" s="217">
        <v>4400</v>
      </c>
      <c r="AA52" s="217">
        <v>0</v>
      </c>
      <c r="AB52" s="217">
        <v>0</v>
      </c>
      <c r="AC52" s="217">
        <v>0</v>
      </c>
      <c r="AD52" s="118" t="str">
        <v>떡외겹 25*25</v>
      </c>
      <c r="AE52" s="224">
        <v>0</v>
      </c>
      <c r="AF52" s="217">
        <v>21920</v>
      </c>
      <c r="AG52" s="217">
        <v>15070</v>
      </c>
      <c r="AH52" s="217">
        <v>43840</v>
      </c>
      <c r="AI52" s="217">
        <v>0</v>
      </c>
      <c r="AJ52" s="217">
        <v>2283</v>
      </c>
      <c r="AK52" s="217">
        <v>0</v>
      </c>
      <c r="AL52" s="227">
        <v>0</v>
      </c>
      <c r="AM52" s="224">
        <v>0</v>
      </c>
      <c r="AN52" s="118" t="str">
        <v>ptDB47</v>
      </c>
      <c r="AO52" s="264">
        <v>0</v>
      </c>
      <c r="AP52" s="217">
        <v>43840</v>
      </c>
      <c r="AQ52" s="217">
        <v>0</v>
      </c>
      <c r="AR52" s="217">
        <v>2283</v>
      </c>
      <c r="AS52" s="217">
        <v>0</v>
      </c>
      <c r="AT52" s="227">
        <v>0</v>
      </c>
      <c r="AU52" s="224" t="str">
        <v/>
      </c>
      <c r="AV52" s="264">
        <v>0</v>
      </c>
      <c r="AW52" s="118">
        <v>30140</v>
      </c>
    </row>
    <row r="53" spans="1:49">
      <c r="A53" s="118">
        <v>136</v>
      </c>
      <c r="B53" s="118" t="str">
        <v>비닐팩토리</v>
      </c>
      <c r="C53" s="211">
        <v>45453</v>
      </c>
      <c r="D53" s="118" t="str">
        <v>2024061021846441</v>
      </c>
      <c r="E53" s="118" t="str">
        <v>스마트 스토어</v>
      </c>
      <c r="F53" s="118" t="str">
        <v>김성엽</v>
      </c>
      <c r="G53" s="118" t="str">
        <v>yeop****</v>
      </c>
      <c r="H53" s="118" t="str">
        <v>010-9372-6698</v>
      </c>
      <c r="I53" s="211">
        <v>45454</v>
      </c>
      <c r="J53" s="118" t="str">
        <v>CJ대한통운</v>
      </c>
      <c r="K53" s="118" t="str">
        <v>530219199912</v>
      </c>
      <c r="L53" s="211">
        <v>0</v>
      </c>
      <c r="M53" s="118" t="str">
        <v>SE.205</v>
      </c>
      <c r="N53" s="118" t="str">
        <v>투명</v>
      </c>
      <c r="O53" s="118">
        <v>1</v>
      </c>
      <c r="P53" s="118" t="str">
        <v>윌로우(주)</v>
      </c>
      <c r="Q53" s="118" t="str">
        <v>010-9372-6698</v>
      </c>
      <c r="R53" s="118">
        <v>0</v>
      </c>
      <c r="S53" s="118" t="str">
        <v>경기도 수원시 장안구 수성로261번길 16 (정자동, 정자종합시장) 제 4층 409호 윌로우(주)</v>
      </c>
      <c r="T53" s="224">
        <v>0</v>
      </c>
      <c r="U53" s="224">
        <v>0</v>
      </c>
      <c r="V53" s="224">
        <v>0</v>
      </c>
      <c r="W53" s="217">
        <v>24000</v>
      </c>
      <c r="X53" s="217">
        <v>0</v>
      </c>
      <c r="Y53" s="217">
        <v>3000</v>
      </c>
      <c r="Z53" s="217">
        <v>3500</v>
      </c>
      <c r="AA53" s="217">
        <v>0</v>
      </c>
      <c r="AB53" s="217">
        <v>0</v>
      </c>
      <c r="AC53" s="217">
        <v>0</v>
      </c>
      <c r="AD53" s="118" t="str">
        <v>떡롤 35*400</v>
      </c>
      <c r="AE53" s="224">
        <v>0</v>
      </c>
      <c r="AF53" s="217">
        <v>24000</v>
      </c>
      <c r="AG53" s="217">
        <v>16500</v>
      </c>
      <c r="AH53" s="217">
        <v>27000</v>
      </c>
      <c r="AI53" s="217">
        <v>0</v>
      </c>
      <c r="AJ53" s="217">
        <v>1375</v>
      </c>
      <c r="AK53" s="217">
        <v>0</v>
      </c>
      <c r="AL53" s="227">
        <v>0</v>
      </c>
      <c r="AM53" s="224">
        <v>0</v>
      </c>
      <c r="AN53" s="118" t="str">
        <v>ptDB47</v>
      </c>
      <c r="AO53" s="264">
        <v>0</v>
      </c>
      <c r="AP53" s="217">
        <v>27000</v>
      </c>
      <c r="AQ53" s="217">
        <v>0</v>
      </c>
      <c r="AR53" s="217">
        <v>1375</v>
      </c>
      <c r="AS53" s="217">
        <v>0</v>
      </c>
      <c r="AT53" s="227">
        <v>0</v>
      </c>
      <c r="AU53" s="224" t="str">
        <v/>
      </c>
      <c r="AV53" s="264">
        <v>0</v>
      </c>
      <c r="AW53" s="118">
        <v>16500</v>
      </c>
    </row>
    <row r="54" spans="1:49">
      <c r="A54" s="118">
        <v>137</v>
      </c>
      <c r="B54" s="118" t="str">
        <v>비닐팩토리</v>
      </c>
      <c r="C54" s="211">
        <v>45453</v>
      </c>
      <c r="D54" s="118" t="str">
        <v>2024061017985051</v>
      </c>
      <c r="E54" s="118" t="str">
        <v>스마트 스토어</v>
      </c>
      <c r="F54" s="118" t="str">
        <v>최슬기</v>
      </c>
      <c r="G54" s="118" t="str">
        <v>seul****</v>
      </c>
      <c r="H54" s="118" t="str">
        <v>010-8420-5958</v>
      </c>
      <c r="I54" s="211">
        <v>45454</v>
      </c>
      <c r="J54" s="118" t="str">
        <v>CJ대한통운</v>
      </c>
      <c r="K54" s="118" t="str">
        <v>530219199831</v>
      </c>
      <c r="L54" s="211">
        <v>0</v>
      </c>
      <c r="M54" s="118" t="str">
        <v>SE.303</v>
      </c>
      <c r="N54" s="118" t="str">
        <v>투명</v>
      </c>
      <c r="O54" s="118">
        <v>1</v>
      </c>
      <c r="P54" s="118" t="str">
        <v>최슬기</v>
      </c>
      <c r="Q54" s="118" t="str">
        <v>010-8420-5958</v>
      </c>
      <c r="R54" s="118">
        <v>0</v>
      </c>
      <c r="S54" s="118" t="str">
        <v>경상남도 진주시 가호방아길43번길 32 (호탄동) 진주 금곡농협 로컬푸드 안 반찬가게</v>
      </c>
      <c r="T54" s="224">
        <v>0</v>
      </c>
      <c r="U54" s="224">
        <v>0</v>
      </c>
      <c r="V54" s="224">
        <v>0</v>
      </c>
      <c r="W54" s="217">
        <v>21920</v>
      </c>
      <c r="X54" s="217">
        <v>0</v>
      </c>
      <c r="Y54" s="217">
        <v>3000</v>
      </c>
      <c r="Z54" s="217">
        <v>3500</v>
      </c>
      <c r="AA54" s="217">
        <v>0</v>
      </c>
      <c r="AB54" s="217">
        <v>0</v>
      </c>
      <c r="AC54" s="217">
        <v>0</v>
      </c>
      <c r="AD54" s="118" t="str">
        <v>떡외겹 25*25</v>
      </c>
      <c r="AE54" s="224">
        <v>0</v>
      </c>
      <c r="AF54" s="217">
        <v>21920</v>
      </c>
      <c r="AG54" s="217">
        <v>15070</v>
      </c>
      <c r="AH54" s="217">
        <v>24920</v>
      </c>
      <c r="AI54" s="217">
        <v>0</v>
      </c>
      <c r="AJ54" s="217">
        <v>1270</v>
      </c>
      <c r="AK54" s="217">
        <v>0</v>
      </c>
      <c r="AL54" s="227">
        <v>0</v>
      </c>
      <c r="AM54" s="224">
        <v>0</v>
      </c>
      <c r="AN54" s="118" t="str">
        <v>ptDB47</v>
      </c>
      <c r="AO54" s="264">
        <v>0</v>
      </c>
      <c r="AP54" s="217">
        <v>24920</v>
      </c>
      <c r="AQ54" s="217">
        <v>0</v>
      </c>
      <c r="AR54" s="217">
        <v>1270</v>
      </c>
      <c r="AS54" s="217">
        <v>0</v>
      </c>
      <c r="AT54" s="227">
        <v>0</v>
      </c>
      <c r="AU54" s="224" t="str">
        <v/>
      </c>
      <c r="AV54" s="264">
        <v>0</v>
      </c>
      <c r="AW54" s="118">
        <v>15070</v>
      </c>
    </row>
    <row r="55" spans="1:49">
      <c r="A55" s="118">
        <v>138</v>
      </c>
      <c r="B55" s="118" t="str">
        <v>비닐팩토리</v>
      </c>
      <c r="C55" s="211">
        <v>45455</v>
      </c>
      <c r="D55" s="118" t="str">
        <v>45470808</v>
      </c>
      <c r="E55" s="118" t="str">
        <v>대표</v>
      </c>
      <c r="F55" s="118">
        <v>0</v>
      </c>
      <c r="G55" s="118">
        <v>0</v>
      </c>
      <c r="H55" s="118">
        <v>0</v>
      </c>
      <c r="I55" s="211">
        <v>45455</v>
      </c>
      <c r="J55" s="118" t="str">
        <v>CJ대한통운</v>
      </c>
      <c r="K55" s="118" t="str">
        <v>530220372843</v>
      </c>
      <c r="L55" s="211">
        <v>0</v>
      </c>
      <c r="M55" s="118" t="str">
        <v>SE.1000</v>
      </c>
      <c r="N55" s="118" t="str">
        <v>투명</v>
      </c>
      <c r="O55" s="118">
        <v>1</v>
      </c>
      <c r="P55" s="118" t="str">
        <v>최윤애</v>
      </c>
      <c r="Q55" s="118" t="str">
        <v>010-3358-2715</v>
      </c>
      <c r="R55" s="118">
        <v>0</v>
      </c>
      <c r="S55" s="118" t="str">
        <v>강원특별자치도 원주시 지정면 신지정로 153-2</v>
      </c>
      <c r="T55" s="224">
        <v>0</v>
      </c>
      <c r="U55" s="224">
        <v>0</v>
      </c>
      <c r="V55" s="224">
        <v>0</v>
      </c>
      <c r="W55" s="217">
        <v>0</v>
      </c>
      <c r="X55" s="217">
        <v>0</v>
      </c>
      <c r="Y55" s="217">
        <v>0</v>
      </c>
      <c r="Z55" s="217">
        <v>4400</v>
      </c>
      <c r="AA55" s="217">
        <v>0</v>
      </c>
      <c r="AB55" s="217">
        <v>0</v>
      </c>
      <c r="AC55" s="217">
        <v>0</v>
      </c>
      <c r="AD55" s="118" t="str">
        <v>대표</v>
      </c>
      <c r="AE55" s="224" t="str">
        <v>재구매</v>
      </c>
      <c r="AF55" s="217">
        <v>0</v>
      </c>
      <c r="AG55" s="217">
        <v>0</v>
      </c>
      <c r="AH55" s="217">
        <v>0</v>
      </c>
      <c r="AI55" s="217">
        <v>0</v>
      </c>
      <c r="AJ55" s="217">
        <v>0</v>
      </c>
      <c r="AK55" s="217">
        <v>0</v>
      </c>
      <c r="AL55" s="227">
        <v>0</v>
      </c>
      <c r="AM55" s="224">
        <v>0</v>
      </c>
      <c r="AN55" s="118" t="str">
        <v>ptDB47</v>
      </c>
      <c r="AO55" s="264">
        <v>0</v>
      </c>
      <c r="AP55" s="217">
        <v>0</v>
      </c>
      <c r="AQ55" s="217">
        <v>0</v>
      </c>
      <c r="AR55" s="217">
        <v>0</v>
      </c>
      <c r="AS55" s="217">
        <v>0</v>
      </c>
      <c r="AT55" s="227">
        <v>0</v>
      </c>
      <c r="AU55" s="224" t="str">
        <v/>
      </c>
      <c r="AV55" s="264">
        <v>0</v>
      </c>
      <c r="AW55" s="118">
        <v>0</v>
      </c>
    </row>
    <row r="56" spans="1:49">
      <c r="A56" s="118">
        <v>140</v>
      </c>
      <c r="B56" s="118" t="str">
        <v>비닐팩토리</v>
      </c>
      <c r="C56" s="211">
        <v>45454</v>
      </c>
      <c r="D56" s="118" t="str">
        <v>7100052575971</v>
      </c>
      <c r="E56" s="118" t="str">
        <v>쿠팡</v>
      </c>
      <c r="F56" s="118" t="str">
        <v>김혜진</v>
      </c>
      <c r="G56" s="118" t="str">
        <v>gr*****@na</v>
      </c>
      <c r="H56" s="118" t="str">
        <v>0502-5080-8204</v>
      </c>
      <c r="I56" s="211">
        <v>45455</v>
      </c>
      <c r="J56" s="118" t="str">
        <v>CJ대한통운</v>
      </c>
      <c r="K56" s="118" t="str">
        <v>540219105143</v>
      </c>
      <c r="L56" s="211">
        <v>0</v>
      </c>
      <c r="M56" s="118" t="str">
        <v>SE.303</v>
      </c>
      <c r="N56" s="118" t="str">
        <v>투명</v>
      </c>
      <c r="O56" s="118">
        <v>1</v>
      </c>
      <c r="P56" s="118" t="str">
        <v>김혜진</v>
      </c>
      <c r="Q56" s="118" t="str">
        <v>0502-5080-8204</v>
      </c>
      <c r="R56" s="118">
        <v>0</v>
      </c>
      <c r="S56" s="118" t="str">
        <v>인천광역시 부평구 부평동 134-23 승림아파트7차 101동302호</v>
      </c>
      <c r="T56" s="224" t="str">
        <v>직접 받고 부재 시 문 앞</v>
      </c>
      <c r="U56" s="224">
        <v>0</v>
      </c>
      <c r="V56" s="224">
        <v>0</v>
      </c>
      <c r="W56" s="217">
        <v>23020</v>
      </c>
      <c r="X56" s="217">
        <v>0</v>
      </c>
      <c r="Y56" s="217">
        <v>3000</v>
      </c>
      <c r="Z56" s="217">
        <v>3000</v>
      </c>
      <c r="AA56" s="217">
        <v>0</v>
      </c>
      <c r="AB56" s="217">
        <v>0</v>
      </c>
      <c r="AC56" s="217">
        <v>0</v>
      </c>
      <c r="AD56" s="118" t="str">
        <v>떡외겹 25*25</v>
      </c>
      <c r="AE56" s="224">
        <v>0</v>
      </c>
      <c r="AF56" s="217">
        <v>23020</v>
      </c>
      <c r="AG56" s="217">
        <v>15070</v>
      </c>
      <c r="AH56" s="217">
        <v>26020</v>
      </c>
      <c r="AI56" s="217">
        <v>0</v>
      </c>
      <c r="AJ56" s="217">
        <v>2834</v>
      </c>
      <c r="AK56" s="217">
        <v>0</v>
      </c>
      <c r="AL56" s="227">
        <v>0</v>
      </c>
      <c r="AM56" s="224">
        <v>0</v>
      </c>
      <c r="AN56" s="118" t="str">
        <v>ptDB47</v>
      </c>
      <c r="AO56" s="264">
        <v>0</v>
      </c>
      <c r="AP56" s="217">
        <v>26020</v>
      </c>
      <c r="AQ56" s="217">
        <v>0</v>
      </c>
      <c r="AR56" s="217">
        <v>2834</v>
      </c>
      <c r="AS56" s="217">
        <v>0</v>
      </c>
      <c r="AT56" s="227">
        <v>0</v>
      </c>
      <c r="AU56" s="224" t="str">
        <v/>
      </c>
      <c r="AV56" s="264">
        <v>0</v>
      </c>
      <c r="AW56" s="118">
        <v>15070</v>
      </c>
    </row>
    <row r="57" spans="1:49">
      <c r="A57" s="118">
        <v>143</v>
      </c>
      <c r="B57" s="118" t="str">
        <v>비닐팩토리</v>
      </c>
      <c r="C57" s="211">
        <v>45456</v>
      </c>
      <c r="D57" s="118" t="str">
        <v>2024061356909371</v>
      </c>
      <c r="E57" s="118" t="str">
        <v>스마트 스토어</v>
      </c>
      <c r="F57" s="118" t="str">
        <v>윤현진</v>
      </c>
      <c r="G57" s="118" t="str">
        <v>hyun****</v>
      </c>
      <c r="H57" s="118" t="str">
        <v>010-8982-7060</v>
      </c>
      <c r="I57" s="211">
        <v>45456</v>
      </c>
      <c r="J57" s="118" t="str">
        <v>CJ대한통운</v>
      </c>
      <c r="K57" s="118" t="str">
        <v>530221335166</v>
      </c>
      <c r="L57" s="211">
        <v>0</v>
      </c>
      <c r="M57" s="118" t="str">
        <v>SE.307</v>
      </c>
      <c r="N57" s="118" t="str">
        <v>투명</v>
      </c>
      <c r="O57" s="118">
        <v>1</v>
      </c>
      <c r="P57" s="118" t="str">
        <v>윤현진</v>
      </c>
      <c r="Q57" s="118" t="str">
        <v>010-8982-7060</v>
      </c>
      <c r="R57" s="118">
        <v>0</v>
      </c>
      <c r="S57" s="118" t="str">
        <v>충청남도 보령시 지장골길 160 (죽정동, 부경파크빌아파트) 104동 703호</v>
      </c>
      <c r="T57" s="224">
        <v>0</v>
      </c>
      <c r="U57" s="224">
        <v>0</v>
      </c>
      <c r="V57" s="224">
        <v>0</v>
      </c>
      <c r="W57" s="217">
        <v>10560</v>
      </c>
      <c r="X57" s="217">
        <v>0</v>
      </c>
      <c r="Y57" s="217">
        <v>3000</v>
      </c>
      <c r="Z57" s="217">
        <v>3500</v>
      </c>
      <c r="AA57" s="217">
        <v>0</v>
      </c>
      <c r="AB57" s="217">
        <v>0</v>
      </c>
      <c r="AC57" s="217">
        <v>0</v>
      </c>
      <c r="AD57" s="118" t="str">
        <v>떡외겹 30*30</v>
      </c>
      <c r="AE57" s="224">
        <v>0</v>
      </c>
      <c r="AF57" s="217">
        <v>10560</v>
      </c>
      <c r="AG57" s="217">
        <v>7260</v>
      </c>
      <c r="AH57" s="217">
        <v>13560</v>
      </c>
      <c r="AI57" s="217">
        <v>0</v>
      </c>
      <c r="AJ57" s="217">
        <v>700</v>
      </c>
      <c r="AK57" s="217">
        <v>0</v>
      </c>
      <c r="AL57" s="227">
        <v>0</v>
      </c>
      <c r="AM57" s="224">
        <v>0</v>
      </c>
      <c r="AN57" s="118" t="str">
        <v>ptDB47</v>
      </c>
      <c r="AO57" s="264">
        <v>0</v>
      </c>
      <c r="AP57" s="217">
        <v>13560</v>
      </c>
      <c r="AQ57" s="217">
        <v>0</v>
      </c>
      <c r="AR57" s="217">
        <v>700</v>
      </c>
      <c r="AS57" s="217">
        <v>0</v>
      </c>
      <c r="AT57" s="227">
        <v>0</v>
      </c>
      <c r="AU57" s="224" t="str">
        <v/>
      </c>
      <c r="AV57" s="264">
        <v>0</v>
      </c>
      <c r="AW57" s="118">
        <v>7260</v>
      </c>
    </row>
    <row r="58" spans="1:49">
      <c r="A58" s="118">
        <v>144</v>
      </c>
      <c r="B58" s="118" t="str">
        <v>비닐팩토리</v>
      </c>
      <c r="C58" s="211">
        <v>45456</v>
      </c>
      <c r="D58" s="118" t="str">
        <v>2024061356909361</v>
      </c>
      <c r="E58" s="118" t="str">
        <v>스마트 스토어</v>
      </c>
      <c r="F58" s="118" t="str">
        <v>윤현진</v>
      </c>
      <c r="G58" s="118" t="str">
        <v>hyun****</v>
      </c>
      <c r="H58" s="118" t="str">
        <v>010-8982-7060</v>
      </c>
      <c r="I58" s="211">
        <v>45456</v>
      </c>
      <c r="J58" s="118" t="str">
        <v>CJ대한통운</v>
      </c>
      <c r="K58" s="118" t="str">
        <v>530221335166</v>
      </c>
      <c r="L58" s="211">
        <v>0</v>
      </c>
      <c r="M58" s="118" t="str">
        <v>SE.118</v>
      </c>
      <c r="N58" s="118" t="str">
        <v>투명</v>
      </c>
      <c r="O58" s="118">
        <v>1</v>
      </c>
      <c r="P58" s="118" t="str">
        <v>윤현진</v>
      </c>
      <c r="Q58" s="118" t="str">
        <v>010-8982-7060</v>
      </c>
      <c r="R58" s="118">
        <v>0</v>
      </c>
      <c r="S58" s="118" t="str">
        <v>충청남도 보령시 지장골길 160 (죽정동, 부경파크빌아파트) 104동 703호</v>
      </c>
      <c r="T58" s="224">
        <v>0</v>
      </c>
      <c r="U58" s="224">
        <v>0</v>
      </c>
      <c r="V58" s="224">
        <v>0</v>
      </c>
      <c r="W58" s="217">
        <v>3450</v>
      </c>
      <c r="X58" s="217">
        <v>0</v>
      </c>
      <c r="Y58" s="217">
        <v>0</v>
      </c>
      <c r="Z58" s="217">
        <v>0</v>
      </c>
      <c r="AA58" s="217">
        <v>0</v>
      </c>
      <c r="AB58" s="217">
        <v>0</v>
      </c>
      <c r="AC58" s="217">
        <v>0</v>
      </c>
      <c r="AD58" s="118" t="str">
        <v>막지 40*60</v>
      </c>
      <c r="AE58" s="224" t="str">
        <v>재구매</v>
      </c>
      <c r="AF58" s="217">
        <v>3800</v>
      </c>
      <c r="AG58" s="217">
        <v>2530</v>
      </c>
      <c r="AH58" s="217">
        <v>3450</v>
      </c>
      <c r="AI58" s="217">
        <v>0</v>
      </c>
      <c r="AJ58" s="217">
        <v>253</v>
      </c>
      <c r="AK58" s="217">
        <v>0</v>
      </c>
      <c r="AL58" s="227">
        <v>0</v>
      </c>
      <c r="AM58" s="224">
        <v>0</v>
      </c>
      <c r="AN58" s="118" t="str">
        <v>ptDB47</v>
      </c>
      <c r="AO58" s="264">
        <v>0</v>
      </c>
      <c r="AP58" s="217">
        <v>3450</v>
      </c>
      <c r="AQ58" s="217">
        <v>0</v>
      </c>
      <c r="AR58" s="217">
        <v>253</v>
      </c>
      <c r="AS58" s="217">
        <v>0</v>
      </c>
      <c r="AT58" s="227">
        <v>0</v>
      </c>
      <c r="AU58" s="224" t="str">
        <v/>
      </c>
      <c r="AV58" s="264">
        <v>0</v>
      </c>
      <c r="AW58" s="118">
        <v>2530</v>
      </c>
    </row>
    <row r="59" spans="1:49">
      <c r="A59" s="118">
        <v>145</v>
      </c>
      <c r="B59" s="118" t="str">
        <v>비닐팩토리</v>
      </c>
      <c r="C59" s="211">
        <v>45455</v>
      </c>
      <c r="D59" s="118" t="str">
        <v>2100052492074</v>
      </c>
      <c r="E59" s="118" t="str">
        <v>쿠팡</v>
      </c>
      <c r="F59" s="118" t="str">
        <v>임수미</v>
      </c>
      <c r="G59" s="118" t="str">
        <v>so*****@na</v>
      </c>
      <c r="H59" s="118" t="str">
        <v>0504-4396-3157</v>
      </c>
      <c r="I59" s="211">
        <v>45456</v>
      </c>
      <c r="J59" s="118" t="str">
        <v>CJ대한통운</v>
      </c>
      <c r="K59" s="118" t="str">
        <v>540219665585</v>
      </c>
      <c r="L59" s="211">
        <v>0</v>
      </c>
      <c r="M59" s="118" t="str">
        <v>SE.206</v>
      </c>
      <c r="N59" s="118" t="str">
        <v>투명</v>
      </c>
      <c r="O59" s="118">
        <v>2</v>
      </c>
      <c r="P59" s="118" t="str">
        <v>김윤철</v>
      </c>
      <c r="Q59" s="118" t="str">
        <v>0504-4396-3157</v>
      </c>
      <c r="R59" s="118">
        <v>0</v>
      </c>
      <c r="S59" s="118" t="str">
        <v>대구광역시 중구 남산로 30 103동2204호 ( 남산동, 극동 스타클래스 남산 )</v>
      </c>
      <c r="T59" s="224" t="str">
        <v>문 앞</v>
      </c>
      <c r="U59" s="224">
        <v>0</v>
      </c>
      <c r="V59" s="224">
        <v>0</v>
      </c>
      <c r="W59" s="217">
        <v>60480</v>
      </c>
      <c r="X59" s="217">
        <v>0</v>
      </c>
      <c r="Y59" s="217">
        <v>0</v>
      </c>
      <c r="Z59" s="217">
        <v>4400</v>
      </c>
      <c r="AA59" s="217">
        <v>0</v>
      </c>
      <c r="AB59" s="217">
        <v>0</v>
      </c>
      <c r="AC59" s="217">
        <v>0</v>
      </c>
      <c r="AD59" s="118" t="str">
        <v>떡롤 45*330</v>
      </c>
      <c r="AE59" s="224">
        <v>0</v>
      </c>
      <c r="AF59" s="217">
        <v>30240</v>
      </c>
      <c r="AG59" s="217">
        <v>19800</v>
      </c>
      <c r="AH59" s="217">
        <v>60480</v>
      </c>
      <c r="AI59" s="217">
        <v>0</v>
      </c>
      <c r="AJ59" s="217">
        <v>7185</v>
      </c>
      <c r="AK59" s="217">
        <v>0</v>
      </c>
      <c r="AL59" s="227">
        <v>0</v>
      </c>
      <c r="AM59" s="224">
        <v>0</v>
      </c>
      <c r="AN59" s="118" t="str">
        <v>ptDB47</v>
      </c>
      <c r="AO59" s="264">
        <v>0</v>
      </c>
      <c r="AP59" s="217">
        <v>60480</v>
      </c>
      <c r="AQ59" s="217">
        <v>0</v>
      </c>
      <c r="AR59" s="217">
        <v>7185</v>
      </c>
      <c r="AS59" s="217">
        <v>0</v>
      </c>
      <c r="AT59" s="227">
        <v>0</v>
      </c>
      <c r="AU59" s="224" t="str">
        <v/>
      </c>
      <c r="AV59" s="264">
        <v>0</v>
      </c>
      <c r="AW59" s="118">
        <v>39600</v>
      </c>
    </row>
    <row r="60" spans="1:49">
      <c r="A60" s="118">
        <v>146</v>
      </c>
      <c r="B60" s="118" t="str">
        <v>비닐팩토리</v>
      </c>
      <c r="C60" s="211">
        <v>45455</v>
      </c>
      <c r="D60" s="118" t="str">
        <v>21100052791268</v>
      </c>
      <c r="E60" s="118" t="str">
        <v>쿠팡</v>
      </c>
      <c r="F60" s="118" t="str">
        <v>이해창</v>
      </c>
      <c r="G60" s="118" t="str">
        <v>ul*****@na</v>
      </c>
      <c r="H60" s="118" t="str">
        <v>0502-5289-0466</v>
      </c>
      <c r="I60" s="211">
        <v>45456</v>
      </c>
      <c r="J60" s="118" t="str">
        <v>CJ대한통운</v>
      </c>
      <c r="K60" s="118" t="str">
        <v>540220210476</v>
      </c>
      <c r="L60" s="211">
        <v>0</v>
      </c>
      <c r="M60" s="118" t="str">
        <v>SE.101</v>
      </c>
      <c r="N60" s="118" t="str">
        <v>투명</v>
      </c>
      <c r="O60" s="118">
        <v>1</v>
      </c>
      <c r="P60" s="118" t="str">
        <v>한희원, 황재호</v>
      </c>
      <c r="Q60" s="118" t="str">
        <v>0502-5289-0466</v>
      </c>
      <c r="R60" s="118">
        <v>0</v>
      </c>
      <c r="S60" s="118" t="str">
        <v>대구광역시 동구 신천동 1506 신세계동대구복합환승센터 지하1층 퀵앤프레쉬(아실)</v>
      </c>
      <c r="T60" s="224" t="str">
        <v>문 앞</v>
      </c>
      <c r="U60" s="224">
        <v>0</v>
      </c>
      <c r="V60" s="224">
        <v>0</v>
      </c>
      <c r="W60" s="217">
        <v>34000</v>
      </c>
      <c r="X60" s="217">
        <v>0</v>
      </c>
      <c r="Y60" s="217">
        <v>3000</v>
      </c>
      <c r="Z60" s="217">
        <v>4400</v>
      </c>
      <c r="AA60" s="217">
        <v>0</v>
      </c>
      <c r="AB60" s="217">
        <v>0</v>
      </c>
      <c r="AC60" s="217">
        <v>0</v>
      </c>
      <c r="AD60" s="118" t="str">
        <v>소폭 10*26</v>
      </c>
      <c r="AE60" s="224">
        <v>0</v>
      </c>
      <c r="AF60" s="217">
        <v>8700</v>
      </c>
      <c r="AG60" s="217">
        <v>5500</v>
      </c>
      <c r="AH60" s="217">
        <v>37000</v>
      </c>
      <c r="AI60" s="217">
        <v>0</v>
      </c>
      <c r="AJ60" s="217">
        <v>4138</v>
      </c>
      <c r="AK60" s="217">
        <v>0</v>
      </c>
      <c r="AL60" s="227">
        <v>0</v>
      </c>
      <c r="AM60" s="224">
        <v>0</v>
      </c>
      <c r="AN60" s="118" t="str">
        <v>ptDB47</v>
      </c>
      <c r="AO60" s="264">
        <v>10</v>
      </c>
      <c r="AP60" s="217">
        <v>37000</v>
      </c>
      <c r="AQ60" s="217">
        <v>0</v>
      </c>
      <c r="AR60" s="217">
        <v>4138</v>
      </c>
      <c r="AS60" s="217">
        <v>0</v>
      </c>
      <c r="AT60" s="227">
        <v>0</v>
      </c>
      <c r="AU60" s="224" t="str">
        <v/>
      </c>
      <c r="AV60" s="264">
        <v>0</v>
      </c>
      <c r="AW60" s="118">
        <v>5500</v>
      </c>
    </row>
    <row r="61" spans="1:49">
      <c r="A61" s="118">
        <v>147</v>
      </c>
      <c r="B61" s="118" t="str">
        <v>비닐팩토리</v>
      </c>
      <c r="C61" s="211">
        <v>45456</v>
      </c>
      <c r="D61" s="118" t="str">
        <v>21100052895371</v>
      </c>
      <c r="E61" s="118" t="str">
        <v>쿠팡</v>
      </c>
      <c r="F61" s="118" t="str">
        <v>한현정</v>
      </c>
      <c r="G61" s="118" t="str">
        <v>as*****@na</v>
      </c>
      <c r="H61" s="118" t="str">
        <v>0504-2702-6413</v>
      </c>
      <c r="I61" s="211">
        <v>45456</v>
      </c>
      <c r="J61" s="118" t="str">
        <v>CJ대한통운</v>
      </c>
      <c r="K61" s="118" t="str">
        <v>530220853916</v>
      </c>
      <c r="L61" s="211">
        <v>0</v>
      </c>
      <c r="M61" s="118" t="str">
        <v>SE.303</v>
      </c>
      <c r="N61" s="118" t="str">
        <v>투명</v>
      </c>
      <c r="O61" s="118">
        <v>1</v>
      </c>
      <c r="P61" s="118" t="str">
        <v>한현정</v>
      </c>
      <c r="Q61" s="118" t="str">
        <v>0504-2702-6413</v>
      </c>
      <c r="R61" s="118">
        <v>0</v>
      </c>
      <c r="S61" s="118" t="str">
        <v>전라남도 담양군 담양읍 지침리 132-9 떡돌이와떡순이</v>
      </c>
      <c r="T61" s="224" t="str">
        <v>직접 받고 부재 시 문 앞</v>
      </c>
      <c r="U61" s="224">
        <v>0</v>
      </c>
      <c r="V61" s="224">
        <v>0</v>
      </c>
      <c r="W61" s="217">
        <v>23020</v>
      </c>
      <c r="X61" s="217">
        <v>0</v>
      </c>
      <c r="Y61" s="217">
        <v>3000</v>
      </c>
      <c r="Z61" s="217">
        <v>3000</v>
      </c>
      <c r="AA61" s="217">
        <v>0</v>
      </c>
      <c r="AB61" s="217">
        <v>0</v>
      </c>
      <c r="AC61" s="217">
        <v>0</v>
      </c>
      <c r="AD61" s="118" t="str">
        <v>떡외겹 25*25</v>
      </c>
      <c r="AE61" s="224">
        <v>0</v>
      </c>
      <c r="AF61" s="217">
        <v>23020</v>
      </c>
      <c r="AG61" s="217">
        <v>15070</v>
      </c>
      <c r="AH61" s="217">
        <v>26020</v>
      </c>
      <c r="AI61" s="217">
        <v>0</v>
      </c>
      <c r="AJ61" s="217">
        <v>2834</v>
      </c>
      <c r="AK61" s="217">
        <v>0</v>
      </c>
      <c r="AL61" s="227">
        <v>0</v>
      </c>
      <c r="AM61" s="224">
        <v>0</v>
      </c>
      <c r="AN61" s="118" t="str">
        <v>ptDB47</v>
      </c>
      <c r="AO61" s="264">
        <v>0</v>
      </c>
      <c r="AP61" s="217">
        <v>26020</v>
      </c>
      <c r="AQ61" s="217">
        <v>0</v>
      </c>
      <c r="AR61" s="217">
        <v>2834</v>
      </c>
      <c r="AS61" s="217">
        <v>0</v>
      </c>
      <c r="AT61" s="227">
        <v>0</v>
      </c>
      <c r="AU61" s="224" t="str">
        <v/>
      </c>
      <c r="AV61" s="264">
        <v>0</v>
      </c>
      <c r="AW61" s="118">
        <v>15070</v>
      </c>
    </row>
    <row r="62" spans="1:49">
      <c r="A62" s="118">
        <v>148</v>
      </c>
      <c r="B62" s="118" t="str">
        <v>비닐팩토리</v>
      </c>
      <c r="C62" s="211">
        <v>45456</v>
      </c>
      <c r="D62" s="118" t="str">
        <v>45470469</v>
      </c>
      <c r="E62" s="118" t="str">
        <v>대표</v>
      </c>
      <c r="F62" s="118">
        <v>0</v>
      </c>
      <c r="G62" s="118">
        <v>0</v>
      </c>
      <c r="H62" s="118">
        <v>0</v>
      </c>
      <c r="I62" s="211">
        <v>45456</v>
      </c>
      <c r="J62" s="118" t="str">
        <v>CJ대한통운</v>
      </c>
      <c r="K62" s="118" t="str">
        <v>530220762684</v>
      </c>
      <c r="L62" s="211">
        <v>0</v>
      </c>
      <c r="M62" s="118" t="str">
        <v>SE.1000</v>
      </c>
      <c r="N62" s="118" t="str">
        <v>투명</v>
      </c>
      <c r="O62" s="118">
        <v>1</v>
      </c>
      <c r="P62" s="118" t="str">
        <v>빅팜 주식회사</v>
      </c>
      <c r="Q62" s="118" t="str">
        <v>053-795-8868</v>
      </c>
      <c r="R62" s="118">
        <v>0</v>
      </c>
      <c r="S62" s="118" t="str">
        <v>대구 수성구 달구벌대로568길 6</v>
      </c>
      <c r="T62" s="224">
        <v>0</v>
      </c>
      <c r="U62" s="224">
        <v>0</v>
      </c>
      <c r="V62" s="224">
        <v>0</v>
      </c>
      <c r="W62" s="217">
        <v>0</v>
      </c>
      <c r="X62" s="217">
        <v>0</v>
      </c>
      <c r="Y62" s="217">
        <v>0</v>
      </c>
      <c r="Z62" s="217">
        <v>0</v>
      </c>
      <c r="AA62" s="217">
        <v>0</v>
      </c>
      <c r="AB62" s="217">
        <v>0</v>
      </c>
      <c r="AC62" s="217">
        <v>0</v>
      </c>
      <c r="AD62" s="118" t="str">
        <v>대표</v>
      </c>
      <c r="AE62" s="224" t="str">
        <v>재구매</v>
      </c>
      <c r="AF62" s="217">
        <v>0</v>
      </c>
      <c r="AG62" s="217">
        <v>0</v>
      </c>
      <c r="AH62" s="217">
        <v>0</v>
      </c>
      <c r="AI62" s="217">
        <v>0</v>
      </c>
      <c r="AJ62" s="217">
        <v>0</v>
      </c>
      <c r="AK62" s="217">
        <v>0</v>
      </c>
      <c r="AL62" s="227">
        <v>0</v>
      </c>
      <c r="AM62" s="224">
        <v>0</v>
      </c>
      <c r="AN62" s="118" t="str">
        <v>ptDB47</v>
      </c>
      <c r="AO62" s="264">
        <v>1</v>
      </c>
      <c r="AP62" s="217">
        <v>0</v>
      </c>
      <c r="AQ62" s="217">
        <v>0</v>
      </c>
      <c r="AR62" s="217">
        <v>0</v>
      </c>
      <c r="AS62" s="217">
        <v>0</v>
      </c>
      <c r="AT62" s="227">
        <v>0</v>
      </c>
      <c r="AU62" s="224" t="str">
        <v/>
      </c>
      <c r="AV62" s="264">
        <v>0</v>
      </c>
      <c r="AW62" s="118">
        <v>0</v>
      </c>
    </row>
    <row r="63" spans="1:49">
      <c r="A63" s="118">
        <v>164</v>
      </c>
      <c r="B63" s="118" t="str">
        <v>비닐팩토리</v>
      </c>
      <c r="C63" s="211">
        <v>45457</v>
      </c>
      <c r="D63" s="118" t="str">
        <v>2024061488329411</v>
      </c>
      <c r="E63" s="118" t="str">
        <v>스마트 스토어</v>
      </c>
      <c r="F63" s="118" t="str">
        <v>서치식</v>
      </c>
      <c r="G63" s="118" t="str">
        <v>tjcl****</v>
      </c>
      <c r="H63" s="118" t="str">
        <v>010-5367-6762</v>
      </c>
      <c r="I63" s="211">
        <v>45457</v>
      </c>
      <c r="J63" s="118" t="str">
        <v>CJ대한통운</v>
      </c>
      <c r="K63" s="118" t="str">
        <v>540220887192</v>
      </c>
      <c r="L63" s="211">
        <v>0</v>
      </c>
      <c r="M63" s="118" t="str">
        <v>SE.305</v>
      </c>
      <c r="N63" s="118" t="str">
        <v>투명</v>
      </c>
      <c r="O63" s="118">
        <v>2</v>
      </c>
      <c r="P63" s="118" t="str">
        <v>서유승</v>
      </c>
      <c r="Q63" s="118" t="str">
        <v>010-5367-6762</v>
      </c>
      <c r="R63" s="118" t="str">
        <v>055-283-0006</v>
      </c>
      <c r="S63" s="118" t="str">
        <v>경상남도 창원시 성산구 상남동 16 상남재래시장 3층 C361호 3대할매충무김밥</v>
      </c>
      <c r="T63" s="224">
        <v>0</v>
      </c>
      <c r="U63" s="224">
        <v>0</v>
      </c>
      <c r="V63" s="224">
        <v>0</v>
      </c>
      <c r="W63" s="217">
        <v>36800</v>
      </c>
      <c r="X63" s="217">
        <v>0</v>
      </c>
      <c r="Y63" s="217">
        <v>0</v>
      </c>
      <c r="Z63" s="217">
        <v>4400</v>
      </c>
      <c r="AA63" s="217">
        <v>0</v>
      </c>
      <c r="AB63" s="217">
        <v>0</v>
      </c>
      <c r="AC63" s="217">
        <v>0</v>
      </c>
      <c r="AD63" s="118" t="str">
        <v>떡외겹 39*40</v>
      </c>
      <c r="AE63" s="224">
        <v>0</v>
      </c>
      <c r="AF63" s="217">
        <v>18400</v>
      </c>
      <c r="AG63" s="217">
        <v>12650</v>
      </c>
      <c r="AH63" s="217">
        <v>36800</v>
      </c>
      <c r="AI63" s="217">
        <v>0</v>
      </c>
      <c r="AJ63" s="217">
        <v>1929</v>
      </c>
      <c r="AK63" s="217">
        <v>0</v>
      </c>
      <c r="AL63" s="227">
        <v>0</v>
      </c>
      <c r="AM63" s="224">
        <v>0</v>
      </c>
      <c r="AN63" s="118" t="str">
        <v>ptDB47</v>
      </c>
      <c r="AO63" s="264">
        <v>0</v>
      </c>
      <c r="AP63" s="217">
        <v>36800</v>
      </c>
      <c r="AQ63" s="217">
        <v>0</v>
      </c>
      <c r="AR63" s="217">
        <v>1929</v>
      </c>
      <c r="AS63" s="217">
        <v>0</v>
      </c>
      <c r="AT63" s="227">
        <v>0</v>
      </c>
      <c r="AU63" s="224" t="str">
        <v/>
      </c>
      <c r="AV63" s="264">
        <v>0</v>
      </c>
      <c r="AW63" s="118">
        <v>25300</v>
      </c>
    </row>
    <row r="64" spans="1:49">
      <c r="A64" s="118">
        <v>165</v>
      </c>
      <c r="B64" s="118" t="str">
        <v>비닐팩토리</v>
      </c>
      <c r="C64" s="211">
        <v>45457</v>
      </c>
      <c r="D64" s="118" t="str">
        <v>2024061488329401</v>
      </c>
      <c r="E64" s="118" t="str">
        <v>스마트 스토어</v>
      </c>
      <c r="F64" s="118" t="str">
        <v>서치식</v>
      </c>
      <c r="G64" s="118" t="str">
        <v>tjcl****</v>
      </c>
      <c r="H64" s="118" t="str">
        <v>010-5367-6762</v>
      </c>
      <c r="I64" s="211">
        <v>45457</v>
      </c>
      <c r="J64" s="118" t="str">
        <v>CJ대한통운</v>
      </c>
      <c r="K64" s="118" t="str">
        <v>540220887192</v>
      </c>
      <c r="L64" s="211">
        <v>0</v>
      </c>
      <c r="M64" s="118" t="str">
        <v>SE.301</v>
      </c>
      <c r="N64" s="118" t="str">
        <v>투명</v>
      </c>
      <c r="O64" s="118">
        <v>1</v>
      </c>
      <c r="P64" s="118" t="str">
        <v>서유승</v>
      </c>
      <c r="Q64" s="118" t="str">
        <v>010-5367-6762</v>
      </c>
      <c r="R64" s="118" t="str">
        <v>055-283-0006</v>
      </c>
      <c r="S64" s="118" t="str">
        <v>경상남도 창원시 성산구 상남동 16 상남재래시장 3층 C361호 3대할매충무김밥</v>
      </c>
      <c r="T64" s="224">
        <v>0</v>
      </c>
      <c r="U64" s="224">
        <v>0</v>
      </c>
      <c r="V64" s="224">
        <v>0</v>
      </c>
      <c r="W64" s="217">
        <v>10560</v>
      </c>
      <c r="X64" s="217">
        <v>0</v>
      </c>
      <c r="Y64" s="217">
        <v>0</v>
      </c>
      <c r="Z64" s="217">
        <v>0</v>
      </c>
      <c r="AA64" s="217">
        <v>0</v>
      </c>
      <c r="AB64" s="217">
        <v>0</v>
      </c>
      <c r="AC64" s="217">
        <v>0</v>
      </c>
      <c r="AD64" s="118" t="str">
        <v>떡외겹 15*20</v>
      </c>
      <c r="AE64" s="224" t="str">
        <v>재구매</v>
      </c>
      <c r="AF64" s="217">
        <v>10560</v>
      </c>
      <c r="AG64" s="217">
        <v>7260</v>
      </c>
      <c r="AH64" s="217">
        <v>10560</v>
      </c>
      <c r="AI64" s="217">
        <v>0</v>
      </c>
      <c r="AJ64" s="217">
        <v>611</v>
      </c>
      <c r="AK64" s="217">
        <v>0</v>
      </c>
      <c r="AL64" s="227">
        <v>0</v>
      </c>
      <c r="AM64" s="224">
        <v>0</v>
      </c>
      <c r="AN64" s="118" t="str">
        <v>ptDB47</v>
      </c>
      <c r="AO64" s="264">
        <v>0</v>
      </c>
      <c r="AP64" s="217">
        <v>10560</v>
      </c>
      <c r="AQ64" s="217">
        <v>0</v>
      </c>
      <c r="AR64" s="217">
        <v>611</v>
      </c>
      <c r="AS64" s="217">
        <v>0</v>
      </c>
      <c r="AT64" s="227">
        <v>0</v>
      </c>
      <c r="AU64" s="224" t="str">
        <v/>
      </c>
      <c r="AV64" s="264">
        <v>0</v>
      </c>
      <c r="AW64" s="118">
        <v>7260</v>
      </c>
    </row>
    <row r="65" spans="1:49">
      <c r="A65" s="118">
        <v>166</v>
      </c>
      <c r="B65" s="118" t="str">
        <v>비닐팩토리</v>
      </c>
      <c r="C65" s="211">
        <v>45457</v>
      </c>
      <c r="D65" s="118" t="str">
        <v>2024061488329391</v>
      </c>
      <c r="E65" s="118" t="str">
        <v>스마트 스토어</v>
      </c>
      <c r="F65" s="118" t="str">
        <v>서치식</v>
      </c>
      <c r="G65" s="118" t="str">
        <v>tjcl****</v>
      </c>
      <c r="H65" s="118" t="str">
        <v>010-5367-6762</v>
      </c>
      <c r="I65" s="211">
        <v>45457</v>
      </c>
      <c r="J65" s="118" t="str">
        <v>CJ대한통운</v>
      </c>
      <c r="K65" s="118" t="str">
        <v>540220887192</v>
      </c>
      <c r="L65" s="211">
        <v>0</v>
      </c>
      <c r="M65" s="118" t="str">
        <v>SE.303</v>
      </c>
      <c r="N65" s="118" t="str">
        <v>투명</v>
      </c>
      <c r="O65" s="118">
        <v>2</v>
      </c>
      <c r="P65" s="118" t="str">
        <v>서유승</v>
      </c>
      <c r="Q65" s="118" t="str">
        <v>010-5367-6762</v>
      </c>
      <c r="R65" s="118" t="str">
        <v>055-283-0006</v>
      </c>
      <c r="S65" s="118" t="str">
        <v>경상남도 창원시 성산구 상남동 16 상남재래시장 3층 C361호 3대할매충무김밥</v>
      </c>
      <c r="T65" s="224">
        <v>0</v>
      </c>
      <c r="U65" s="224">
        <v>0</v>
      </c>
      <c r="V65" s="224">
        <v>0</v>
      </c>
      <c r="W65" s="217">
        <v>43840</v>
      </c>
      <c r="X65" s="217">
        <v>0</v>
      </c>
      <c r="Y65" s="217">
        <v>0</v>
      </c>
      <c r="Z65" s="217">
        <v>0</v>
      </c>
      <c r="AA65" s="217">
        <v>0</v>
      </c>
      <c r="AB65" s="217">
        <v>0</v>
      </c>
      <c r="AC65" s="217">
        <v>0</v>
      </c>
      <c r="AD65" s="118" t="str">
        <v>떡외겹 25*25</v>
      </c>
      <c r="AE65" s="224" t="str">
        <v>재구매</v>
      </c>
      <c r="AF65" s="217">
        <v>21920</v>
      </c>
      <c r="AG65" s="217">
        <v>15070</v>
      </c>
      <c r="AH65" s="217">
        <v>43840</v>
      </c>
      <c r="AI65" s="217">
        <v>0</v>
      </c>
      <c r="AJ65" s="217">
        <v>2283</v>
      </c>
      <c r="AK65" s="217">
        <v>0</v>
      </c>
      <c r="AL65" s="227">
        <v>0</v>
      </c>
      <c r="AM65" s="224">
        <v>0</v>
      </c>
      <c r="AN65" s="118" t="str">
        <v>ptDB47</v>
      </c>
      <c r="AO65" s="264">
        <v>0</v>
      </c>
      <c r="AP65" s="217">
        <v>43840</v>
      </c>
      <c r="AQ65" s="217">
        <v>0</v>
      </c>
      <c r="AR65" s="217">
        <v>2283</v>
      </c>
      <c r="AS65" s="217">
        <v>0</v>
      </c>
      <c r="AT65" s="227">
        <v>0</v>
      </c>
      <c r="AU65" s="224" t="str">
        <v/>
      </c>
      <c r="AV65" s="264">
        <v>0</v>
      </c>
      <c r="AW65" s="118">
        <v>30140</v>
      </c>
    </row>
    <row r="66" spans="1:49">
      <c r="A66" s="118">
        <v>167</v>
      </c>
      <c r="B66" s="118" t="str">
        <v>비닐팩토리</v>
      </c>
      <c r="C66" s="211">
        <v>45456</v>
      </c>
      <c r="D66" s="118" t="str">
        <v>2024061366372881</v>
      </c>
      <c r="E66" s="118" t="str">
        <v>스마트 스토어</v>
      </c>
      <c r="F66" s="118" t="str">
        <v>정은혜</v>
      </c>
      <c r="G66" s="118" t="str">
        <v>kdjl****</v>
      </c>
      <c r="H66" s="118" t="str">
        <v>010-3652-1436</v>
      </c>
      <c r="I66" s="211">
        <v>45457</v>
      </c>
      <c r="J66" s="118" t="str">
        <v>CJ대한통운</v>
      </c>
      <c r="K66" s="118" t="str">
        <v>530221962053</v>
      </c>
      <c r="L66" s="211">
        <v>0</v>
      </c>
      <c r="M66" s="118" t="str">
        <v>SE.205</v>
      </c>
      <c r="N66" s="118" t="str">
        <v>투명</v>
      </c>
      <c r="O66" s="118">
        <v>2</v>
      </c>
      <c r="P66" s="118" t="str">
        <v>정은혜</v>
      </c>
      <c r="Q66" s="118" t="str">
        <v>010-3652-1436</v>
      </c>
      <c r="R66" s="118">
        <v>0</v>
      </c>
      <c r="S66" s="118" t="str">
        <v>경상남도 진주시 사들로123번길 16 (충무공동) 휴니온팝 201호 사천형제국밥</v>
      </c>
      <c r="T66" s="224">
        <v>0</v>
      </c>
      <c r="U66" s="224">
        <v>0</v>
      </c>
      <c r="V66" s="224">
        <v>0</v>
      </c>
      <c r="W66" s="217">
        <v>48000</v>
      </c>
      <c r="X66" s="217">
        <v>0</v>
      </c>
      <c r="Y66" s="217">
        <v>0</v>
      </c>
      <c r="Z66" s="217">
        <v>4400</v>
      </c>
      <c r="AA66" s="217">
        <v>0</v>
      </c>
      <c r="AB66" s="217">
        <v>0</v>
      </c>
      <c r="AC66" s="217">
        <v>0</v>
      </c>
      <c r="AD66" s="118" t="str">
        <v>떡롤 35*400</v>
      </c>
      <c r="AE66" s="224">
        <v>0</v>
      </c>
      <c r="AF66" s="217">
        <v>24000</v>
      </c>
      <c r="AG66" s="217">
        <v>16500</v>
      </c>
      <c r="AH66" s="217">
        <v>48000</v>
      </c>
      <c r="AI66" s="217">
        <v>0</v>
      </c>
      <c r="AJ66" s="217">
        <v>2492</v>
      </c>
      <c r="AK66" s="217">
        <v>0</v>
      </c>
      <c r="AL66" s="227">
        <v>0</v>
      </c>
      <c r="AM66" s="224">
        <v>0</v>
      </c>
      <c r="AN66" s="118" t="str">
        <v>ptDB47</v>
      </c>
      <c r="AO66" s="264">
        <v>0</v>
      </c>
      <c r="AP66" s="217">
        <v>48000</v>
      </c>
      <c r="AQ66" s="217">
        <v>0</v>
      </c>
      <c r="AR66" s="217">
        <v>2492</v>
      </c>
      <c r="AS66" s="217">
        <v>0</v>
      </c>
      <c r="AT66" s="227">
        <v>0</v>
      </c>
      <c r="AU66" s="224" t="str">
        <v/>
      </c>
      <c r="AV66" s="264">
        <v>0</v>
      </c>
      <c r="AW66" s="118">
        <v>33000</v>
      </c>
    </row>
    <row r="67" spans="1:49">
      <c r="A67" s="118">
        <v>179</v>
      </c>
      <c r="B67" s="118" t="str">
        <v>비닐팩토리</v>
      </c>
      <c r="C67" s="211">
        <v>45457</v>
      </c>
      <c r="D67" s="118" t="str">
        <v>8100053068945</v>
      </c>
      <c r="E67" s="118" t="str">
        <v>쿠팡</v>
      </c>
      <c r="F67" s="118" t="str">
        <v>전경숙</v>
      </c>
      <c r="G67" s="118" t="str">
        <v>bi*****@na</v>
      </c>
      <c r="H67" s="118" t="str">
        <v>0504-4937-7658</v>
      </c>
      <c r="I67" s="211">
        <v>45457</v>
      </c>
      <c r="J67" s="118" t="str">
        <v>CJ대한통운</v>
      </c>
      <c r="K67" s="118" t="str">
        <v>540220887030</v>
      </c>
      <c r="L67" s="211">
        <v>0</v>
      </c>
      <c r="M67" s="118" t="str">
        <v>SE.206</v>
      </c>
      <c r="N67" s="118" t="str">
        <v>투명</v>
      </c>
      <c r="O67" s="118">
        <v>1</v>
      </c>
      <c r="P67" s="118" t="str">
        <v>전경숙</v>
      </c>
      <c r="Q67" s="118" t="str">
        <v>0504-4937-7658</v>
      </c>
      <c r="R67" s="118">
        <v>0</v>
      </c>
      <c r="S67" s="118" t="str">
        <v>경기도 광주시 중앙로335번길 42 104동102호 ( 송정동, 송정동 대주파크빌 )</v>
      </c>
      <c r="T67" s="224" t="str">
        <v>문 앞</v>
      </c>
      <c r="U67" s="224">
        <v>0</v>
      </c>
      <c r="V67" s="224">
        <v>0</v>
      </c>
      <c r="W67" s="217">
        <v>30240</v>
      </c>
      <c r="X67" s="217">
        <v>0</v>
      </c>
      <c r="Y67" s="217">
        <v>3000</v>
      </c>
      <c r="Z67" s="217">
        <v>3500</v>
      </c>
      <c r="AA67" s="217">
        <v>0</v>
      </c>
      <c r="AB67" s="217">
        <v>0</v>
      </c>
      <c r="AC67" s="217">
        <v>0</v>
      </c>
      <c r="AD67" s="118" t="str">
        <v>떡롤 45*330</v>
      </c>
      <c r="AE67" s="224">
        <v>0</v>
      </c>
      <c r="AF67" s="217">
        <v>30240</v>
      </c>
      <c r="AG67" s="217">
        <v>19800</v>
      </c>
      <c r="AH67" s="217">
        <v>33240</v>
      </c>
      <c r="AI67" s="217">
        <v>0</v>
      </c>
      <c r="AJ67" s="217">
        <v>3692</v>
      </c>
      <c r="AK67" s="217">
        <v>0</v>
      </c>
      <c r="AL67" s="227">
        <v>0</v>
      </c>
      <c r="AM67" s="224">
        <v>0</v>
      </c>
      <c r="AN67" s="118" t="str">
        <v>ptDB47</v>
      </c>
      <c r="AO67" s="264">
        <v>0</v>
      </c>
      <c r="AP67" s="217">
        <v>33240</v>
      </c>
      <c r="AQ67" s="217">
        <v>0</v>
      </c>
      <c r="AR67" s="217">
        <v>3692</v>
      </c>
      <c r="AS67" s="217">
        <v>0</v>
      </c>
      <c r="AT67" s="227">
        <v>0</v>
      </c>
      <c r="AU67" s="224" t="str">
        <v/>
      </c>
      <c r="AV67" s="264">
        <v>0</v>
      </c>
      <c r="AW67" s="118">
        <v>19800</v>
      </c>
    </row>
  </sheetData>
  <phoneticPr fontId="4" type="noConversion"/>
  <conditionalFormatting sqref="A1:AV1">
    <cfRule type="expression" dxfId="106" priority="10">
      <formula>$B1="비닐팩토리"</formula>
    </cfRule>
  </conditionalFormatting>
  <conditionalFormatting sqref="D1">
    <cfRule type="cellIs" dxfId="105" priority="6" operator="equal">
      <formula>"제작"</formula>
    </cfRule>
    <cfRule type="cellIs" dxfId="104" priority="8" operator="equal">
      <formula>"쿠팡"</formula>
    </cfRule>
    <cfRule type="cellIs" dxfId="103" priority="9" operator="equal">
      <formula>"위메프"</formula>
    </cfRule>
  </conditionalFormatting>
  <conditionalFormatting sqref="J1">
    <cfRule type="cellIs" dxfId="102" priority="7" operator="equal">
      <formula>"직접전달"</formula>
    </cfRule>
  </conditionalFormatting>
  <conditionalFormatting sqref="R1:T1 AK1">
    <cfRule type="cellIs" dxfId="101" priority="4" operator="equal">
      <formula>"반품"</formula>
    </cfRule>
  </conditionalFormatting>
  <conditionalFormatting sqref="T1">
    <cfRule type="cellIs" dxfId="100" priority="5" operator="lessThanOrEqual">
      <formula>0</formula>
    </cfRule>
  </conditionalFormatting>
  <conditionalFormatting sqref="AB1:AG1 AP1:AS1">
    <cfRule type="cellIs" dxfId="99" priority="3" operator="lessThan">
      <formula>0</formula>
    </cfRule>
  </conditionalFormatting>
  <conditionalFormatting sqref="AT1 AH1">
    <cfRule type="colorScale" priority="2">
      <colorScale>
        <cfvo type="num" val="0"/>
        <cfvo type="num" val="0.4"/>
        <color rgb="FFFA9093"/>
        <color theme="0"/>
      </colorScale>
    </cfRule>
  </conditionalFormatting>
  <conditionalFormatting sqref="S1">
    <cfRule type="cellIs" dxfId="98" priority="1" operator="equal">
      <formula>"투명"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FA426-0079-48D4-901F-E147ACC5487E}">
  <sheetPr codeName="userDB"/>
  <dimension ref="A1:O122"/>
  <sheetViews>
    <sheetView workbookViewId="0">
      <selection activeCell="O2" sqref="O2"/>
    </sheetView>
  </sheetViews>
  <sheetFormatPr defaultRowHeight="18" customHeight="1"/>
  <cols>
    <col min="1" max="1" width="4.875" style="55" customWidth="1"/>
    <col min="2" max="2" width="10.25" style="55" customWidth="1"/>
    <col min="3" max="3" width="10.5" style="55" bestFit="1" customWidth="1"/>
    <col min="4" max="4" width="9" style="55"/>
    <col min="5" max="5" width="9.375" style="55" customWidth="1"/>
    <col min="6" max="6" width="12.25" style="55" customWidth="1"/>
    <col min="7" max="7" width="9" style="55"/>
    <col min="8" max="8" width="13.625" style="55" bestFit="1" customWidth="1"/>
    <col min="9" max="9" width="9" style="55"/>
    <col min="10" max="10" width="9.125" style="55" customWidth="1"/>
    <col min="11" max="11" width="9" style="55"/>
    <col min="12" max="12" width="59.5" style="92" customWidth="1"/>
    <col min="13" max="13" width="9" style="60"/>
    <col min="14" max="14" width="9" style="55"/>
    <col min="15" max="15" width="9" style="91"/>
    <col min="16" max="16384" width="9" style="58"/>
  </cols>
  <sheetData>
    <row r="1" spans="1:15" ht="30" customHeight="1">
      <c r="A1" s="94" t="s">
        <v>660</v>
      </c>
      <c r="B1" s="94" t="s">
        <v>169</v>
      </c>
      <c r="C1" s="94" t="s">
        <v>659</v>
      </c>
      <c r="D1" s="94" t="s">
        <v>313</v>
      </c>
      <c r="E1" s="94" t="s">
        <v>658</v>
      </c>
      <c r="F1" s="94" t="s">
        <v>631</v>
      </c>
      <c r="G1" s="94" t="s">
        <v>657</v>
      </c>
      <c r="H1" s="94" t="s">
        <v>656</v>
      </c>
      <c r="I1" s="94" t="s">
        <v>655</v>
      </c>
      <c r="J1" s="152" t="s">
        <v>654</v>
      </c>
      <c r="K1" s="152" t="s">
        <v>653</v>
      </c>
      <c r="L1" s="153" t="s">
        <v>549</v>
      </c>
      <c r="M1" s="154" t="s">
        <v>596</v>
      </c>
      <c r="N1" s="94"/>
      <c r="O1" s="91">
        <v>122</v>
      </c>
    </row>
    <row r="2" spans="1:15" ht="18" customHeight="1">
      <c r="A2" s="55">
        <v>1</v>
      </c>
      <c r="B2" s="55" t="s">
        <v>324</v>
      </c>
      <c r="C2" s="55" t="s">
        <v>587</v>
      </c>
      <c r="D2" s="55">
        <v>1111</v>
      </c>
      <c r="E2" s="55" t="s">
        <v>652</v>
      </c>
      <c r="F2" s="55" t="s">
        <v>651</v>
      </c>
      <c r="H2" s="55" t="s">
        <v>651</v>
      </c>
      <c r="K2" s="64"/>
      <c r="L2" s="93" t="s">
        <v>650</v>
      </c>
      <c r="M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3" spans="1:15" ht="18" customHeight="1">
      <c r="A3" s="55">
        <v>2</v>
      </c>
      <c r="B3" s="55" t="s">
        <v>324</v>
      </c>
      <c r="C3" s="55" t="s">
        <v>587</v>
      </c>
      <c r="D3" s="55" t="s">
        <v>648</v>
      </c>
      <c r="E3" s="55" t="s">
        <v>649</v>
      </c>
      <c r="F3" s="55" t="s">
        <v>647</v>
      </c>
      <c r="G3" s="55" t="s">
        <v>648</v>
      </c>
      <c r="H3" s="55" t="s">
        <v>647</v>
      </c>
      <c r="K3" s="64"/>
      <c r="L3" s="92" t="s">
        <v>646</v>
      </c>
      <c r="M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4" spans="1:15" ht="18" customHeight="1">
      <c r="A4" s="55">
        <v>3</v>
      </c>
      <c r="B4" s="55" t="s">
        <v>324</v>
      </c>
      <c r="C4" s="55" t="s">
        <v>587</v>
      </c>
      <c r="D4" s="55" t="s">
        <v>644</v>
      </c>
      <c r="E4" s="55" t="s">
        <v>645</v>
      </c>
      <c r="F4" s="55" t="s">
        <v>643</v>
      </c>
      <c r="G4" s="55" t="s">
        <v>644</v>
      </c>
      <c r="H4" s="55" t="s">
        <v>643</v>
      </c>
      <c r="J4" s="55" t="s">
        <v>642</v>
      </c>
      <c r="K4" s="64"/>
      <c r="L4" s="93" t="s">
        <v>641</v>
      </c>
      <c r="M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5" spans="1:15" ht="18" customHeight="1">
      <c r="A5" s="55">
        <v>4</v>
      </c>
      <c r="B5" s="55" t="s">
        <v>324</v>
      </c>
      <c r="C5" s="55" t="s">
        <v>587</v>
      </c>
      <c r="D5" s="55" t="s">
        <v>639</v>
      </c>
      <c r="E5" s="55" t="s">
        <v>640</v>
      </c>
      <c r="F5" s="55" t="s">
        <v>638</v>
      </c>
      <c r="G5" s="55" t="s">
        <v>639</v>
      </c>
      <c r="H5" s="55" t="s">
        <v>638</v>
      </c>
      <c r="I5" s="55" t="s">
        <v>637</v>
      </c>
      <c r="J5" s="55" t="s">
        <v>636</v>
      </c>
      <c r="K5" s="64"/>
      <c r="L5" s="93" t="s">
        <v>635</v>
      </c>
      <c r="M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6" spans="1:15" ht="18" customHeight="1">
      <c r="A6" s="55">
        <v>5</v>
      </c>
      <c r="B6" s="55" t="s">
        <v>922</v>
      </c>
      <c r="C6" s="55" t="s">
        <v>921</v>
      </c>
      <c r="G6" s="55" t="s">
        <v>918</v>
      </c>
      <c r="H6" s="55" t="s">
        <v>924</v>
      </c>
      <c r="K6" s="64"/>
      <c r="L6" s="92" t="s">
        <v>925</v>
      </c>
      <c r="M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0</v>
      </c>
    </row>
    <row r="7" spans="1:15" ht="18" customHeight="1">
      <c r="A7" s="55">
        <v>6</v>
      </c>
      <c r="B7" s="55" t="s">
        <v>562</v>
      </c>
      <c r="C7" s="55" t="s">
        <v>561</v>
      </c>
      <c r="D7" s="55" t="s">
        <v>926</v>
      </c>
      <c r="E7" s="55" t="s">
        <v>930</v>
      </c>
      <c r="F7" s="55" t="s">
        <v>931</v>
      </c>
      <c r="G7" s="55" t="s">
        <v>926</v>
      </c>
      <c r="H7" s="55" t="s">
        <v>931</v>
      </c>
      <c r="K7" s="64"/>
      <c r="L7" s="92" t="s">
        <v>932</v>
      </c>
      <c r="M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" spans="1:15" ht="18" customHeight="1">
      <c r="A8" s="55">
        <v>7</v>
      </c>
      <c r="B8" s="55" t="s">
        <v>562</v>
      </c>
      <c r="C8" s="55" t="s">
        <v>561</v>
      </c>
      <c r="D8" s="55" t="s">
        <v>933</v>
      </c>
      <c r="E8" s="55" t="s">
        <v>938</v>
      </c>
      <c r="F8" s="55" t="s">
        <v>939</v>
      </c>
      <c r="G8" s="55" t="s">
        <v>933</v>
      </c>
      <c r="H8" s="55" t="s">
        <v>939</v>
      </c>
      <c r="K8" s="64"/>
      <c r="L8" s="92" t="s">
        <v>940</v>
      </c>
      <c r="M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" spans="1:15" ht="18" customHeight="1">
      <c r="A9" s="55">
        <v>8</v>
      </c>
      <c r="B9" s="55" t="s">
        <v>562</v>
      </c>
      <c r="C9" s="55" t="s">
        <v>561</v>
      </c>
      <c r="D9" s="55" t="s">
        <v>942</v>
      </c>
      <c r="E9" s="55" t="s">
        <v>948</v>
      </c>
      <c r="F9" s="55" t="s">
        <v>949</v>
      </c>
      <c r="G9" s="55" t="s">
        <v>942</v>
      </c>
      <c r="H9" s="55" t="s">
        <v>949</v>
      </c>
      <c r="K9" s="64"/>
      <c r="L9" s="92" t="s">
        <v>950</v>
      </c>
      <c r="M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" spans="1:15" ht="18" customHeight="1">
      <c r="A10" s="55">
        <v>9</v>
      </c>
      <c r="B10" s="55" t="s">
        <v>562</v>
      </c>
      <c r="C10" s="55" t="s">
        <v>561</v>
      </c>
      <c r="D10" s="55" t="s">
        <v>953</v>
      </c>
      <c r="E10" s="55" t="s">
        <v>958</v>
      </c>
      <c r="F10" s="55" t="s">
        <v>959</v>
      </c>
      <c r="G10" s="55" t="s">
        <v>953</v>
      </c>
      <c r="H10" s="55" t="s">
        <v>959</v>
      </c>
      <c r="K10" s="64"/>
      <c r="L10" s="92" t="s">
        <v>960</v>
      </c>
      <c r="M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" spans="1:15" ht="18" customHeight="1">
      <c r="A11" s="55">
        <v>10</v>
      </c>
      <c r="B11" s="55" t="s">
        <v>562</v>
      </c>
      <c r="C11" s="55" t="s">
        <v>561</v>
      </c>
      <c r="D11" s="55" t="s">
        <v>962</v>
      </c>
      <c r="E11" s="55" t="s">
        <v>967</v>
      </c>
      <c r="F11" s="55" t="s">
        <v>968</v>
      </c>
      <c r="G11" s="55" t="s">
        <v>962</v>
      </c>
      <c r="H11" s="55" t="s">
        <v>968</v>
      </c>
      <c r="J11" s="55" t="s">
        <v>970</v>
      </c>
      <c r="K11" s="64"/>
      <c r="L11" s="92" t="s">
        <v>969</v>
      </c>
      <c r="M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" spans="1:15" ht="18" customHeight="1">
      <c r="A12" s="55">
        <v>11</v>
      </c>
      <c r="B12" s="55" t="s">
        <v>673</v>
      </c>
      <c r="C12" s="55" t="s">
        <v>568</v>
      </c>
      <c r="D12" s="55" t="s">
        <v>981</v>
      </c>
      <c r="E12" s="55" t="s">
        <v>982</v>
      </c>
      <c r="F12" s="55" t="s">
        <v>983</v>
      </c>
      <c r="G12" s="55" t="s">
        <v>978</v>
      </c>
      <c r="H12" s="55" t="s">
        <v>983</v>
      </c>
      <c r="J12" s="55" t="s">
        <v>569</v>
      </c>
      <c r="K12" s="64"/>
      <c r="L12" s="92" t="s">
        <v>984</v>
      </c>
      <c r="M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3" spans="1:15" ht="18" customHeight="1">
      <c r="A13" s="55">
        <v>12</v>
      </c>
      <c r="B13" s="55" t="s">
        <v>673</v>
      </c>
      <c r="C13" s="55" t="s">
        <v>568</v>
      </c>
      <c r="D13" s="55" t="s">
        <v>986</v>
      </c>
      <c r="E13" s="55" t="s">
        <v>990</v>
      </c>
      <c r="F13" s="55" t="s">
        <v>991</v>
      </c>
      <c r="G13" s="55" t="s">
        <v>986</v>
      </c>
      <c r="H13" s="55" t="s">
        <v>991</v>
      </c>
      <c r="J13" s="55" t="s">
        <v>571</v>
      </c>
      <c r="K13" s="64"/>
      <c r="L13" s="92" t="s">
        <v>992</v>
      </c>
      <c r="M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4" spans="1:15" ht="18" customHeight="1">
      <c r="A14" s="55">
        <v>13</v>
      </c>
      <c r="B14" s="55" t="s">
        <v>673</v>
      </c>
      <c r="C14" s="55" t="s">
        <v>568</v>
      </c>
      <c r="D14" s="55" t="s">
        <v>994</v>
      </c>
      <c r="E14" s="55" t="s">
        <v>998</v>
      </c>
      <c r="F14" s="55" t="s">
        <v>999</v>
      </c>
      <c r="G14" s="55" t="s">
        <v>994</v>
      </c>
      <c r="H14" s="55" t="s">
        <v>999</v>
      </c>
      <c r="J14" s="55" t="s">
        <v>571</v>
      </c>
      <c r="K14" s="64"/>
      <c r="L14" s="92" t="s">
        <v>1000</v>
      </c>
      <c r="M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5" spans="1:15" ht="18" customHeight="1">
      <c r="A15" s="55">
        <v>14</v>
      </c>
      <c r="B15" s="55" t="s">
        <v>562</v>
      </c>
      <c r="C15" s="55" t="s">
        <v>568</v>
      </c>
      <c r="D15" s="55" t="s">
        <v>1002</v>
      </c>
      <c r="E15" s="55" t="s">
        <v>1005</v>
      </c>
      <c r="F15" s="55" t="s">
        <v>1006</v>
      </c>
      <c r="G15" s="55" t="s">
        <v>1002</v>
      </c>
      <c r="H15" s="55" t="s">
        <v>1006</v>
      </c>
      <c r="J15" s="55" t="s">
        <v>571</v>
      </c>
      <c r="K15" s="64"/>
      <c r="L15" s="92" t="s">
        <v>1007</v>
      </c>
      <c r="M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6" spans="1:15" ht="18" customHeight="1">
      <c r="A16" s="55">
        <v>15</v>
      </c>
      <c r="B16" s="55" t="s">
        <v>562</v>
      </c>
      <c r="C16" s="55" t="s">
        <v>568</v>
      </c>
      <c r="D16" s="55" t="s">
        <v>1012</v>
      </c>
      <c r="E16" s="55" t="s">
        <v>1013</v>
      </c>
      <c r="F16" s="55" t="s">
        <v>1014</v>
      </c>
      <c r="G16" s="55" t="s">
        <v>1009</v>
      </c>
      <c r="H16" s="55" t="s">
        <v>1014</v>
      </c>
      <c r="J16" s="55" t="s">
        <v>1016</v>
      </c>
      <c r="K16" s="64"/>
      <c r="L16" s="92" t="s">
        <v>1015</v>
      </c>
      <c r="M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7" spans="1:13" ht="18" customHeight="1">
      <c r="A17" s="55">
        <v>16</v>
      </c>
      <c r="B17" s="55" t="s">
        <v>562</v>
      </c>
      <c r="C17" s="55" t="s">
        <v>568</v>
      </c>
      <c r="D17" s="55" t="s">
        <v>1018</v>
      </c>
      <c r="E17" s="55" t="s">
        <v>1021</v>
      </c>
      <c r="F17" s="55" t="s">
        <v>1022</v>
      </c>
      <c r="G17" s="55" t="s">
        <v>1018</v>
      </c>
      <c r="H17" s="55" t="s">
        <v>1022</v>
      </c>
      <c r="J17" s="55" t="s">
        <v>571</v>
      </c>
      <c r="K17" s="64"/>
      <c r="L17" s="92" t="s">
        <v>1023</v>
      </c>
      <c r="M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8" spans="1:13" ht="18" customHeight="1">
      <c r="A18" s="55">
        <v>17</v>
      </c>
      <c r="B18" s="55" t="s">
        <v>562</v>
      </c>
      <c r="C18" s="55" t="s">
        <v>568</v>
      </c>
      <c r="D18" s="55" t="s">
        <v>1028</v>
      </c>
      <c r="E18" s="55" t="s">
        <v>1029</v>
      </c>
      <c r="F18" s="55" t="s">
        <v>1030</v>
      </c>
      <c r="G18" s="55" t="s">
        <v>1025</v>
      </c>
      <c r="H18" s="55" t="s">
        <v>1030</v>
      </c>
      <c r="J18" s="55" t="s">
        <v>571</v>
      </c>
      <c r="K18" s="64"/>
      <c r="L18" s="92" t="s">
        <v>1031</v>
      </c>
      <c r="M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9" spans="1:13" ht="18" customHeight="1">
      <c r="A19" s="55">
        <v>18</v>
      </c>
      <c r="B19" s="55" t="s">
        <v>673</v>
      </c>
      <c r="C19" s="55" t="s">
        <v>561</v>
      </c>
      <c r="D19" s="55" t="s">
        <v>1039</v>
      </c>
      <c r="E19" s="55" t="s">
        <v>1040</v>
      </c>
      <c r="F19" s="55" t="s">
        <v>1041</v>
      </c>
      <c r="G19" s="55" t="s">
        <v>1033</v>
      </c>
      <c r="H19" s="55" t="s">
        <v>1041</v>
      </c>
      <c r="J19" s="55" t="s">
        <v>1043</v>
      </c>
      <c r="K19" s="64"/>
      <c r="L19" s="92" t="s">
        <v>1042</v>
      </c>
      <c r="M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0" spans="1:13" ht="18" customHeight="1">
      <c r="A20" s="55">
        <v>19</v>
      </c>
      <c r="B20" s="55" t="s">
        <v>562</v>
      </c>
      <c r="C20" s="55" t="s">
        <v>561</v>
      </c>
      <c r="D20" s="55" t="s">
        <v>1063</v>
      </c>
      <c r="E20" s="55" t="s">
        <v>1068</v>
      </c>
      <c r="F20" s="55" t="s">
        <v>1069</v>
      </c>
      <c r="G20" s="55" t="s">
        <v>1063</v>
      </c>
      <c r="H20" s="55" t="s">
        <v>1069</v>
      </c>
      <c r="K20" s="64"/>
      <c r="L20" s="92" t="s">
        <v>1070</v>
      </c>
      <c r="M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1" spans="1:13" ht="18" customHeight="1">
      <c r="A21" s="55">
        <v>20</v>
      </c>
      <c r="B21" s="55" t="s">
        <v>562</v>
      </c>
      <c r="C21" s="55" t="s">
        <v>561</v>
      </c>
      <c r="D21" s="55" t="s">
        <v>1072</v>
      </c>
      <c r="E21" s="55" t="s">
        <v>1076</v>
      </c>
      <c r="F21" s="55" t="s">
        <v>1077</v>
      </c>
      <c r="G21" s="55" t="s">
        <v>1072</v>
      </c>
      <c r="H21" s="55" t="s">
        <v>1077</v>
      </c>
      <c r="K21" s="64"/>
      <c r="L21" s="92" t="s">
        <v>1078</v>
      </c>
      <c r="M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2" spans="1:13" ht="18" customHeight="1">
      <c r="A22" s="55">
        <v>21</v>
      </c>
      <c r="B22" s="55" t="s">
        <v>562</v>
      </c>
      <c r="C22" s="55" t="s">
        <v>561</v>
      </c>
      <c r="D22" s="55" t="s">
        <v>1080</v>
      </c>
      <c r="E22" s="55" t="s">
        <v>1084</v>
      </c>
      <c r="F22" s="55" t="s">
        <v>1085</v>
      </c>
      <c r="G22" s="55" t="s">
        <v>1080</v>
      </c>
      <c r="H22" s="55" t="s">
        <v>1086</v>
      </c>
      <c r="K22" s="64"/>
      <c r="L22" s="92" t="s">
        <v>1087</v>
      </c>
      <c r="M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3" spans="1:13" ht="18" customHeight="1">
      <c r="A23" s="55">
        <v>22</v>
      </c>
      <c r="B23" s="55" t="s">
        <v>673</v>
      </c>
      <c r="C23" s="55" t="s">
        <v>561</v>
      </c>
      <c r="D23" s="55" t="s">
        <v>1089</v>
      </c>
      <c r="E23" s="55" t="s">
        <v>1094</v>
      </c>
      <c r="F23" s="55" t="s">
        <v>1095</v>
      </c>
      <c r="G23" s="55" t="s">
        <v>1089</v>
      </c>
      <c r="H23" s="55" t="s">
        <v>1095</v>
      </c>
      <c r="K23" s="64"/>
      <c r="L23" s="92" t="s">
        <v>1096</v>
      </c>
      <c r="M2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4" spans="1:13" ht="18" customHeight="1">
      <c r="A24" s="55">
        <v>23</v>
      </c>
      <c r="B24" s="55" t="s">
        <v>673</v>
      </c>
      <c r="C24" s="55" t="s">
        <v>561</v>
      </c>
      <c r="D24" s="55" t="s">
        <v>1098</v>
      </c>
      <c r="E24" s="55" t="s">
        <v>1103</v>
      </c>
      <c r="F24" s="55" t="s">
        <v>1104</v>
      </c>
      <c r="G24" s="55" t="s">
        <v>1098</v>
      </c>
      <c r="H24" s="55" t="s">
        <v>1104</v>
      </c>
      <c r="K24" s="64"/>
      <c r="L24" s="92" t="s">
        <v>1105</v>
      </c>
      <c r="M2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5" spans="1:13" ht="18" customHeight="1">
      <c r="A25" s="55">
        <v>24</v>
      </c>
      <c r="B25" s="55" t="s">
        <v>673</v>
      </c>
      <c r="C25" s="55" t="s">
        <v>561</v>
      </c>
      <c r="D25" s="55" t="s">
        <v>1112</v>
      </c>
      <c r="E25" s="55" t="s">
        <v>1113</v>
      </c>
      <c r="F25" s="55" t="s">
        <v>1114</v>
      </c>
      <c r="G25" s="55" t="s">
        <v>1107</v>
      </c>
      <c r="H25" s="55" t="s">
        <v>1114</v>
      </c>
      <c r="K25" s="64"/>
      <c r="L25" s="92" t="s">
        <v>1115</v>
      </c>
      <c r="M2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6" spans="1:13" ht="18" customHeight="1">
      <c r="A26" s="55">
        <v>25</v>
      </c>
      <c r="B26" s="55" t="s">
        <v>673</v>
      </c>
      <c r="C26" s="55" t="s">
        <v>561</v>
      </c>
      <c r="D26" s="55" t="s">
        <v>1123</v>
      </c>
      <c r="E26" s="55" t="s">
        <v>1124</v>
      </c>
      <c r="F26" s="55" t="s">
        <v>1125</v>
      </c>
      <c r="G26" s="55" t="s">
        <v>1117</v>
      </c>
      <c r="H26" s="55" t="s">
        <v>1125</v>
      </c>
      <c r="K26" s="64"/>
      <c r="L26" s="92" t="s">
        <v>1126</v>
      </c>
      <c r="M2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27" spans="1:13" ht="18" customHeight="1">
      <c r="A27" s="55">
        <v>26</v>
      </c>
      <c r="B27" s="55" t="s">
        <v>673</v>
      </c>
      <c r="C27" s="55" t="s">
        <v>561</v>
      </c>
      <c r="D27" s="55" t="s">
        <v>1135</v>
      </c>
      <c r="E27" s="55" t="s">
        <v>1140</v>
      </c>
      <c r="F27" s="55" t="s">
        <v>1141</v>
      </c>
      <c r="G27" s="55" t="s">
        <v>1135</v>
      </c>
      <c r="H27" s="55" t="s">
        <v>1141</v>
      </c>
      <c r="K27" s="64"/>
      <c r="L27" s="92" t="s">
        <v>1142</v>
      </c>
      <c r="M2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8" spans="1:13" ht="18" customHeight="1">
      <c r="A28" s="55">
        <v>27</v>
      </c>
      <c r="B28" s="55" t="s">
        <v>562</v>
      </c>
      <c r="C28" s="55" t="s">
        <v>568</v>
      </c>
      <c r="D28" s="55" t="s">
        <v>1149</v>
      </c>
      <c r="E28" s="55" t="s">
        <v>1150</v>
      </c>
      <c r="F28" s="55" t="s">
        <v>1151</v>
      </c>
      <c r="G28" s="55" t="s">
        <v>1144</v>
      </c>
      <c r="H28" s="55" t="s">
        <v>1151</v>
      </c>
      <c r="J28" s="55" t="s">
        <v>571</v>
      </c>
      <c r="K28" s="64"/>
      <c r="L28" s="92" t="s">
        <v>1152</v>
      </c>
      <c r="M2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29" spans="1:13" ht="18" customHeight="1">
      <c r="A29" s="55">
        <v>28</v>
      </c>
      <c r="B29" s="55" t="s">
        <v>562</v>
      </c>
      <c r="C29" s="55" t="s">
        <v>568</v>
      </c>
      <c r="D29" s="55" t="s">
        <v>1154</v>
      </c>
      <c r="E29" s="55" t="s">
        <v>982</v>
      </c>
      <c r="F29" s="55" t="s">
        <v>1157</v>
      </c>
      <c r="G29" s="55" t="s">
        <v>1154</v>
      </c>
      <c r="H29" s="55" t="s">
        <v>1157</v>
      </c>
      <c r="J29" s="55" t="s">
        <v>571</v>
      </c>
      <c r="K29" s="64"/>
      <c r="L29" s="92" t="s">
        <v>1158</v>
      </c>
      <c r="M2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0" spans="1:13" ht="18" customHeight="1">
      <c r="A30" s="55">
        <v>29</v>
      </c>
      <c r="B30" s="55" t="s">
        <v>562</v>
      </c>
      <c r="C30" s="55" t="s">
        <v>568</v>
      </c>
      <c r="D30" s="55" t="s">
        <v>1160</v>
      </c>
      <c r="E30" s="55" t="s">
        <v>1163</v>
      </c>
      <c r="F30" s="55" t="s">
        <v>1164</v>
      </c>
      <c r="G30" s="55" t="s">
        <v>1160</v>
      </c>
      <c r="H30" s="55" t="s">
        <v>1164</v>
      </c>
      <c r="J30" s="55" t="s">
        <v>569</v>
      </c>
      <c r="K30" s="64"/>
      <c r="L30" s="92" t="s">
        <v>1165</v>
      </c>
      <c r="M3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1" spans="1:13" ht="18" customHeight="1">
      <c r="A31" s="55">
        <v>30</v>
      </c>
      <c r="B31" s="55" t="s">
        <v>562</v>
      </c>
      <c r="C31" s="55" t="s">
        <v>568</v>
      </c>
      <c r="D31" s="55" t="s">
        <v>1167</v>
      </c>
      <c r="E31" s="55" t="s">
        <v>1170</v>
      </c>
      <c r="F31" s="55" t="s">
        <v>1171</v>
      </c>
      <c r="G31" s="55" t="s">
        <v>1167</v>
      </c>
      <c r="H31" s="55" t="s">
        <v>1171</v>
      </c>
      <c r="J31" s="55" t="s">
        <v>571</v>
      </c>
      <c r="K31" s="64"/>
      <c r="L31" s="92" t="s">
        <v>1172</v>
      </c>
      <c r="M3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2" spans="1:13" ht="18" customHeight="1">
      <c r="A32" s="55">
        <v>31</v>
      </c>
      <c r="B32" s="55" t="s">
        <v>562</v>
      </c>
      <c r="C32" s="55" t="s">
        <v>568</v>
      </c>
      <c r="D32" s="55" t="s">
        <v>1174</v>
      </c>
      <c r="E32" s="55" t="s">
        <v>1178</v>
      </c>
      <c r="F32" s="55" t="s">
        <v>1179</v>
      </c>
      <c r="G32" s="55" t="s">
        <v>1174</v>
      </c>
      <c r="H32" s="55" t="s">
        <v>1179</v>
      </c>
      <c r="J32" s="55" t="s">
        <v>571</v>
      </c>
      <c r="K32" s="64"/>
      <c r="L32" s="92" t="s">
        <v>1180</v>
      </c>
      <c r="M3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3" spans="1:13" ht="18" customHeight="1">
      <c r="A33" s="55">
        <v>32</v>
      </c>
      <c r="B33" s="55" t="s">
        <v>673</v>
      </c>
      <c r="C33" s="55" t="s">
        <v>568</v>
      </c>
      <c r="D33" s="55" t="s">
        <v>1182</v>
      </c>
      <c r="E33" s="55" t="s">
        <v>1185</v>
      </c>
      <c r="F33" s="55" t="s">
        <v>1186</v>
      </c>
      <c r="G33" s="55" t="s">
        <v>1182</v>
      </c>
      <c r="H33" s="55" t="s">
        <v>1186</v>
      </c>
      <c r="J33" s="55" t="s">
        <v>571</v>
      </c>
      <c r="K33" s="64"/>
      <c r="L33" s="92" t="s">
        <v>1187</v>
      </c>
      <c r="M3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4" spans="1:13" ht="18" customHeight="1">
      <c r="A34" s="55">
        <v>33</v>
      </c>
      <c r="B34" s="55" t="s">
        <v>562</v>
      </c>
      <c r="C34" s="55" t="s">
        <v>561</v>
      </c>
      <c r="D34" s="55" t="s">
        <v>1194</v>
      </c>
      <c r="E34" s="55" t="s">
        <v>1195</v>
      </c>
      <c r="F34" s="55" t="s">
        <v>1196</v>
      </c>
      <c r="G34" s="55" t="s">
        <v>1189</v>
      </c>
      <c r="H34" s="55" t="s">
        <v>1196</v>
      </c>
      <c r="J34" s="55" t="s">
        <v>1198</v>
      </c>
      <c r="K34" s="64"/>
      <c r="L34" s="92" t="s">
        <v>1197</v>
      </c>
      <c r="M3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35" spans="1:13" ht="18" customHeight="1">
      <c r="A35" s="55">
        <v>34</v>
      </c>
      <c r="B35" s="55" t="s">
        <v>562</v>
      </c>
      <c r="C35" s="55" t="s">
        <v>561</v>
      </c>
      <c r="D35" s="55" t="s">
        <v>1209</v>
      </c>
      <c r="E35" s="55" t="s">
        <v>1213</v>
      </c>
      <c r="F35" s="55" t="s">
        <v>1214</v>
      </c>
      <c r="G35" s="55" t="s">
        <v>1209</v>
      </c>
      <c r="H35" s="55" t="s">
        <v>1214</v>
      </c>
      <c r="I35" s="55" t="s">
        <v>1215</v>
      </c>
      <c r="K35" s="64"/>
      <c r="L35" s="92" t="s">
        <v>1216</v>
      </c>
      <c r="M3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6" spans="1:13" ht="18" customHeight="1">
      <c r="A36" s="55">
        <v>35</v>
      </c>
      <c r="B36" s="55" t="s">
        <v>562</v>
      </c>
      <c r="C36" s="55" t="s">
        <v>561</v>
      </c>
      <c r="D36" s="55" t="s">
        <v>1218</v>
      </c>
      <c r="E36" s="55" t="s">
        <v>1223</v>
      </c>
      <c r="F36" s="55" t="s">
        <v>1224</v>
      </c>
      <c r="G36" s="55" t="s">
        <v>1218</v>
      </c>
      <c r="H36" s="55" t="s">
        <v>1224</v>
      </c>
      <c r="I36" s="55" t="s">
        <v>1224</v>
      </c>
      <c r="J36" s="55" t="s">
        <v>1226</v>
      </c>
      <c r="K36" s="64"/>
      <c r="L36" s="92" t="s">
        <v>1225</v>
      </c>
      <c r="M3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7" spans="1:13" ht="18" customHeight="1">
      <c r="A37" s="55">
        <v>36</v>
      </c>
      <c r="B37" s="55" t="s">
        <v>562</v>
      </c>
      <c r="C37" s="55" t="s">
        <v>568</v>
      </c>
      <c r="D37" s="55" t="s">
        <v>1231</v>
      </c>
      <c r="E37" s="55" t="s">
        <v>1232</v>
      </c>
      <c r="F37" s="55" t="s">
        <v>1233</v>
      </c>
      <c r="G37" s="55" t="s">
        <v>1228</v>
      </c>
      <c r="H37" s="55" t="s">
        <v>1233</v>
      </c>
      <c r="J37" s="55" t="s">
        <v>1235</v>
      </c>
      <c r="K37" s="64"/>
      <c r="L37" s="92" t="s">
        <v>1234</v>
      </c>
      <c r="M3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8" spans="1:13" ht="18" customHeight="1">
      <c r="A38" s="55">
        <v>37</v>
      </c>
      <c r="B38" s="55" t="s">
        <v>562</v>
      </c>
      <c r="C38" s="55" t="s">
        <v>568</v>
      </c>
      <c r="D38" s="55" t="s">
        <v>1237</v>
      </c>
      <c r="E38" s="55" t="s">
        <v>1240</v>
      </c>
      <c r="F38" s="55" t="s">
        <v>1241</v>
      </c>
      <c r="G38" s="55" t="s">
        <v>1237</v>
      </c>
      <c r="H38" s="55" t="s">
        <v>1241</v>
      </c>
      <c r="J38" s="55" t="s">
        <v>571</v>
      </c>
      <c r="K38" s="64"/>
      <c r="L38" s="92" t="s">
        <v>1242</v>
      </c>
      <c r="M3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39" spans="1:13" ht="18" customHeight="1">
      <c r="A39" s="55">
        <v>38</v>
      </c>
      <c r="B39" s="55" t="s">
        <v>562</v>
      </c>
      <c r="C39" s="55" t="s">
        <v>568</v>
      </c>
      <c r="D39" s="55" t="s">
        <v>1247</v>
      </c>
      <c r="E39" s="55" t="s">
        <v>1248</v>
      </c>
      <c r="F39" s="55" t="s">
        <v>1249</v>
      </c>
      <c r="G39" s="55" t="s">
        <v>1244</v>
      </c>
      <c r="H39" s="55" t="s">
        <v>1249</v>
      </c>
      <c r="J39" s="55" t="s">
        <v>571</v>
      </c>
      <c r="K39" s="64"/>
      <c r="L39" s="92" t="s">
        <v>1250</v>
      </c>
      <c r="M3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0" spans="1:13" ht="18" customHeight="1">
      <c r="A40" s="55">
        <v>39</v>
      </c>
      <c r="B40" s="55" t="s">
        <v>673</v>
      </c>
      <c r="C40" s="55" t="s">
        <v>561</v>
      </c>
      <c r="D40" s="55" t="s">
        <v>1252</v>
      </c>
      <c r="E40" s="55" t="s">
        <v>1258</v>
      </c>
      <c r="F40" s="55" t="s">
        <v>1259</v>
      </c>
      <c r="G40" s="55" t="s">
        <v>1252</v>
      </c>
      <c r="H40" s="55" t="s">
        <v>1259</v>
      </c>
      <c r="J40" s="55" t="s">
        <v>1261</v>
      </c>
      <c r="K40" s="64"/>
      <c r="L40" s="92" t="s">
        <v>1260</v>
      </c>
      <c r="M4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1" spans="1:13" ht="18" customHeight="1">
      <c r="A41" s="55">
        <v>40</v>
      </c>
      <c r="B41" s="55" t="s">
        <v>673</v>
      </c>
      <c r="C41" s="55" t="s">
        <v>561</v>
      </c>
      <c r="D41" s="55" t="s">
        <v>1264</v>
      </c>
      <c r="E41" s="55" t="s">
        <v>1268</v>
      </c>
      <c r="F41" s="55" t="s">
        <v>1269</v>
      </c>
      <c r="G41" s="55" t="s">
        <v>1264</v>
      </c>
      <c r="H41" s="55" t="s">
        <v>1269</v>
      </c>
      <c r="K41" s="64"/>
      <c r="L41" s="92" t="s">
        <v>1270</v>
      </c>
      <c r="M4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2" spans="1:13" ht="18" customHeight="1">
      <c r="A42" s="55">
        <v>41</v>
      </c>
      <c r="B42" s="55" t="s">
        <v>673</v>
      </c>
      <c r="C42" s="55" t="s">
        <v>561</v>
      </c>
      <c r="D42" s="55" t="s">
        <v>1272</v>
      </c>
      <c r="E42" s="55" t="s">
        <v>1276</v>
      </c>
      <c r="F42" s="55" t="s">
        <v>1277</v>
      </c>
      <c r="G42" s="55" t="s">
        <v>1272</v>
      </c>
      <c r="H42" s="55" t="s">
        <v>1277</v>
      </c>
      <c r="K42" s="64"/>
      <c r="L42" s="92" t="s">
        <v>1278</v>
      </c>
      <c r="M4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3" spans="1:13" ht="18" customHeight="1">
      <c r="A43" s="55">
        <v>42</v>
      </c>
      <c r="B43" s="55" t="s">
        <v>673</v>
      </c>
      <c r="C43" s="55" t="s">
        <v>568</v>
      </c>
      <c r="D43" s="55" t="s">
        <v>1304</v>
      </c>
      <c r="E43" s="55" t="s">
        <v>1309</v>
      </c>
      <c r="F43" s="55" t="s">
        <v>1310</v>
      </c>
      <c r="G43" s="55" t="s">
        <v>1304</v>
      </c>
      <c r="H43" s="55" t="s">
        <v>1310</v>
      </c>
      <c r="J43" s="55" t="s">
        <v>569</v>
      </c>
      <c r="K43" s="64"/>
      <c r="L43" s="92" t="s">
        <v>1311</v>
      </c>
      <c r="M4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4" spans="1:13" ht="18" customHeight="1">
      <c r="A44" s="55">
        <v>43</v>
      </c>
      <c r="B44" s="55" t="s">
        <v>673</v>
      </c>
      <c r="C44" s="55" t="s">
        <v>568</v>
      </c>
      <c r="D44" s="55" t="s">
        <v>1317</v>
      </c>
      <c r="E44" s="55" t="s">
        <v>1318</v>
      </c>
      <c r="F44" s="55" t="s">
        <v>1319</v>
      </c>
      <c r="G44" s="55" t="s">
        <v>1313</v>
      </c>
      <c r="H44" s="55" t="s">
        <v>1319</v>
      </c>
      <c r="J44" s="55" t="s">
        <v>569</v>
      </c>
      <c r="K44" s="64"/>
      <c r="L44" s="92" t="s">
        <v>1320</v>
      </c>
      <c r="M4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5" spans="1:13" ht="18" customHeight="1">
      <c r="A45" s="55">
        <v>44</v>
      </c>
      <c r="B45" s="55" t="s">
        <v>562</v>
      </c>
      <c r="C45" s="55" t="s">
        <v>561</v>
      </c>
      <c r="D45" s="55" t="s">
        <v>1339</v>
      </c>
      <c r="E45" s="55" t="s">
        <v>1340</v>
      </c>
      <c r="F45" s="55" t="s">
        <v>1341</v>
      </c>
      <c r="G45" s="55" t="s">
        <v>1335</v>
      </c>
      <c r="H45" s="55" t="s">
        <v>1341</v>
      </c>
      <c r="K45" s="64"/>
      <c r="L45" s="92" t="s">
        <v>1342</v>
      </c>
      <c r="M4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6" spans="1:13" ht="18" customHeight="1">
      <c r="A46" s="55">
        <v>45</v>
      </c>
      <c r="B46" s="55" t="s">
        <v>562</v>
      </c>
      <c r="C46" s="55" t="s">
        <v>561</v>
      </c>
      <c r="D46" s="55" t="s">
        <v>1349</v>
      </c>
      <c r="E46" s="55" t="s">
        <v>1350</v>
      </c>
      <c r="F46" s="55" t="s">
        <v>1351</v>
      </c>
      <c r="G46" s="55" t="s">
        <v>1344</v>
      </c>
      <c r="H46" s="55" t="s">
        <v>1351</v>
      </c>
      <c r="I46" s="55" t="s">
        <v>1352</v>
      </c>
      <c r="J46" s="55" t="s">
        <v>1354</v>
      </c>
      <c r="K46" s="64"/>
      <c r="L46" s="92" t="s">
        <v>1353</v>
      </c>
      <c r="M4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7" spans="1:13" ht="18" customHeight="1">
      <c r="A47" s="55">
        <v>46</v>
      </c>
      <c r="B47" s="55" t="s">
        <v>562</v>
      </c>
      <c r="C47" s="55" t="s">
        <v>561</v>
      </c>
      <c r="D47" s="55" t="s">
        <v>1356</v>
      </c>
      <c r="E47" s="55" t="s">
        <v>1362</v>
      </c>
      <c r="F47" s="55" t="s">
        <v>1363</v>
      </c>
      <c r="G47" s="55" t="s">
        <v>1356</v>
      </c>
      <c r="H47" s="55" t="s">
        <v>1363</v>
      </c>
      <c r="K47" s="64"/>
      <c r="L47" s="92" t="s">
        <v>1364</v>
      </c>
      <c r="M4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8" spans="1:13" ht="18" customHeight="1">
      <c r="A48" s="55">
        <v>47</v>
      </c>
      <c r="B48" s="55" t="s">
        <v>562</v>
      </c>
      <c r="C48" s="55" t="s">
        <v>561</v>
      </c>
      <c r="D48" s="55" t="s">
        <v>1367</v>
      </c>
      <c r="E48" s="55" t="s">
        <v>1372</v>
      </c>
      <c r="F48" s="55" t="s">
        <v>1373</v>
      </c>
      <c r="G48" s="55" t="s">
        <v>1367</v>
      </c>
      <c r="H48" s="55" t="s">
        <v>1373</v>
      </c>
      <c r="K48" s="64"/>
      <c r="L48" s="92" t="s">
        <v>1374</v>
      </c>
      <c r="M4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49" spans="1:13" ht="18" customHeight="1">
      <c r="A49" s="55">
        <v>48</v>
      </c>
      <c r="B49" s="55" t="s">
        <v>673</v>
      </c>
      <c r="C49" s="55" t="s">
        <v>561</v>
      </c>
      <c r="D49" s="55" t="s">
        <v>1376</v>
      </c>
      <c r="E49" s="55" t="s">
        <v>1380</v>
      </c>
      <c r="F49" s="55" t="s">
        <v>1381</v>
      </c>
      <c r="G49" s="55" t="s">
        <v>1376</v>
      </c>
      <c r="H49" s="55" t="s">
        <v>1381</v>
      </c>
      <c r="I49" s="55" t="s">
        <v>1382</v>
      </c>
      <c r="K49" s="64"/>
      <c r="L49" s="92" t="s">
        <v>1383</v>
      </c>
      <c r="M4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0" spans="1:13" ht="18" customHeight="1">
      <c r="A50" s="55">
        <v>49</v>
      </c>
      <c r="B50" s="55" t="s">
        <v>673</v>
      </c>
      <c r="C50" s="55" t="s">
        <v>561</v>
      </c>
      <c r="D50" s="55" t="s">
        <v>1385</v>
      </c>
      <c r="E50" s="55" t="s">
        <v>1389</v>
      </c>
      <c r="F50" s="55" t="s">
        <v>1390</v>
      </c>
      <c r="G50" s="55" t="s">
        <v>1385</v>
      </c>
      <c r="H50" s="55" t="s">
        <v>1390</v>
      </c>
      <c r="J50" s="55" t="s">
        <v>1392</v>
      </c>
      <c r="K50" s="64"/>
      <c r="L50" s="92" t="s">
        <v>1391</v>
      </c>
      <c r="M5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1" spans="1:13" ht="18" customHeight="1">
      <c r="A51" s="55">
        <v>50</v>
      </c>
      <c r="B51" s="55" t="s">
        <v>673</v>
      </c>
      <c r="C51" s="55" t="s">
        <v>568</v>
      </c>
      <c r="D51" s="55" t="s">
        <v>1398</v>
      </c>
      <c r="E51" s="55" t="s">
        <v>1399</v>
      </c>
      <c r="F51" s="55" t="s">
        <v>1400</v>
      </c>
      <c r="G51" s="55" t="s">
        <v>1394</v>
      </c>
      <c r="H51" s="55" t="s">
        <v>1400</v>
      </c>
      <c r="J51" s="55" t="s">
        <v>571</v>
      </c>
      <c r="K51" s="64"/>
      <c r="L51" s="92" t="s">
        <v>1401</v>
      </c>
      <c r="M5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2" spans="1:13" ht="18" customHeight="1">
      <c r="A52" s="55">
        <v>51</v>
      </c>
      <c r="B52" s="55" t="s">
        <v>562</v>
      </c>
      <c r="C52" s="55" t="s">
        <v>568</v>
      </c>
      <c r="D52" s="55" t="s">
        <v>1403</v>
      </c>
      <c r="E52" s="55" t="s">
        <v>1406</v>
      </c>
      <c r="F52" s="55" t="s">
        <v>1407</v>
      </c>
      <c r="G52" s="55" t="s">
        <v>1403</v>
      </c>
      <c r="H52" s="55" t="s">
        <v>1407</v>
      </c>
      <c r="J52" s="55" t="s">
        <v>571</v>
      </c>
      <c r="K52" s="64"/>
      <c r="L52" s="92" t="s">
        <v>1408</v>
      </c>
      <c r="M5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3" spans="1:13" ht="18" customHeight="1">
      <c r="A53" s="55">
        <v>52</v>
      </c>
      <c r="B53" s="55" t="s">
        <v>562</v>
      </c>
      <c r="C53" s="55" t="s">
        <v>568</v>
      </c>
      <c r="D53" s="55" t="s">
        <v>1413</v>
      </c>
      <c r="E53" s="55" t="s">
        <v>1414</v>
      </c>
      <c r="F53" s="55" t="s">
        <v>1415</v>
      </c>
      <c r="G53" s="55" t="s">
        <v>1410</v>
      </c>
      <c r="H53" s="55" t="s">
        <v>1415</v>
      </c>
      <c r="J53" s="55" t="s">
        <v>571</v>
      </c>
      <c r="K53" s="64"/>
      <c r="L53" s="92" t="s">
        <v>1416</v>
      </c>
      <c r="M5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4" spans="1:13" ht="18" customHeight="1">
      <c r="A54" s="55">
        <v>53</v>
      </c>
      <c r="B54" s="55" t="s">
        <v>673</v>
      </c>
      <c r="C54" s="55" t="s">
        <v>561</v>
      </c>
      <c r="D54" s="55" t="s">
        <v>1432</v>
      </c>
      <c r="E54" s="55" t="s">
        <v>1436</v>
      </c>
      <c r="F54" s="55" t="s">
        <v>1437</v>
      </c>
      <c r="G54" s="55" t="s">
        <v>1432</v>
      </c>
      <c r="H54" s="55" t="s">
        <v>1438</v>
      </c>
      <c r="K54" s="64"/>
      <c r="L54" s="92" t="s">
        <v>1439</v>
      </c>
      <c r="M5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5" spans="1:13" ht="18" customHeight="1">
      <c r="A55" s="55">
        <v>54</v>
      </c>
      <c r="B55" s="55" t="s">
        <v>673</v>
      </c>
      <c r="C55" s="55" t="s">
        <v>561</v>
      </c>
      <c r="D55" s="55" t="s">
        <v>1445</v>
      </c>
      <c r="E55" s="55" t="s">
        <v>1446</v>
      </c>
      <c r="F55" s="55" t="s">
        <v>1447</v>
      </c>
      <c r="G55" s="55" t="s">
        <v>1441</v>
      </c>
      <c r="H55" s="55" t="s">
        <v>1447</v>
      </c>
      <c r="I55" s="55" t="s">
        <v>1448</v>
      </c>
      <c r="K55" s="64"/>
      <c r="L55" s="92" t="s">
        <v>1449</v>
      </c>
      <c r="M5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56" spans="1:13" ht="18" customHeight="1">
      <c r="A56" s="55">
        <v>55</v>
      </c>
      <c r="B56" s="55" t="s">
        <v>562</v>
      </c>
      <c r="C56" s="55" t="s">
        <v>561</v>
      </c>
      <c r="D56" s="55" t="s">
        <v>1460</v>
      </c>
      <c r="E56" s="55" t="s">
        <v>1461</v>
      </c>
      <c r="F56" s="55" t="s">
        <v>1462</v>
      </c>
      <c r="G56" s="55" t="s">
        <v>1455</v>
      </c>
      <c r="H56" s="55" t="s">
        <v>1463</v>
      </c>
      <c r="K56" s="64"/>
      <c r="L56" s="92" t="s">
        <v>1464</v>
      </c>
      <c r="M5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7" spans="1:13" ht="18" customHeight="1">
      <c r="A57" s="55">
        <v>56</v>
      </c>
      <c r="B57" s="55" t="s">
        <v>562</v>
      </c>
      <c r="C57" s="55" t="s">
        <v>561</v>
      </c>
      <c r="D57" s="55" t="s">
        <v>1467</v>
      </c>
      <c r="E57" s="55" t="s">
        <v>1471</v>
      </c>
      <c r="F57" s="55" t="s">
        <v>1472</v>
      </c>
      <c r="G57" s="55" t="s">
        <v>1467</v>
      </c>
      <c r="H57" s="55" t="s">
        <v>1472</v>
      </c>
      <c r="K57" s="64"/>
      <c r="L57" s="92" t="s">
        <v>1473</v>
      </c>
      <c r="M5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8" spans="1:13" ht="18" customHeight="1">
      <c r="A58" s="55">
        <v>57</v>
      </c>
      <c r="B58" s="55" t="s">
        <v>562</v>
      </c>
      <c r="C58" s="55" t="s">
        <v>561</v>
      </c>
      <c r="D58" s="55" t="s">
        <v>1475</v>
      </c>
      <c r="E58" s="55" t="s">
        <v>1481</v>
      </c>
      <c r="F58" s="55" t="s">
        <v>1482</v>
      </c>
      <c r="G58" s="55" t="s">
        <v>1475</v>
      </c>
      <c r="H58" s="55" t="s">
        <v>1482</v>
      </c>
      <c r="K58" s="64"/>
      <c r="L58" s="92" t="s">
        <v>1483</v>
      </c>
      <c r="M5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59" spans="1:13" ht="18" customHeight="1">
      <c r="A59" s="55">
        <v>58</v>
      </c>
      <c r="B59" s="55" t="s">
        <v>562</v>
      </c>
      <c r="C59" s="55" t="s">
        <v>561</v>
      </c>
      <c r="D59" s="55" t="s">
        <v>1486</v>
      </c>
      <c r="E59" s="55" t="s">
        <v>1490</v>
      </c>
      <c r="F59" s="55" t="s">
        <v>1491</v>
      </c>
      <c r="G59" s="55" t="s">
        <v>1486</v>
      </c>
      <c r="H59" s="55" t="s">
        <v>1492</v>
      </c>
      <c r="K59" s="64"/>
      <c r="L59" s="92" t="s">
        <v>1493</v>
      </c>
      <c r="M5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4</v>
      </c>
    </row>
    <row r="60" spans="1:13" ht="18" customHeight="1">
      <c r="A60" s="55">
        <v>59</v>
      </c>
      <c r="B60" s="55" t="s">
        <v>673</v>
      </c>
      <c r="C60" s="55" t="s">
        <v>568</v>
      </c>
      <c r="D60" s="55" t="s">
        <v>1504</v>
      </c>
      <c r="E60" s="55" t="s">
        <v>1508</v>
      </c>
      <c r="F60" s="55" t="s">
        <v>1509</v>
      </c>
      <c r="G60" s="55" t="s">
        <v>1504</v>
      </c>
      <c r="H60" s="55" t="s">
        <v>1509</v>
      </c>
      <c r="J60" s="55" t="s">
        <v>569</v>
      </c>
      <c r="K60" s="64"/>
      <c r="L60" s="92" t="s">
        <v>1510</v>
      </c>
      <c r="M6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1" spans="1:13" ht="18" customHeight="1">
      <c r="A61" s="55">
        <v>60</v>
      </c>
      <c r="B61" s="55" t="s">
        <v>673</v>
      </c>
      <c r="C61" s="55" t="s">
        <v>568</v>
      </c>
      <c r="D61" s="55" t="s">
        <v>1512</v>
      </c>
      <c r="E61" s="55" t="s">
        <v>1005</v>
      </c>
      <c r="F61" s="55" t="s">
        <v>1515</v>
      </c>
      <c r="G61" s="55" t="s">
        <v>1512</v>
      </c>
      <c r="H61" s="55" t="s">
        <v>1515</v>
      </c>
      <c r="J61" s="55" t="s">
        <v>571</v>
      </c>
      <c r="K61" s="64"/>
      <c r="L61" s="92" t="s">
        <v>1516</v>
      </c>
      <c r="M6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2" spans="1:13" ht="18" customHeight="1">
      <c r="A62" s="55">
        <v>61</v>
      </c>
      <c r="B62" s="55" t="s">
        <v>562</v>
      </c>
      <c r="C62" s="55" t="s">
        <v>568</v>
      </c>
      <c r="D62" s="55" t="s">
        <v>1521</v>
      </c>
      <c r="E62" s="55" t="s">
        <v>1522</v>
      </c>
      <c r="F62" s="55" t="s">
        <v>1523</v>
      </c>
      <c r="G62" s="55" t="s">
        <v>1518</v>
      </c>
      <c r="H62" s="55" t="s">
        <v>1523</v>
      </c>
      <c r="J62" s="55" t="s">
        <v>1525</v>
      </c>
      <c r="K62" s="64"/>
      <c r="L62" s="92" t="s">
        <v>1524</v>
      </c>
      <c r="M6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3" spans="1:13" ht="18" customHeight="1">
      <c r="A63" s="55">
        <v>62</v>
      </c>
      <c r="B63" s="55" t="s">
        <v>562</v>
      </c>
      <c r="C63" s="55" t="s">
        <v>568</v>
      </c>
      <c r="D63" s="55" t="s">
        <v>1527</v>
      </c>
      <c r="E63" s="55" t="s">
        <v>1531</v>
      </c>
      <c r="F63" s="55" t="s">
        <v>1532</v>
      </c>
      <c r="G63" s="55" t="s">
        <v>1527</v>
      </c>
      <c r="H63" s="55" t="s">
        <v>1532</v>
      </c>
      <c r="J63" s="55" t="s">
        <v>571</v>
      </c>
      <c r="K63" s="64"/>
      <c r="L63" s="92" t="s">
        <v>1533</v>
      </c>
      <c r="M6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4" spans="1:13" ht="18" customHeight="1">
      <c r="A64" s="55">
        <v>63</v>
      </c>
      <c r="B64" s="55" t="s">
        <v>562</v>
      </c>
      <c r="C64" s="55" t="s">
        <v>568</v>
      </c>
      <c r="D64" s="55" t="s">
        <v>1542</v>
      </c>
      <c r="E64" s="55" t="s">
        <v>1547</v>
      </c>
      <c r="F64" s="55" t="s">
        <v>1548</v>
      </c>
      <c r="G64" s="55" t="s">
        <v>1542</v>
      </c>
      <c r="H64" s="55" t="s">
        <v>1548</v>
      </c>
      <c r="J64" s="55" t="s">
        <v>1550</v>
      </c>
      <c r="K64" s="64"/>
      <c r="L64" s="92" t="s">
        <v>1549</v>
      </c>
      <c r="M6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65" spans="1:13" ht="18" customHeight="1">
      <c r="A65" s="55">
        <v>64</v>
      </c>
      <c r="B65" s="55" t="s">
        <v>562</v>
      </c>
      <c r="C65" s="55" t="s">
        <v>568</v>
      </c>
      <c r="D65" s="55" t="s">
        <v>1554</v>
      </c>
      <c r="E65" s="55" t="s">
        <v>1557</v>
      </c>
      <c r="F65" s="55" t="s">
        <v>1558</v>
      </c>
      <c r="G65" s="55" t="s">
        <v>1554</v>
      </c>
      <c r="H65" s="55" t="s">
        <v>1558</v>
      </c>
      <c r="J65" s="55" t="s">
        <v>569</v>
      </c>
      <c r="K65" s="64"/>
      <c r="L65" s="92" t="s">
        <v>1559</v>
      </c>
      <c r="M6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6" spans="1:13" ht="18" customHeight="1">
      <c r="A66" s="55">
        <v>65</v>
      </c>
      <c r="B66" s="55" t="s">
        <v>562</v>
      </c>
      <c r="C66" s="55" t="s">
        <v>568</v>
      </c>
      <c r="D66" s="55" t="s">
        <v>1564</v>
      </c>
      <c r="E66" s="55" t="s">
        <v>1565</v>
      </c>
      <c r="F66" s="55" t="s">
        <v>1566</v>
      </c>
      <c r="G66" s="55" t="s">
        <v>1561</v>
      </c>
      <c r="H66" s="55" t="s">
        <v>1566</v>
      </c>
      <c r="J66" s="55" t="s">
        <v>571</v>
      </c>
      <c r="K66" s="64"/>
      <c r="L66" s="92" t="s">
        <v>1567</v>
      </c>
      <c r="M6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7" spans="1:13" ht="18" customHeight="1">
      <c r="A67" s="55">
        <v>66</v>
      </c>
      <c r="B67" s="55" t="s">
        <v>562</v>
      </c>
      <c r="C67" s="55" t="s">
        <v>568</v>
      </c>
      <c r="D67" s="55" t="s">
        <v>1572</v>
      </c>
      <c r="E67" s="55" t="s">
        <v>1573</v>
      </c>
      <c r="F67" s="55" t="s">
        <v>1574</v>
      </c>
      <c r="G67" s="55" t="s">
        <v>1569</v>
      </c>
      <c r="H67" s="55" t="s">
        <v>1574</v>
      </c>
      <c r="J67" s="55" t="s">
        <v>571</v>
      </c>
      <c r="K67" s="64"/>
      <c r="L67" s="92" t="s">
        <v>1575</v>
      </c>
      <c r="M6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8" spans="1:13" ht="18" customHeight="1">
      <c r="A68" s="55">
        <v>67</v>
      </c>
      <c r="B68" s="55" t="s">
        <v>562</v>
      </c>
      <c r="C68" s="55" t="s">
        <v>568</v>
      </c>
      <c r="D68" s="55" t="s">
        <v>1577</v>
      </c>
      <c r="E68" s="55" t="s">
        <v>1581</v>
      </c>
      <c r="F68" s="55" t="s">
        <v>1582</v>
      </c>
      <c r="G68" s="55" t="s">
        <v>1577</v>
      </c>
      <c r="H68" s="55" t="s">
        <v>1582</v>
      </c>
      <c r="J68" s="55" t="s">
        <v>569</v>
      </c>
      <c r="K68" s="64"/>
      <c r="L68" s="92" t="s">
        <v>1583</v>
      </c>
      <c r="M6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69" spans="1:13" ht="18" customHeight="1">
      <c r="A69" s="55">
        <v>68</v>
      </c>
      <c r="B69" s="55" t="s">
        <v>562</v>
      </c>
      <c r="C69" s="55" t="s">
        <v>568</v>
      </c>
      <c r="D69" s="55" t="s">
        <v>1585</v>
      </c>
      <c r="E69" s="55" t="s">
        <v>1399</v>
      </c>
      <c r="F69" s="55" t="s">
        <v>1589</v>
      </c>
      <c r="G69" s="55" t="s">
        <v>1585</v>
      </c>
      <c r="H69" s="55" t="s">
        <v>1589</v>
      </c>
      <c r="J69" s="55" t="s">
        <v>571</v>
      </c>
      <c r="K69" s="64"/>
      <c r="L69" s="92" t="s">
        <v>1590</v>
      </c>
      <c r="M6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70" spans="1:13" ht="18" customHeight="1">
      <c r="A70" s="55">
        <v>69</v>
      </c>
      <c r="B70" s="55" t="s">
        <v>562</v>
      </c>
      <c r="C70" s="55" t="s">
        <v>568</v>
      </c>
      <c r="D70" s="55" t="s">
        <v>1598</v>
      </c>
      <c r="E70" s="55" t="s">
        <v>1603</v>
      </c>
      <c r="F70" s="55" t="s">
        <v>1604</v>
      </c>
      <c r="G70" s="55" t="s">
        <v>1598</v>
      </c>
      <c r="H70" s="55" t="s">
        <v>1604</v>
      </c>
      <c r="J70" s="55" t="s">
        <v>571</v>
      </c>
      <c r="K70" s="64"/>
      <c r="L70" s="92" t="s">
        <v>1605</v>
      </c>
      <c r="M7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1" spans="1:13" ht="18" customHeight="1">
      <c r="A71" s="55">
        <v>70</v>
      </c>
      <c r="B71" s="55" t="s">
        <v>562</v>
      </c>
      <c r="C71" s="55" t="s">
        <v>568</v>
      </c>
      <c r="D71" s="55" t="s">
        <v>1612</v>
      </c>
      <c r="E71" s="55" t="s">
        <v>1613</v>
      </c>
      <c r="F71" s="55" t="s">
        <v>1614</v>
      </c>
      <c r="G71" s="55" t="s">
        <v>1607</v>
      </c>
      <c r="H71" s="55" t="s">
        <v>1614</v>
      </c>
      <c r="J71" s="55" t="s">
        <v>571</v>
      </c>
      <c r="K71" s="64"/>
      <c r="L71" s="92" t="s">
        <v>1615</v>
      </c>
      <c r="M7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2" spans="1:13" ht="18" customHeight="1">
      <c r="A72" s="55">
        <v>71</v>
      </c>
      <c r="B72" s="55" t="s">
        <v>562</v>
      </c>
      <c r="C72" s="55" t="s">
        <v>568</v>
      </c>
      <c r="D72" s="55" t="s">
        <v>1617</v>
      </c>
      <c r="E72" s="55" t="s">
        <v>1620</v>
      </c>
      <c r="F72" s="55" t="s">
        <v>1621</v>
      </c>
      <c r="G72" s="55" t="s">
        <v>1617</v>
      </c>
      <c r="H72" s="55" t="s">
        <v>1621</v>
      </c>
      <c r="J72" s="55" t="s">
        <v>571</v>
      </c>
      <c r="K72" s="64"/>
      <c r="L72" s="92" t="s">
        <v>1622</v>
      </c>
      <c r="M7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3" spans="1:13" ht="18" customHeight="1">
      <c r="A73" s="55">
        <v>72</v>
      </c>
      <c r="B73" s="55" t="s">
        <v>562</v>
      </c>
      <c r="C73" s="55" t="s">
        <v>568</v>
      </c>
      <c r="D73" s="55" t="s">
        <v>1624</v>
      </c>
      <c r="E73" s="55" t="s">
        <v>707</v>
      </c>
      <c r="F73" s="55" t="s">
        <v>1627</v>
      </c>
      <c r="G73" s="55" t="s">
        <v>1624</v>
      </c>
      <c r="H73" s="55" t="s">
        <v>1627</v>
      </c>
      <c r="J73" s="55" t="s">
        <v>1629</v>
      </c>
      <c r="K73" s="64"/>
      <c r="L73" s="92" t="s">
        <v>1628</v>
      </c>
      <c r="M7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4" spans="1:13" ht="18" customHeight="1">
      <c r="A74" s="55">
        <v>73</v>
      </c>
      <c r="B74" s="55" t="s">
        <v>673</v>
      </c>
      <c r="C74" s="55" t="s">
        <v>568</v>
      </c>
      <c r="D74" s="55" t="s">
        <v>1634</v>
      </c>
      <c r="E74" s="55" t="s">
        <v>1635</v>
      </c>
      <c r="F74" s="55" t="s">
        <v>1636</v>
      </c>
      <c r="G74" s="55" t="s">
        <v>1631</v>
      </c>
      <c r="H74" s="55" t="s">
        <v>1636</v>
      </c>
      <c r="J74" s="55" t="s">
        <v>571</v>
      </c>
      <c r="K74" s="64"/>
      <c r="L74" s="92" t="s">
        <v>1637</v>
      </c>
      <c r="M7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5" spans="1:13" ht="18" customHeight="1">
      <c r="A75" s="55">
        <v>74</v>
      </c>
      <c r="B75" s="55" t="s">
        <v>673</v>
      </c>
      <c r="C75" s="55" t="s">
        <v>568</v>
      </c>
      <c r="D75" s="55" t="s">
        <v>1642</v>
      </c>
      <c r="E75" s="55" t="s">
        <v>1643</v>
      </c>
      <c r="F75" s="55" t="s">
        <v>1644</v>
      </c>
      <c r="G75" s="55" t="s">
        <v>1638</v>
      </c>
      <c r="H75" s="55" t="s">
        <v>1644</v>
      </c>
      <c r="J75" s="55" t="s">
        <v>571</v>
      </c>
      <c r="K75" s="64"/>
      <c r="L75" s="92" t="s">
        <v>1645</v>
      </c>
      <c r="M7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6" spans="1:13" ht="18" customHeight="1">
      <c r="A76" s="55">
        <v>75</v>
      </c>
      <c r="B76" s="55" t="s">
        <v>562</v>
      </c>
      <c r="C76" s="55" t="s">
        <v>561</v>
      </c>
      <c r="D76" s="55" t="s">
        <v>1650</v>
      </c>
      <c r="E76" s="55" t="s">
        <v>1654</v>
      </c>
      <c r="F76" s="55" t="s">
        <v>1655</v>
      </c>
      <c r="G76" s="55" t="s">
        <v>1650</v>
      </c>
      <c r="H76" s="55" t="s">
        <v>1655</v>
      </c>
      <c r="K76" s="64"/>
      <c r="L76" s="92" t="s">
        <v>1656</v>
      </c>
      <c r="M7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77" spans="1:13" ht="18" customHeight="1">
      <c r="A77" s="55">
        <v>76</v>
      </c>
      <c r="B77" s="55" t="s">
        <v>562</v>
      </c>
      <c r="C77" s="55" t="s">
        <v>561</v>
      </c>
      <c r="D77" s="55" t="s">
        <v>1659</v>
      </c>
      <c r="E77" s="55" t="s">
        <v>1663</v>
      </c>
      <c r="F77" s="55" t="s">
        <v>1664</v>
      </c>
      <c r="G77" s="55" t="s">
        <v>1659</v>
      </c>
      <c r="H77" s="55" t="s">
        <v>1664</v>
      </c>
      <c r="I77" s="55" t="s">
        <v>1664</v>
      </c>
      <c r="J77" s="55" t="s">
        <v>1261</v>
      </c>
      <c r="K77" s="64"/>
      <c r="L77" s="92" t="s">
        <v>1665</v>
      </c>
      <c r="M7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8" spans="1:13" ht="18" customHeight="1">
      <c r="A78" s="55">
        <v>77</v>
      </c>
      <c r="B78" s="55" t="s">
        <v>562</v>
      </c>
      <c r="C78" s="55" t="s">
        <v>561</v>
      </c>
      <c r="D78" s="55" t="s">
        <v>1667</v>
      </c>
      <c r="E78" s="55" t="s">
        <v>1671</v>
      </c>
      <c r="F78" s="55" t="s">
        <v>1672</v>
      </c>
      <c r="G78" s="55" t="s">
        <v>1667</v>
      </c>
      <c r="H78" s="55" t="s">
        <v>1672</v>
      </c>
      <c r="K78" s="64"/>
      <c r="L78" s="92" t="s">
        <v>1673</v>
      </c>
      <c r="M7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79" spans="1:13" ht="18" customHeight="1">
      <c r="A79" s="55">
        <v>78</v>
      </c>
      <c r="B79" s="55" t="s">
        <v>562</v>
      </c>
      <c r="C79" s="55" t="s">
        <v>561</v>
      </c>
      <c r="D79" s="55" t="s">
        <v>1679</v>
      </c>
      <c r="E79" s="55" t="s">
        <v>1680</v>
      </c>
      <c r="F79" s="55" t="s">
        <v>1681</v>
      </c>
      <c r="G79" s="55" t="s">
        <v>1675</v>
      </c>
      <c r="H79" s="55" t="s">
        <v>1681</v>
      </c>
      <c r="K79" s="64"/>
      <c r="L79" s="92" t="s">
        <v>1682</v>
      </c>
      <c r="M7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0" spans="1:13" ht="18" customHeight="1">
      <c r="A80" s="55">
        <v>79</v>
      </c>
      <c r="B80" s="55" t="s">
        <v>673</v>
      </c>
      <c r="C80" s="55" t="s">
        <v>561</v>
      </c>
      <c r="D80" s="55" t="s">
        <v>1684</v>
      </c>
      <c r="E80" s="55" t="s">
        <v>1689</v>
      </c>
      <c r="F80" s="55" t="s">
        <v>1690</v>
      </c>
      <c r="G80" s="55" t="s">
        <v>1684</v>
      </c>
      <c r="H80" s="55" t="s">
        <v>1690</v>
      </c>
      <c r="I80" s="55" t="s">
        <v>1690</v>
      </c>
      <c r="K80" s="64"/>
      <c r="L80" s="92" t="s">
        <v>1691</v>
      </c>
      <c r="M8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1" spans="1:13" ht="18" customHeight="1">
      <c r="A81" s="55">
        <v>80</v>
      </c>
      <c r="B81" s="55" t="s">
        <v>673</v>
      </c>
      <c r="C81" s="55" t="s">
        <v>561</v>
      </c>
      <c r="D81" s="55" t="s">
        <v>1693</v>
      </c>
      <c r="E81" s="55" t="s">
        <v>1698</v>
      </c>
      <c r="F81" s="55" t="s">
        <v>1699</v>
      </c>
      <c r="G81" s="55" t="s">
        <v>1693</v>
      </c>
      <c r="H81" s="55" t="s">
        <v>1699</v>
      </c>
      <c r="K81" s="64"/>
      <c r="L81" s="92" t="s">
        <v>1700</v>
      </c>
      <c r="M8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2" spans="1:13" ht="18" customHeight="1">
      <c r="A82" s="55">
        <v>81</v>
      </c>
      <c r="B82" s="55" t="s">
        <v>562</v>
      </c>
      <c r="C82" s="55" t="s">
        <v>561</v>
      </c>
      <c r="D82" s="55" t="s">
        <v>1731</v>
      </c>
      <c r="E82" s="55" t="s">
        <v>1736</v>
      </c>
      <c r="F82" s="55" t="s">
        <v>1737</v>
      </c>
      <c r="G82" s="55" t="s">
        <v>1731</v>
      </c>
      <c r="H82" s="55" t="s">
        <v>1738</v>
      </c>
      <c r="K82" s="64"/>
      <c r="L82" s="92" t="s">
        <v>1739</v>
      </c>
      <c r="M8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3" spans="1:13" ht="18" customHeight="1">
      <c r="A83" s="55">
        <v>82</v>
      </c>
      <c r="B83" s="55" t="s">
        <v>562</v>
      </c>
      <c r="C83" s="55" t="s">
        <v>561</v>
      </c>
      <c r="D83" s="55" t="s">
        <v>1745</v>
      </c>
      <c r="E83" s="55" t="s">
        <v>1746</v>
      </c>
      <c r="F83" s="55" t="s">
        <v>1747</v>
      </c>
      <c r="G83" s="55" t="s">
        <v>1741</v>
      </c>
      <c r="H83" s="55" t="s">
        <v>1747</v>
      </c>
      <c r="K83" s="64"/>
      <c r="L83" s="92" t="s">
        <v>1748</v>
      </c>
      <c r="M8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4" spans="1:13" ht="18" customHeight="1">
      <c r="A84" s="55">
        <v>83</v>
      </c>
      <c r="B84" s="55" t="s">
        <v>562</v>
      </c>
      <c r="C84" s="55" t="s">
        <v>561</v>
      </c>
      <c r="D84" s="55" t="s">
        <v>1754</v>
      </c>
      <c r="E84" s="55" t="s">
        <v>1755</v>
      </c>
      <c r="F84" s="55" t="s">
        <v>1756</v>
      </c>
      <c r="G84" s="55" t="s">
        <v>1750</v>
      </c>
      <c r="H84" s="55" t="s">
        <v>1757</v>
      </c>
      <c r="K84" s="64"/>
      <c r="L84" s="92" t="s">
        <v>1758</v>
      </c>
      <c r="M8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85" spans="1:13" ht="18" customHeight="1">
      <c r="A85" s="55">
        <v>84</v>
      </c>
      <c r="B85" s="55" t="s">
        <v>562</v>
      </c>
      <c r="C85" s="55" t="s">
        <v>561</v>
      </c>
      <c r="D85" s="55" t="s">
        <v>1768</v>
      </c>
      <c r="E85" s="55" t="s">
        <v>1769</v>
      </c>
      <c r="F85" s="55" t="s">
        <v>1770</v>
      </c>
      <c r="G85" s="55" t="s">
        <v>1764</v>
      </c>
      <c r="H85" s="55" t="s">
        <v>1770</v>
      </c>
      <c r="J85" s="55" t="s">
        <v>1772</v>
      </c>
      <c r="K85" s="64"/>
      <c r="L85" s="92" t="s">
        <v>1771</v>
      </c>
      <c r="M8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6" spans="1:13" ht="18" customHeight="1">
      <c r="A86" s="55">
        <v>85</v>
      </c>
      <c r="B86" s="55" t="s">
        <v>562</v>
      </c>
      <c r="C86" s="55" t="s">
        <v>561</v>
      </c>
      <c r="D86" s="55" t="s">
        <v>1775</v>
      </c>
      <c r="E86" s="55" t="s">
        <v>1780</v>
      </c>
      <c r="F86" s="55" t="s">
        <v>1781</v>
      </c>
      <c r="G86" s="55" t="s">
        <v>1775</v>
      </c>
      <c r="H86" s="55" t="s">
        <v>1781</v>
      </c>
      <c r="K86" s="64"/>
      <c r="L86" s="92" t="s">
        <v>1782</v>
      </c>
      <c r="M8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87" spans="1:13" ht="18" customHeight="1">
      <c r="A87" s="55">
        <v>86</v>
      </c>
      <c r="B87" s="55" t="s">
        <v>562</v>
      </c>
      <c r="C87" s="55" t="s">
        <v>568</v>
      </c>
      <c r="D87" s="55" t="s">
        <v>1786</v>
      </c>
      <c r="E87" s="55" t="s">
        <v>1789</v>
      </c>
      <c r="F87" s="55" t="s">
        <v>1790</v>
      </c>
      <c r="G87" s="55" t="s">
        <v>1786</v>
      </c>
      <c r="H87" s="55" t="s">
        <v>1790</v>
      </c>
      <c r="J87" s="55" t="s">
        <v>571</v>
      </c>
      <c r="K87" s="64"/>
      <c r="L87" s="92" t="s">
        <v>1791</v>
      </c>
      <c r="M8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8" spans="1:13" ht="18" customHeight="1">
      <c r="A88" s="55">
        <v>87</v>
      </c>
      <c r="B88" s="55" t="s">
        <v>562</v>
      </c>
      <c r="C88" s="55" t="s">
        <v>568</v>
      </c>
      <c r="D88" s="55" t="s">
        <v>1793</v>
      </c>
      <c r="E88" s="55" t="s">
        <v>1796</v>
      </c>
      <c r="F88" s="55" t="s">
        <v>1797</v>
      </c>
      <c r="G88" s="55" t="s">
        <v>1793</v>
      </c>
      <c r="H88" s="55" t="s">
        <v>1797</v>
      </c>
      <c r="J88" s="55" t="s">
        <v>571</v>
      </c>
      <c r="K88" s="64"/>
      <c r="L88" s="92" t="s">
        <v>1798</v>
      </c>
      <c r="M8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89" spans="1:13" ht="18" customHeight="1">
      <c r="A89" s="55">
        <v>88</v>
      </c>
      <c r="B89" s="55" t="s">
        <v>562</v>
      </c>
      <c r="C89" s="55" t="s">
        <v>568</v>
      </c>
      <c r="D89" s="55" t="s">
        <v>1800</v>
      </c>
      <c r="E89" s="55" t="s">
        <v>1803</v>
      </c>
      <c r="F89" s="55" t="s">
        <v>1804</v>
      </c>
      <c r="G89" s="55" t="s">
        <v>1800</v>
      </c>
      <c r="H89" s="55" t="s">
        <v>1804</v>
      </c>
      <c r="J89" s="55" t="s">
        <v>571</v>
      </c>
      <c r="K89" s="64"/>
      <c r="L89" s="92" t="s">
        <v>1805</v>
      </c>
      <c r="M8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0" spans="1:13" ht="18" customHeight="1">
      <c r="A90" s="55">
        <v>89</v>
      </c>
      <c r="B90" s="55" t="s">
        <v>562</v>
      </c>
      <c r="C90" s="55" t="s">
        <v>568</v>
      </c>
      <c r="D90" s="55" t="s">
        <v>1807</v>
      </c>
      <c r="E90" s="55" t="s">
        <v>1810</v>
      </c>
      <c r="F90" s="55" t="s">
        <v>1811</v>
      </c>
      <c r="G90" s="55" t="s">
        <v>1807</v>
      </c>
      <c r="H90" s="55" t="s">
        <v>1811</v>
      </c>
      <c r="J90" s="55" t="s">
        <v>571</v>
      </c>
      <c r="K90" s="64"/>
      <c r="L90" s="92" t="s">
        <v>1812</v>
      </c>
      <c r="M9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1" spans="1:13" ht="18" customHeight="1">
      <c r="A91" s="55">
        <v>90</v>
      </c>
      <c r="B91" s="55" t="s">
        <v>673</v>
      </c>
      <c r="C91" s="55" t="s">
        <v>561</v>
      </c>
      <c r="D91" s="55" t="s">
        <v>1814</v>
      </c>
      <c r="E91" s="55" t="s">
        <v>1819</v>
      </c>
      <c r="F91" s="55" t="s">
        <v>1820</v>
      </c>
      <c r="G91" s="55" t="s">
        <v>1814</v>
      </c>
      <c r="H91" s="55" t="s">
        <v>1820</v>
      </c>
      <c r="K91" s="64"/>
      <c r="L91" s="92" t="s">
        <v>1821</v>
      </c>
      <c r="M9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2" spans="1:13" ht="18" customHeight="1">
      <c r="A92" s="55">
        <v>91</v>
      </c>
      <c r="B92" s="55" t="s">
        <v>673</v>
      </c>
      <c r="C92" s="55" t="s">
        <v>561</v>
      </c>
      <c r="D92" s="55" t="s">
        <v>1828</v>
      </c>
      <c r="E92" s="55" t="s">
        <v>1829</v>
      </c>
      <c r="F92" s="55" t="s">
        <v>1830</v>
      </c>
      <c r="G92" s="55" t="s">
        <v>1823</v>
      </c>
      <c r="H92" s="55" t="s">
        <v>1830</v>
      </c>
      <c r="K92" s="64"/>
      <c r="L92" s="92" t="s">
        <v>1831</v>
      </c>
      <c r="M9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3" spans="1:13" ht="18" customHeight="1">
      <c r="A93" s="55">
        <v>92</v>
      </c>
      <c r="B93" s="55" t="s">
        <v>673</v>
      </c>
      <c r="C93" s="55" t="s">
        <v>561</v>
      </c>
      <c r="D93" s="55" t="s">
        <v>1833</v>
      </c>
      <c r="E93" s="55" t="s">
        <v>1837</v>
      </c>
      <c r="F93" s="55" t="s">
        <v>1838</v>
      </c>
      <c r="G93" s="55" t="s">
        <v>1833</v>
      </c>
      <c r="H93" s="55" t="s">
        <v>1838</v>
      </c>
      <c r="K93" s="64"/>
      <c r="L93" s="92" t="s">
        <v>1839</v>
      </c>
      <c r="M9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4" spans="1:13" ht="18" customHeight="1">
      <c r="A94" s="55">
        <v>93</v>
      </c>
      <c r="B94" s="55" t="s">
        <v>562</v>
      </c>
      <c r="C94" s="55" t="s">
        <v>568</v>
      </c>
      <c r="D94" s="55" t="s">
        <v>1846</v>
      </c>
      <c r="E94" s="55" t="s">
        <v>1849</v>
      </c>
      <c r="F94" s="55" t="s">
        <v>1850</v>
      </c>
      <c r="G94" s="55" t="s">
        <v>1846</v>
      </c>
      <c r="H94" s="55" t="s">
        <v>1850</v>
      </c>
      <c r="J94" s="55" t="s">
        <v>569</v>
      </c>
      <c r="K94" s="64"/>
      <c r="L94" s="92" t="s">
        <v>1851</v>
      </c>
      <c r="M9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5" spans="1:13" ht="18" customHeight="1">
      <c r="A95" s="55">
        <v>94</v>
      </c>
      <c r="B95" s="55" t="s">
        <v>673</v>
      </c>
      <c r="C95" s="55" t="s">
        <v>568</v>
      </c>
      <c r="D95" s="55" t="s">
        <v>1853</v>
      </c>
      <c r="E95" s="55" t="s">
        <v>1856</v>
      </c>
      <c r="F95" s="55" t="s">
        <v>1857</v>
      </c>
      <c r="G95" s="55" t="s">
        <v>1853</v>
      </c>
      <c r="H95" s="55" t="s">
        <v>1857</v>
      </c>
      <c r="J95" s="55" t="s">
        <v>569</v>
      </c>
      <c r="K95" s="64"/>
      <c r="L95" s="92" t="s">
        <v>1858</v>
      </c>
      <c r="M9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6" spans="1:13" ht="18" customHeight="1">
      <c r="A96" s="55">
        <v>95</v>
      </c>
      <c r="B96" s="55" t="s">
        <v>562</v>
      </c>
      <c r="C96" s="55" t="s">
        <v>561</v>
      </c>
      <c r="D96" s="55" t="s">
        <v>1860</v>
      </c>
      <c r="E96" s="55" t="s">
        <v>1864</v>
      </c>
      <c r="F96" s="55" t="s">
        <v>1865</v>
      </c>
      <c r="G96" s="55" t="s">
        <v>1860</v>
      </c>
      <c r="H96" s="55" t="s">
        <v>1865</v>
      </c>
      <c r="J96" s="55" t="s">
        <v>1354</v>
      </c>
      <c r="K96" s="64"/>
      <c r="L96" s="92" t="s">
        <v>1866</v>
      </c>
      <c r="M9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7" spans="1:13" ht="18" customHeight="1">
      <c r="A97" s="55">
        <v>96</v>
      </c>
      <c r="B97" s="55" t="s">
        <v>562</v>
      </c>
      <c r="C97" s="55" t="s">
        <v>561</v>
      </c>
      <c r="D97" s="55" t="s">
        <v>1868</v>
      </c>
      <c r="E97" s="55" t="s">
        <v>1873</v>
      </c>
      <c r="F97" s="55" t="s">
        <v>1874</v>
      </c>
      <c r="G97" s="55" t="s">
        <v>1868</v>
      </c>
      <c r="H97" s="55" t="s">
        <v>1874</v>
      </c>
      <c r="I97" s="55" t="s">
        <v>1875</v>
      </c>
      <c r="J97" s="55" t="s">
        <v>1261</v>
      </c>
      <c r="K97" s="64"/>
      <c r="L97" s="92" t="s">
        <v>1876</v>
      </c>
      <c r="M9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98" spans="1:13" ht="18" customHeight="1">
      <c r="A98" s="55">
        <v>97</v>
      </c>
      <c r="B98" s="55" t="s">
        <v>673</v>
      </c>
      <c r="C98" s="55" t="s">
        <v>561</v>
      </c>
      <c r="D98" s="55" t="s">
        <v>670</v>
      </c>
      <c r="E98" s="55" t="s">
        <v>676</v>
      </c>
      <c r="F98" s="55" t="s">
        <v>677</v>
      </c>
      <c r="G98" s="55" t="s">
        <v>670</v>
      </c>
      <c r="H98" s="55" t="s">
        <v>677</v>
      </c>
      <c r="K98" s="64"/>
      <c r="L98" s="92" t="s">
        <v>678</v>
      </c>
      <c r="M9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99" spans="1:13" ht="18" customHeight="1">
      <c r="A99" s="55">
        <v>98</v>
      </c>
      <c r="B99" s="55" t="s">
        <v>673</v>
      </c>
      <c r="C99" s="55" t="s">
        <v>568</v>
      </c>
      <c r="D99" s="55" t="s">
        <v>688</v>
      </c>
      <c r="E99" s="55" t="s">
        <v>835</v>
      </c>
      <c r="F99" s="55" t="s">
        <v>836</v>
      </c>
      <c r="G99" s="55" t="s">
        <v>683</v>
      </c>
      <c r="H99" s="55" t="s">
        <v>836</v>
      </c>
      <c r="J99" s="55" t="s">
        <v>571</v>
      </c>
      <c r="K99" s="64"/>
      <c r="L99" s="92" t="s">
        <v>689</v>
      </c>
      <c r="M9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0" spans="1:13" ht="18" customHeight="1">
      <c r="A100" s="55">
        <v>99</v>
      </c>
      <c r="B100" s="55" t="s">
        <v>673</v>
      </c>
      <c r="C100" s="55" t="s">
        <v>568</v>
      </c>
      <c r="D100" s="55" t="s">
        <v>696</v>
      </c>
      <c r="E100" s="55" t="s">
        <v>697</v>
      </c>
      <c r="F100" s="55" t="s">
        <v>698</v>
      </c>
      <c r="G100" s="55" t="s">
        <v>691</v>
      </c>
      <c r="H100" s="55" t="s">
        <v>698</v>
      </c>
      <c r="J100" s="55" t="s">
        <v>571</v>
      </c>
      <c r="K100" s="64"/>
      <c r="L100" s="92" t="s">
        <v>699</v>
      </c>
      <c r="M10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1" spans="1:13" ht="18" customHeight="1">
      <c r="A101" s="55">
        <v>100</v>
      </c>
      <c r="B101" s="55" t="s">
        <v>673</v>
      </c>
      <c r="C101" s="55" t="s">
        <v>568</v>
      </c>
      <c r="D101" s="55" t="s">
        <v>702</v>
      </c>
      <c r="E101" s="55" t="s">
        <v>707</v>
      </c>
      <c r="F101" s="55" t="s">
        <v>708</v>
      </c>
      <c r="G101" s="55" t="s">
        <v>702</v>
      </c>
      <c r="H101" s="55" t="s">
        <v>708</v>
      </c>
      <c r="J101" s="55" t="s">
        <v>569</v>
      </c>
      <c r="K101" s="64"/>
      <c r="L101" s="92" t="s">
        <v>709</v>
      </c>
      <c r="M10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2" spans="1:13" ht="18" customHeight="1">
      <c r="A102" s="55">
        <v>101</v>
      </c>
      <c r="B102" s="55" t="s">
        <v>562</v>
      </c>
      <c r="C102" s="55" t="s">
        <v>568</v>
      </c>
      <c r="D102" s="55" t="s">
        <v>711</v>
      </c>
      <c r="E102" s="55" t="s">
        <v>714</v>
      </c>
      <c r="F102" s="55" t="s">
        <v>715</v>
      </c>
      <c r="G102" s="55" t="s">
        <v>711</v>
      </c>
      <c r="H102" s="55" t="s">
        <v>715</v>
      </c>
      <c r="J102" s="55" t="s">
        <v>571</v>
      </c>
      <c r="K102" s="64"/>
      <c r="L102" s="92" t="s">
        <v>716</v>
      </c>
      <c r="M10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3" spans="1:13" ht="18" customHeight="1">
      <c r="A103" s="55">
        <v>102</v>
      </c>
      <c r="B103" s="55" t="s">
        <v>562</v>
      </c>
      <c r="C103" s="55" t="s">
        <v>568</v>
      </c>
      <c r="D103" s="55" t="s">
        <v>718</v>
      </c>
      <c r="E103" s="55" t="s">
        <v>722</v>
      </c>
      <c r="F103" s="55" t="s">
        <v>723</v>
      </c>
      <c r="G103" s="55" t="s">
        <v>718</v>
      </c>
      <c r="H103" s="55" t="s">
        <v>723</v>
      </c>
      <c r="J103" s="55" t="s">
        <v>569</v>
      </c>
      <c r="K103" s="64"/>
      <c r="L103" s="92" t="s">
        <v>724</v>
      </c>
      <c r="M10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4" spans="1:13" ht="18" customHeight="1">
      <c r="A104" s="55">
        <v>103</v>
      </c>
      <c r="B104" s="55" t="s">
        <v>562</v>
      </c>
      <c r="C104" s="55" t="s">
        <v>568</v>
      </c>
      <c r="D104" s="55" t="s">
        <v>731</v>
      </c>
      <c r="E104" s="55" t="s">
        <v>732</v>
      </c>
      <c r="F104" s="55" t="s">
        <v>733</v>
      </c>
      <c r="G104" s="55" t="s">
        <v>726</v>
      </c>
      <c r="H104" s="55" t="s">
        <v>733</v>
      </c>
      <c r="J104" s="55" t="s">
        <v>569</v>
      </c>
      <c r="K104" s="64"/>
      <c r="L104" s="92" t="s">
        <v>734</v>
      </c>
      <c r="M10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5" spans="1:13" ht="18" customHeight="1">
      <c r="A105" s="55">
        <v>104</v>
      </c>
      <c r="B105" s="55" t="s">
        <v>562</v>
      </c>
      <c r="C105" s="55" t="s">
        <v>568</v>
      </c>
      <c r="D105" s="55" t="s">
        <v>736</v>
      </c>
      <c r="E105" s="55" t="s">
        <v>741</v>
      </c>
      <c r="F105" s="55" t="s">
        <v>742</v>
      </c>
      <c r="G105" s="55" t="s">
        <v>736</v>
      </c>
      <c r="H105" s="55" t="s">
        <v>742</v>
      </c>
      <c r="J105" s="55" t="s">
        <v>569</v>
      </c>
      <c r="K105" s="64"/>
      <c r="L105" s="92" t="s">
        <v>743</v>
      </c>
      <c r="M10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6" spans="1:13" ht="18" customHeight="1">
      <c r="A106" s="55">
        <v>105</v>
      </c>
      <c r="B106" s="55" t="s">
        <v>562</v>
      </c>
      <c r="C106" s="55" t="s">
        <v>568</v>
      </c>
      <c r="D106" s="55" t="s">
        <v>745</v>
      </c>
      <c r="E106" s="55" t="s">
        <v>750</v>
      </c>
      <c r="F106" s="55" t="s">
        <v>751</v>
      </c>
      <c r="G106" s="55" t="s">
        <v>745</v>
      </c>
      <c r="H106" s="55" t="s">
        <v>751</v>
      </c>
      <c r="J106" s="55" t="s">
        <v>569</v>
      </c>
      <c r="K106" s="64"/>
      <c r="L106" s="92" t="s">
        <v>752</v>
      </c>
      <c r="M10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7" spans="1:13" ht="18" customHeight="1">
      <c r="A107" s="55">
        <v>106</v>
      </c>
      <c r="B107" s="55" t="s">
        <v>562</v>
      </c>
      <c r="C107" s="55" t="s">
        <v>568</v>
      </c>
      <c r="D107" s="55" t="s">
        <v>754</v>
      </c>
      <c r="E107" s="55" t="s">
        <v>757</v>
      </c>
      <c r="F107" s="55" t="s">
        <v>758</v>
      </c>
      <c r="G107" s="55" t="s">
        <v>754</v>
      </c>
      <c r="H107" s="55" t="s">
        <v>758</v>
      </c>
      <c r="J107" s="55" t="s">
        <v>571</v>
      </c>
      <c r="K107" s="64"/>
      <c r="L107" s="92" t="s">
        <v>759</v>
      </c>
      <c r="M10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08" spans="1:13" ht="18" customHeight="1">
      <c r="A108" s="55">
        <v>107</v>
      </c>
      <c r="B108" s="55" t="s">
        <v>562</v>
      </c>
      <c r="C108" s="55" t="s">
        <v>568</v>
      </c>
      <c r="D108" s="55" t="s">
        <v>761</v>
      </c>
      <c r="E108" s="55" t="s">
        <v>764</v>
      </c>
      <c r="F108" s="55" t="s">
        <v>765</v>
      </c>
      <c r="G108" s="55" t="s">
        <v>761</v>
      </c>
      <c r="H108" s="55" t="s">
        <v>765</v>
      </c>
      <c r="J108" s="55" t="s">
        <v>571</v>
      </c>
      <c r="K108" s="64"/>
      <c r="L108" s="92" t="s">
        <v>766</v>
      </c>
      <c r="M10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5</v>
      </c>
    </row>
    <row r="109" spans="1:13" ht="18" customHeight="1">
      <c r="A109" s="55">
        <v>108</v>
      </c>
      <c r="B109" s="55" t="s">
        <v>562</v>
      </c>
      <c r="C109" s="55" t="s">
        <v>568</v>
      </c>
      <c r="D109" s="55" t="s">
        <v>771</v>
      </c>
      <c r="E109" s="55" t="s">
        <v>774</v>
      </c>
      <c r="F109" s="55" t="s">
        <v>775</v>
      </c>
      <c r="G109" s="55" t="s">
        <v>771</v>
      </c>
      <c r="H109" s="55" t="s">
        <v>775</v>
      </c>
      <c r="J109" s="55" t="s">
        <v>569</v>
      </c>
      <c r="K109" s="64"/>
      <c r="L109" s="92" t="s">
        <v>776</v>
      </c>
      <c r="M10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0" spans="1:13" ht="18" customHeight="1">
      <c r="A110" s="55">
        <v>109</v>
      </c>
      <c r="B110" s="55" t="s">
        <v>562</v>
      </c>
      <c r="C110" s="55" t="s">
        <v>561</v>
      </c>
      <c r="D110" s="55" t="s">
        <v>778</v>
      </c>
      <c r="E110" s="55" t="s">
        <v>783</v>
      </c>
      <c r="F110" s="55" t="s">
        <v>784</v>
      </c>
      <c r="G110" s="55" t="s">
        <v>778</v>
      </c>
      <c r="H110" s="55" t="s">
        <v>784</v>
      </c>
      <c r="I110" s="55" t="s">
        <v>785</v>
      </c>
      <c r="K110" s="64"/>
      <c r="L110" s="92" t="s">
        <v>786</v>
      </c>
      <c r="M11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1" spans="1:13" ht="18" customHeight="1">
      <c r="A111" s="55">
        <v>110</v>
      </c>
      <c r="B111" s="55" t="s">
        <v>562</v>
      </c>
      <c r="C111" s="55" t="s">
        <v>561</v>
      </c>
      <c r="D111" s="55" t="s">
        <v>794</v>
      </c>
      <c r="E111" s="55" t="s">
        <v>795</v>
      </c>
      <c r="F111" s="55" t="s">
        <v>796</v>
      </c>
      <c r="G111" s="55" t="s">
        <v>789</v>
      </c>
      <c r="H111" s="55" t="s">
        <v>797</v>
      </c>
      <c r="K111" s="64"/>
      <c r="L111" s="92" t="s">
        <v>798</v>
      </c>
      <c r="M11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2" spans="1:13" ht="18" customHeight="1">
      <c r="A112" s="55">
        <v>111</v>
      </c>
      <c r="B112" s="55" t="s">
        <v>562</v>
      </c>
      <c r="C112" s="55" t="s">
        <v>561</v>
      </c>
      <c r="D112" s="55" t="s">
        <v>800</v>
      </c>
      <c r="E112" s="55" t="s">
        <v>805</v>
      </c>
      <c r="F112" s="55" t="s">
        <v>806</v>
      </c>
      <c r="G112" s="55" t="s">
        <v>800</v>
      </c>
      <c r="H112" s="55" t="s">
        <v>806</v>
      </c>
      <c r="K112" s="64"/>
      <c r="L112" s="92" t="s">
        <v>807</v>
      </c>
      <c r="M11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3" spans="1:13" ht="18" customHeight="1">
      <c r="A113" s="55">
        <v>112</v>
      </c>
      <c r="B113" s="55" t="s">
        <v>673</v>
      </c>
      <c r="C113" s="55" t="s">
        <v>561</v>
      </c>
      <c r="D113" s="55" t="s">
        <v>1890</v>
      </c>
      <c r="E113" s="55" t="s">
        <v>1891</v>
      </c>
      <c r="F113" s="55" t="s">
        <v>1892</v>
      </c>
      <c r="G113" s="55" t="s">
        <v>1885</v>
      </c>
      <c r="H113" s="55" t="s">
        <v>1892</v>
      </c>
      <c r="I113" s="55" t="s">
        <v>1893</v>
      </c>
      <c r="K113" s="64"/>
      <c r="L113" s="92" t="s">
        <v>1894</v>
      </c>
      <c r="M113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4" spans="1:13" ht="18" customHeight="1">
      <c r="A114" s="55">
        <v>113</v>
      </c>
      <c r="B114" s="55" t="s">
        <v>673</v>
      </c>
      <c r="C114" s="55" t="s">
        <v>561</v>
      </c>
      <c r="D114" s="55" t="s">
        <v>1899</v>
      </c>
      <c r="E114" s="55" t="s">
        <v>1903</v>
      </c>
      <c r="F114" s="55" t="s">
        <v>1904</v>
      </c>
      <c r="G114" s="55" t="s">
        <v>1899</v>
      </c>
      <c r="H114" s="55" t="s">
        <v>1904</v>
      </c>
      <c r="K114" s="64"/>
      <c r="L114" s="92" t="s">
        <v>1905</v>
      </c>
      <c r="M114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5" spans="1:13" ht="18" customHeight="1">
      <c r="A115" s="55">
        <v>114</v>
      </c>
      <c r="B115" s="55" t="s">
        <v>562</v>
      </c>
      <c r="C115" s="55" t="s">
        <v>568</v>
      </c>
      <c r="D115" s="55" t="s">
        <v>1907</v>
      </c>
      <c r="E115" s="55" t="s">
        <v>1910</v>
      </c>
      <c r="F115" s="55" t="s">
        <v>1911</v>
      </c>
      <c r="G115" s="55" t="s">
        <v>1907</v>
      </c>
      <c r="H115" s="55" t="s">
        <v>1911</v>
      </c>
      <c r="J115" s="55" t="s">
        <v>571</v>
      </c>
      <c r="K115" s="64"/>
      <c r="L115" s="92" t="s">
        <v>1912</v>
      </c>
      <c r="M115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6" spans="1:13" ht="18" customHeight="1">
      <c r="A116" s="55">
        <v>115</v>
      </c>
      <c r="B116" s="55" t="s">
        <v>562</v>
      </c>
      <c r="C116" s="55" t="s">
        <v>568</v>
      </c>
      <c r="D116" s="55" t="s">
        <v>1914</v>
      </c>
      <c r="E116" s="55" t="s">
        <v>1918</v>
      </c>
      <c r="F116" s="55" t="s">
        <v>1919</v>
      </c>
      <c r="G116" s="55" t="s">
        <v>1914</v>
      </c>
      <c r="H116" s="55" t="s">
        <v>1919</v>
      </c>
      <c r="J116" s="55" t="s">
        <v>571</v>
      </c>
      <c r="K116" s="64"/>
      <c r="L116" s="92" t="s">
        <v>1920</v>
      </c>
      <c r="M116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3</v>
      </c>
    </row>
    <row r="117" spans="1:13" ht="18" customHeight="1">
      <c r="A117" s="55">
        <v>116</v>
      </c>
      <c r="B117" s="55" t="s">
        <v>562</v>
      </c>
      <c r="C117" s="55" t="s">
        <v>568</v>
      </c>
      <c r="D117" s="55" t="s">
        <v>1926</v>
      </c>
      <c r="E117" s="55" t="s">
        <v>1927</v>
      </c>
      <c r="F117" s="55" t="s">
        <v>1928</v>
      </c>
      <c r="G117" s="55" t="s">
        <v>1923</v>
      </c>
      <c r="H117" s="55" t="s">
        <v>1928</v>
      </c>
      <c r="J117" s="55" t="s">
        <v>571</v>
      </c>
      <c r="K117" s="64"/>
      <c r="L117" s="92" t="s">
        <v>1929</v>
      </c>
      <c r="M117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8" spans="1:13" ht="18" customHeight="1">
      <c r="A118" s="55">
        <v>117</v>
      </c>
      <c r="B118" s="55" t="s">
        <v>562</v>
      </c>
      <c r="C118" s="55" t="s">
        <v>568</v>
      </c>
      <c r="D118" s="55" t="s">
        <v>1931</v>
      </c>
      <c r="E118" s="55" t="s">
        <v>1934</v>
      </c>
      <c r="F118" s="55" t="s">
        <v>1935</v>
      </c>
      <c r="G118" s="55" t="s">
        <v>1931</v>
      </c>
      <c r="H118" s="55" t="s">
        <v>1935</v>
      </c>
      <c r="J118" s="55" t="s">
        <v>571</v>
      </c>
      <c r="K118" s="64"/>
      <c r="L118" s="92" t="s">
        <v>1936</v>
      </c>
      <c r="M118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19" spans="1:13" ht="18" customHeight="1">
      <c r="A119" s="55">
        <v>118</v>
      </c>
      <c r="B119" s="55" t="s">
        <v>562</v>
      </c>
      <c r="C119" s="55" t="s">
        <v>561</v>
      </c>
      <c r="D119" s="55" t="s">
        <v>1938</v>
      </c>
      <c r="E119" s="55" t="s">
        <v>1943</v>
      </c>
      <c r="F119" s="55" t="s">
        <v>1944</v>
      </c>
      <c r="G119" s="55" t="s">
        <v>1938</v>
      </c>
      <c r="H119" s="55" t="s">
        <v>1944</v>
      </c>
      <c r="J119" s="55" t="s">
        <v>1354</v>
      </c>
      <c r="K119" s="64"/>
      <c r="L119" s="92" t="s">
        <v>1945</v>
      </c>
      <c r="M119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  <row r="120" spans="1:13" ht="18" customHeight="1">
      <c r="A120" s="55">
        <v>119</v>
      </c>
      <c r="B120" s="55" t="s">
        <v>562</v>
      </c>
      <c r="C120" s="55" t="s">
        <v>561</v>
      </c>
      <c r="D120" s="55" t="s">
        <v>1948</v>
      </c>
      <c r="E120" s="55" t="s">
        <v>1952</v>
      </c>
      <c r="F120" s="55" t="s">
        <v>1953</v>
      </c>
      <c r="G120" s="55" t="s">
        <v>1948</v>
      </c>
      <c r="H120" s="55" t="s">
        <v>1953</v>
      </c>
      <c r="K120" s="64"/>
      <c r="L120" s="92" t="s">
        <v>1954</v>
      </c>
      <c r="M120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1" spans="1:13" ht="18" customHeight="1">
      <c r="A121" s="55">
        <v>120</v>
      </c>
      <c r="B121" s="55" t="s">
        <v>562</v>
      </c>
      <c r="C121" s="55" t="s">
        <v>561</v>
      </c>
      <c r="D121" s="55" t="s">
        <v>1957</v>
      </c>
      <c r="E121" s="55" t="s">
        <v>1961</v>
      </c>
      <c r="F121" s="55" t="s">
        <v>1962</v>
      </c>
      <c r="G121" s="55" t="s">
        <v>1957</v>
      </c>
      <c r="H121" s="55" t="s">
        <v>1962</v>
      </c>
      <c r="K121" s="64"/>
      <c r="L121" s="92" t="s">
        <v>1963</v>
      </c>
      <c r="M121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2</v>
      </c>
    </row>
    <row r="122" spans="1:13" ht="18" customHeight="1">
      <c r="A122" s="55">
        <v>121</v>
      </c>
      <c r="B122" s="55" t="s">
        <v>673</v>
      </c>
      <c r="C122" s="55" t="s">
        <v>568</v>
      </c>
      <c r="D122" s="55" t="s">
        <v>1966</v>
      </c>
      <c r="E122" s="55" t="s">
        <v>1969</v>
      </c>
      <c r="F122" s="55" t="s">
        <v>1970</v>
      </c>
      <c r="G122" s="55" t="s">
        <v>1966</v>
      </c>
      <c r="H122" s="55" t="s">
        <v>1970</v>
      </c>
      <c r="J122" s="55" t="s">
        <v>571</v>
      </c>
      <c r="K122" s="64"/>
      <c r="L122" s="92" t="s">
        <v>1971</v>
      </c>
      <c r="M122" s="60">
        <f>IF(고객표[[#This Row],[판매채널]]="쿠팡",COUNTIFS(출고표[구매자명],고객표[[#This Row],[구매자명]],출고표[구매자연락처],고객표[[#This Row],[구매자연락처]]),COUNTIFS(출고표[구매자명],고객표[[#This Row],[구매자명]],출고표[구매자ID],고객표[[#This Row],[구매자ID]]))</f>
        <v>1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68F82-35A1-4BAE-B4D1-46348E138CAF}">
  <sheetPr codeName="Sheet4"/>
  <dimension ref="A1:X105"/>
  <sheetViews>
    <sheetView topLeftCell="A79" workbookViewId="0">
      <selection activeCell="G87" sqref="G87"/>
    </sheetView>
  </sheetViews>
  <sheetFormatPr defaultRowHeight="16.5"/>
  <cols>
    <col min="1" max="1" width="11.25" bestFit="1" customWidth="1"/>
    <col min="2" max="2" width="18.625" bestFit="1" customWidth="1"/>
    <col min="3" max="3" width="12.875" bestFit="1" customWidth="1"/>
    <col min="4" max="4" width="9.375" bestFit="1" customWidth="1"/>
    <col min="5" max="5" width="12.125" bestFit="1" customWidth="1"/>
    <col min="6" max="6" width="13.875" bestFit="1" customWidth="1"/>
    <col min="7" max="7" width="7.5" bestFit="1" customWidth="1"/>
    <col min="8" max="8" width="17.25" bestFit="1" customWidth="1"/>
    <col min="9" max="9" width="20.25" bestFit="1" customWidth="1"/>
    <col min="10" max="10" width="22.125" bestFit="1" customWidth="1"/>
    <col min="11" max="11" width="15.125" bestFit="1" customWidth="1"/>
    <col min="12" max="12" width="9.375" bestFit="1" customWidth="1"/>
    <col min="13" max="13" width="13.375" bestFit="1" customWidth="1"/>
    <col min="14" max="15" width="10.625" bestFit="1" customWidth="1"/>
    <col min="16" max="16" width="9.375" bestFit="1" customWidth="1"/>
    <col min="17" max="17" width="15.5" bestFit="1" customWidth="1"/>
    <col min="18" max="18" width="18.5" bestFit="1" customWidth="1"/>
    <col min="19" max="24" width="8.625" bestFit="1" customWidth="1"/>
  </cols>
  <sheetData>
    <row r="1" spans="1:24">
      <c r="A1" t="s">
        <v>335</v>
      </c>
      <c r="B1" t="s">
        <v>336</v>
      </c>
      <c r="C1" t="s">
        <v>337</v>
      </c>
      <c r="D1" t="s">
        <v>662</v>
      </c>
      <c r="E1" t="s">
        <v>661</v>
      </c>
      <c r="F1" t="s">
        <v>663</v>
      </c>
      <c r="G1" t="s">
        <v>338</v>
      </c>
      <c r="H1" t="s">
        <v>664</v>
      </c>
      <c r="I1" t="s">
        <v>665</v>
      </c>
      <c r="J1" t="s">
        <v>666</v>
      </c>
      <c r="K1" t="s">
        <v>533</v>
      </c>
      <c r="L1" t="s">
        <v>667</v>
      </c>
      <c r="M1" t="s">
        <v>862</v>
      </c>
      <c r="N1" t="s">
        <v>668</v>
      </c>
      <c r="O1" t="s">
        <v>669</v>
      </c>
      <c r="P1" t="s">
        <v>339</v>
      </c>
      <c r="Q1" t="s">
        <v>340</v>
      </c>
      <c r="R1" t="s">
        <v>341</v>
      </c>
      <c r="S1" t="s">
        <v>342</v>
      </c>
      <c r="T1" t="s">
        <v>343</v>
      </c>
      <c r="U1" t="s">
        <v>344</v>
      </c>
      <c r="V1" t="s">
        <v>345</v>
      </c>
      <c r="W1" t="s">
        <v>346</v>
      </c>
      <c r="X1" t="s">
        <v>347</v>
      </c>
    </row>
    <row r="2" spans="1:24">
      <c r="A2" t="s">
        <v>348</v>
      </c>
      <c r="B2" t="s">
        <v>350</v>
      </c>
      <c r="C2" t="s">
        <v>351</v>
      </c>
      <c r="D2">
        <v>1580</v>
      </c>
      <c r="E2">
        <v>1660</v>
      </c>
      <c r="F2">
        <v>1620</v>
      </c>
      <c r="G2">
        <v>1.7</v>
      </c>
      <c r="H2">
        <v>1380</v>
      </c>
      <c r="I2">
        <v>1450</v>
      </c>
      <c r="J2">
        <v>1410</v>
      </c>
      <c r="K2">
        <v>1.5</v>
      </c>
      <c r="L2">
        <v>916</v>
      </c>
      <c r="M2">
        <v>1008</v>
      </c>
      <c r="N2">
        <v>200</v>
      </c>
      <c r="O2">
        <v>1200</v>
      </c>
      <c r="P2">
        <v>9480</v>
      </c>
      <c r="Q2" t="s">
        <v>352</v>
      </c>
      <c r="R2" t="s">
        <v>349</v>
      </c>
      <c r="S2" t="s">
        <v>353</v>
      </c>
      <c r="T2" t="s">
        <v>354</v>
      </c>
      <c r="U2" t="s">
        <v>349</v>
      </c>
      <c r="V2" t="s">
        <v>349</v>
      </c>
      <c r="W2" t="s">
        <v>349</v>
      </c>
      <c r="X2" t="s">
        <v>349</v>
      </c>
    </row>
    <row r="3" spans="1:24">
      <c r="A3" t="s">
        <v>355</v>
      </c>
      <c r="B3" t="s">
        <v>356</v>
      </c>
      <c r="C3" t="s">
        <v>357</v>
      </c>
      <c r="D3">
        <v>1210</v>
      </c>
      <c r="E3">
        <v>1270</v>
      </c>
      <c r="F3">
        <v>1240</v>
      </c>
      <c r="G3">
        <v>1.7</v>
      </c>
      <c r="H3">
        <v>1050</v>
      </c>
      <c r="I3">
        <v>1100</v>
      </c>
      <c r="J3">
        <v>1080</v>
      </c>
      <c r="K3">
        <v>1.5</v>
      </c>
      <c r="L3">
        <v>700</v>
      </c>
      <c r="M3">
        <v>770</v>
      </c>
      <c r="N3">
        <v>140</v>
      </c>
      <c r="O3">
        <v>1400</v>
      </c>
      <c r="P3">
        <v>12100</v>
      </c>
      <c r="Q3" t="s">
        <v>352</v>
      </c>
      <c r="R3" t="s">
        <v>349</v>
      </c>
      <c r="S3" t="s">
        <v>353</v>
      </c>
      <c r="T3" t="s">
        <v>354</v>
      </c>
      <c r="U3" t="s">
        <v>349</v>
      </c>
      <c r="V3" t="s">
        <v>349</v>
      </c>
      <c r="W3" t="s">
        <v>349</v>
      </c>
      <c r="X3" t="s">
        <v>349</v>
      </c>
    </row>
    <row r="4" spans="1:24">
      <c r="A4" t="s">
        <v>298</v>
      </c>
      <c r="B4" t="s">
        <v>358</v>
      </c>
      <c r="C4" t="s">
        <v>357</v>
      </c>
      <c r="D4">
        <v>1040</v>
      </c>
      <c r="E4">
        <v>1090</v>
      </c>
      <c r="F4">
        <v>1070</v>
      </c>
      <c r="G4">
        <v>1.7</v>
      </c>
      <c r="H4">
        <v>900</v>
      </c>
      <c r="I4">
        <v>950</v>
      </c>
      <c r="J4">
        <v>920</v>
      </c>
      <c r="K4">
        <v>1.5</v>
      </c>
      <c r="L4">
        <v>600</v>
      </c>
      <c r="M4">
        <v>660</v>
      </c>
      <c r="N4">
        <v>120</v>
      </c>
      <c r="O4">
        <v>1200</v>
      </c>
      <c r="P4">
        <v>10400</v>
      </c>
      <c r="Q4" t="s">
        <v>352</v>
      </c>
      <c r="R4" t="s">
        <v>349</v>
      </c>
      <c r="S4" t="s">
        <v>353</v>
      </c>
      <c r="T4" t="s">
        <v>354</v>
      </c>
      <c r="U4" t="s">
        <v>349</v>
      </c>
      <c r="V4" t="s">
        <v>349</v>
      </c>
      <c r="W4" t="s">
        <v>349</v>
      </c>
      <c r="X4" t="s">
        <v>349</v>
      </c>
    </row>
    <row r="5" spans="1:24">
      <c r="A5" t="s">
        <v>291</v>
      </c>
      <c r="B5" t="s">
        <v>359</v>
      </c>
      <c r="C5" t="s">
        <v>357</v>
      </c>
      <c r="D5">
        <v>1720</v>
      </c>
      <c r="E5">
        <v>1810</v>
      </c>
      <c r="F5">
        <v>1760</v>
      </c>
      <c r="G5">
        <v>1.7</v>
      </c>
      <c r="H5">
        <v>1500</v>
      </c>
      <c r="I5">
        <v>1580</v>
      </c>
      <c r="J5">
        <v>1540</v>
      </c>
      <c r="K5">
        <v>1.5</v>
      </c>
      <c r="L5">
        <v>1000</v>
      </c>
      <c r="M5">
        <v>1100</v>
      </c>
      <c r="N5">
        <v>200</v>
      </c>
      <c r="O5">
        <v>1200</v>
      </c>
      <c r="P5">
        <v>10320</v>
      </c>
      <c r="Q5" t="s">
        <v>352</v>
      </c>
      <c r="R5" t="s">
        <v>360</v>
      </c>
      <c r="S5" t="s">
        <v>353</v>
      </c>
      <c r="T5" t="s">
        <v>354</v>
      </c>
      <c r="U5" t="s">
        <v>349</v>
      </c>
      <c r="V5" t="s">
        <v>349</v>
      </c>
      <c r="W5" t="s">
        <v>349</v>
      </c>
      <c r="X5" t="s">
        <v>349</v>
      </c>
    </row>
    <row r="6" spans="1:24">
      <c r="A6" t="s">
        <v>286</v>
      </c>
      <c r="B6" t="s">
        <v>361</v>
      </c>
      <c r="C6" t="s">
        <v>362</v>
      </c>
      <c r="D6">
        <v>1900</v>
      </c>
      <c r="E6">
        <v>2000</v>
      </c>
      <c r="F6">
        <v>1950</v>
      </c>
      <c r="G6">
        <v>1.7</v>
      </c>
      <c r="H6">
        <v>1650</v>
      </c>
      <c r="I6">
        <v>1730</v>
      </c>
      <c r="J6">
        <v>1690</v>
      </c>
      <c r="K6">
        <v>1.5</v>
      </c>
      <c r="L6">
        <v>1100</v>
      </c>
      <c r="M6">
        <v>1210</v>
      </c>
      <c r="N6">
        <v>140</v>
      </c>
      <c r="O6">
        <v>1400</v>
      </c>
      <c r="P6">
        <v>19000</v>
      </c>
      <c r="Q6" t="s">
        <v>352</v>
      </c>
      <c r="R6" t="s">
        <v>349</v>
      </c>
      <c r="S6" t="s">
        <v>353</v>
      </c>
      <c r="T6" t="s">
        <v>354</v>
      </c>
      <c r="U6" t="s">
        <v>363</v>
      </c>
      <c r="V6" t="s">
        <v>364</v>
      </c>
      <c r="W6" t="s">
        <v>349</v>
      </c>
      <c r="X6" t="s">
        <v>349</v>
      </c>
    </row>
    <row r="7" spans="1:24">
      <c r="A7" t="s">
        <v>280</v>
      </c>
      <c r="B7" t="s">
        <v>365</v>
      </c>
      <c r="C7" t="s">
        <v>366</v>
      </c>
      <c r="D7">
        <v>1210</v>
      </c>
      <c r="E7">
        <v>1270</v>
      </c>
      <c r="F7">
        <v>1240</v>
      </c>
      <c r="G7">
        <v>1.7</v>
      </c>
      <c r="H7">
        <v>1050</v>
      </c>
      <c r="I7">
        <v>1100</v>
      </c>
      <c r="J7">
        <v>1080</v>
      </c>
      <c r="K7">
        <v>1.5</v>
      </c>
      <c r="L7">
        <v>700</v>
      </c>
      <c r="M7">
        <v>770</v>
      </c>
      <c r="N7">
        <v>120</v>
      </c>
      <c r="O7">
        <v>1200</v>
      </c>
      <c r="P7">
        <v>12100</v>
      </c>
      <c r="Q7" t="s">
        <v>352</v>
      </c>
      <c r="R7" t="s">
        <v>367</v>
      </c>
      <c r="S7" t="s">
        <v>353</v>
      </c>
      <c r="T7" t="s">
        <v>368</v>
      </c>
      <c r="U7" t="s">
        <v>354</v>
      </c>
      <c r="V7" t="s">
        <v>369</v>
      </c>
      <c r="W7" t="s">
        <v>349</v>
      </c>
      <c r="X7" t="s">
        <v>349</v>
      </c>
    </row>
    <row r="8" spans="1:24">
      <c r="A8" t="s">
        <v>275</v>
      </c>
      <c r="B8" t="s">
        <v>370</v>
      </c>
      <c r="C8" t="s">
        <v>371</v>
      </c>
      <c r="D8">
        <v>2240</v>
      </c>
      <c r="E8">
        <v>2350</v>
      </c>
      <c r="F8">
        <v>2300</v>
      </c>
      <c r="G8">
        <v>1.7</v>
      </c>
      <c r="H8">
        <v>1950</v>
      </c>
      <c r="I8">
        <v>2050</v>
      </c>
      <c r="J8">
        <v>2000</v>
      </c>
      <c r="K8">
        <v>1.5</v>
      </c>
      <c r="L8">
        <v>1300</v>
      </c>
      <c r="M8">
        <v>1430</v>
      </c>
      <c r="N8">
        <v>100</v>
      </c>
      <c r="O8">
        <v>2000</v>
      </c>
      <c r="P8">
        <v>44800</v>
      </c>
      <c r="Q8" t="s">
        <v>352</v>
      </c>
      <c r="R8" t="s">
        <v>349</v>
      </c>
      <c r="S8" t="s">
        <v>353</v>
      </c>
      <c r="T8" t="s">
        <v>354</v>
      </c>
      <c r="U8" t="s">
        <v>349</v>
      </c>
      <c r="V8" t="s">
        <v>349</v>
      </c>
      <c r="W8" t="s">
        <v>349</v>
      </c>
      <c r="X8" t="s">
        <v>349</v>
      </c>
    </row>
    <row r="9" spans="1:24">
      <c r="A9" t="s">
        <v>271</v>
      </c>
      <c r="B9" t="s">
        <v>372</v>
      </c>
      <c r="C9" t="s">
        <v>373</v>
      </c>
      <c r="D9">
        <v>1120</v>
      </c>
      <c r="E9">
        <v>1180</v>
      </c>
      <c r="F9">
        <v>1150</v>
      </c>
      <c r="G9">
        <v>1.7</v>
      </c>
      <c r="H9">
        <v>980</v>
      </c>
      <c r="I9">
        <v>1030</v>
      </c>
      <c r="J9">
        <v>1000</v>
      </c>
      <c r="K9">
        <v>1.5</v>
      </c>
      <c r="L9">
        <v>650</v>
      </c>
      <c r="M9">
        <v>715</v>
      </c>
      <c r="N9">
        <v>70</v>
      </c>
      <c r="O9">
        <v>1400</v>
      </c>
      <c r="P9">
        <v>22400</v>
      </c>
      <c r="Q9" t="s">
        <v>352</v>
      </c>
      <c r="R9" t="s">
        <v>374</v>
      </c>
      <c r="S9" t="s">
        <v>375</v>
      </c>
      <c r="T9" t="s">
        <v>368</v>
      </c>
      <c r="U9" t="s">
        <v>354</v>
      </c>
      <c r="V9" t="s">
        <v>376</v>
      </c>
      <c r="W9" t="s">
        <v>349</v>
      </c>
      <c r="X9" t="s">
        <v>349</v>
      </c>
    </row>
    <row r="10" spans="1:24">
      <c r="A10" t="s">
        <v>266</v>
      </c>
      <c r="B10" t="s">
        <v>377</v>
      </c>
      <c r="C10" t="s">
        <v>378</v>
      </c>
      <c r="D10">
        <v>1210</v>
      </c>
      <c r="E10">
        <v>1270</v>
      </c>
      <c r="F10">
        <v>1240</v>
      </c>
      <c r="G10">
        <v>1.7</v>
      </c>
      <c r="H10">
        <v>1050</v>
      </c>
      <c r="I10">
        <v>1100</v>
      </c>
      <c r="J10">
        <v>1080</v>
      </c>
      <c r="K10">
        <v>1.5</v>
      </c>
      <c r="L10">
        <v>700</v>
      </c>
      <c r="M10">
        <v>770</v>
      </c>
      <c r="N10">
        <v>70</v>
      </c>
      <c r="O10">
        <v>1400</v>
      </c>
      <c r="P10">
        <v>24200</v>
      </c>
      <c r="Q10" t="s">
        <v>352</v>
      </c>
      <c r="R10" t="s">
        <v>379</v>
      </c>
      <c r="S10" t="s">
        <v>353</v>
      </c>
      <c r="T10" t="s">
        <v>375</v>
      </c>
      <c r="U10" t="s">
        <v>354</v>
      </c>
      <c r="V10" t="s">
        <v>369</v>
      </c>
      <c r="W10" t="s">
        <v>376</v>
      </c>
      <c r="X10" t="s">
        <v>380</v>
      </c>
    </row>
    <row r="11" spans="1:24">
      <c r="A11" t="s">
        <v>258</v>
      </c>
      <c r="B11" t="s">
        <v>381</v>
      </c>
      <c r="C11" t="s">
        <v>378</v>
      </c>
      <c r="D11">
        <v>1810</v>
      </c>
      <c r="E11">
        <v>1900</v>
      </c>
      <c r="F11">
        <v>1860</v>
      </c>
      <c r="G11">
        <v>1.7</v>
      </c>
      <c r="H11">
        <v>1580</v>
      </c>
      <c r="I11">
        <v>1660</v>
      </c>
      <c r="J11">
        <v>1620</v>
      </c>
      <c r="K11">
        <v>1.5</v>
      </c>
      <c r="L11">
        <v>1050</v>
      </c>
      <c r="M11">
        <v>1155</v>
      </c>
      <c r="N11">
        <v>100</v>
      </c>
      <c r="O11">
        <v>2000</v>
      </c>
      <c r="P11">
        <v>36200</v>
      </c>
      <c r="Q11" t="s">
        <v>352</v>
      </c>
      <c r="R11" t="s">
        <v>349</v>
      </c>
      <c r="S11" t="s">
        <v>354</v>
      </c>
      <c r="T11" t="s">
        <v>349</v>
      </c>
      <c r="U11" t="s">
        <v>349</v>
      </c>
      <c r="V11" t="s">
        <v>349</v>
      </c>
      <c r="W11" t="s">
        <v>349</v>
      </c>
      <c r="X11" t="s">
        <v>349</v>
      </c>
    </row>
    <row r="12" spans="1:24">
      <c r="A12" t="s">
        <v>382</v>
      </c>
      <c r="B12" t="s">
        <v>383</v>
      </c>
      <c r="C12" t="s">
        <v>384</v>
      </c>
      <c r="D12">
        <v>930</v>
      </c>
      <c r="E12">
        <v>980</v>
      </c>
      <c r="F12">
        <v>950</v>
      </c>
      <c r="G12">
        <v>1.7</v>
      </c>
      <c r="H12">
        <v>980</v>
      </c>
      <c r="I12">
        <v>1030</v>
      </c>
      <c r="J12">
        <v>1000</v>
      </c>
      <c r="K12">
        <v>1.8</v>
      </c>
      <c r="L12">
        <v>540</v>
      </c>
      <c r="M12">
        <v>594</v>
      </c>
      <c r="N12">
        <v>60</v>
      </c>
      <c r="O12">
        <v>1200</v>
      </c>
      <c r="P12">
        <v>18600</v>
      </c>
      <c r="Q12" t="s">
        <v>352</v>
      </c>
      <c r="R12" t="s">
        <v>349</v>
      </c>
      <c r="S12" t="s">
        <v>353</v>
      </c>
      <c r="T12" t="s">
        <v>368</v>
      </c>
      <c r="U12" t="s">
        <v>354</v>
      </c>
      <c r="V12" t="s">
        <v>349</v>
      </c>
      <c r="W12" t="s">
        <v>349</v>
      </c>
      <c r="X12" t="s">
        <v>349</v>
      </c>
    </row>
    <row r="13" spans="1:24">
      <c r="A13" t="s">
        <v>385</v>
      </c>
      <c r="B13" t="s">
        <v>383</v>
      </c>
      <c r="C13" t="s">
        <v>386</v>
      </c>
      <c r="D13">
        <v>910</v>
      </c>
      <c r="E13">
        <v>960</v>
      </c>
      <c r="F13">
        <v>930</v>
      </c>
      <c r="G13">
        <v>1.7</v>
      </c>
      <c r="H13">
        <v>950</v>
      </c>
      <c r="I13">
        <v>1000</v>
      </c>
      <c r="J13">
        <v>970</v>
      </c>
      <c r="K13">
        <v>1.8</v>
      </c>
      <c r="L13">
        <v>525</v>
      </c>
      <c r="M13">
        <v>578</v>
      </c>
      <c r="N13">
        <v>60</v>
      </c>
      <c r="O13">
        <v>1200</v>
      </c>
      <c r="P13">
        <v>18200</v>
      </c>
      <c r="Q13" t="s">
        <v>352</v>
      </c>
      <c r="R13" t="s">
        <v>349</v>
      </c>
      <c r="S13" t="s">
        <v>353</v>
      </c>
      <c r="T13" t="s">
        <v>354</v>
      </c>
      <c r="U13" t="s">
        <v>363</v>
      </c>
      <c r="V13" t="s">
        <v>387</v>
      </c>
      <c r="W13" t="s">
        <v>349</v>
      </c>
      <c r="X13" t="s">
        <v>349</v>
      </c>
    </row>
    <row r="14" spans="1:24">
      <c r="A14" t="s">
        <v>247</v>
      </c>
      <c r="B14" t="s">
        <v>388</v>
      </c>
      <c r="C14" t="s">
        <v>389</v>
      </c>
      <c r="D14">
        <v>1250</v>
      </c>
      <c r="E14">
        <v>1310</v>
      </c>
      <c r="F14">
        <v>1280</v>
      </c>
      <c r="G14">
        <v>1.7</v>
      </c>
      <c r="H14">
        <v>1090</v>
      </c>
      <c r="I14">
        <v>1140</v>
      </c>
      <c r="J14">
        <v>1120</v>
      </c>
      <c r="K14">
        <v>1.5</v>
      </c>
      <c r="L14">
        <v>725</v>
      </c>
      <c r="M14">
        <v>798</v>
      </c>
      <c r="N14">
        <v>60</v>
      </c>
      <c r="O14">
        <v>1200</v>
      </c>
      <c r="P14">
        <v>25000</v>
      </c>
      <c r="Q14" t="s">
        <v>352</v>
      </c>
      <c r="R14" t="s">
        <v>349</v>
      </c>
      <c r="S14" t="s">
        <v>353</v>
      </c>
      <c r="T14" t="s">
        <v>354</v>
      </c>
      <c r="U14" t="s">
        <v>363</v>
      </c>
      <c r="V14" t="s">
        <v>349</v>
      </c>
      <c r="W14" t="s">
        <v>349</v>
      </c>
      <c r="X14" t="s">
        <v>349</v>
      </c>
    </row>
    <row r="15" spans="1:24">
      <c r="A15" t="s">
        <v>243</v>
      </c>
      <c r="B15" t="s">
        <v>390</v>
      </c>
      <c r="C15" t="s">
        <v>391</v>
      </c>
      <c r="D15">
        <v>1640</v>
      </c>
      <c r="E15">
        <v>1720</v>
      </c>
      <c r="F15">
        <v>1680</v>
      </c>
      <c r="G15">
        <v>1.7</v>
      </c>
      <c r="H15">
        <v>1430</v>
      </c>
      <c r="I15">
        <v>1500</v>
      </c>
      <c r="J15">
        <v>1470</v>
      </c>
      <c r="K15">
        <v>1.5</v>
      </c>
      <c r="L15">
        <v>950</v>
      </c>
      <c r="M15">
        <v>1045</v>
      </c>
      <c r="N15">
        <v>70</v>
      </c>
      <c r="O15">
        <v>1400</v>
      </c>
      <c r="P15">
        <v>32800</v>
      </c>
      <c r="Q15" t="s">
        <v>352</v>
      </c>
      <c r="R15" t="s">
        <v>374</v>
      </c>
      <c r="S15" t="s">
        <v>375</v>
      </c>
      <c r="T15" t="s">
        <v>368</v>
      </c>
      <c r="U15" t="s">
        <v>354</v>
      </c>
      <c r="V15" t="s">
        <v>376</v>
      </c>
      <c r="W15" t="s">
        <v>380</v>
      </c>
      <c r="X15" t="s">
        <v>349</v>
      </c>
    </row>
    <row r="16" spans="1:24">
      <c r="A16" t="s">
        <v>240</v>
      </c>
      <c r="B16" t="s">
        <v>392</v>
      </c>
      <c r="C16" t="s">
        <v>391</v>
      </c>
      <c r="D16">
        <v>1980</v>
      </c>
      <c r="E16">
        <v>2080</v>
      </c>
      <c r="F16">
        <v>2030</v>
      </c>
      <c r="G16">
        <v>1.7</v>
      </c>
      <c r="H16">
        <v>1730</v>
      </c>
      <c r="I16">
        <v>1820</v>
      </c>
      <c r="J16">
        <v>1770</v>
      </c>
      <c r="K16">
        <v>1.5</v>
      </c>
      <c r="L16">
        <v>1150</v>
      </c>
      <c r="M16">
        <v>1265</v>
      </c>
      <c r="N16">
        <v>60</v>
      </c>
      <c r="O16">
        <v>1200</v>
      </c>
      <c r="P16">
        <v>39600</v>
      </c>
      <c r="Q16" t="s">
        <v>352</v>
      </c>
      <c r="R16" t="s">
        <v>349</v>
      </c>
      <c r="S16" t="s">
        <v>353</v>
      </c>
      <c r="T16" t="s">
        <v>354</v>
      </c>
      <c r="U16" t="s">
        <v>364</v>
      </c>
      <c r="V16" t="s">
        <v>349</v>
      </c>
      <c r="W16" t="s">
        <v>349</v>
      </c>
      <c r="X16" t="s">
        <v>349</v>
      </c>
    </row>
    <row r="17" spans="1:24">
      <c r="A17" t="s">
        <v>238</v>
      </c>
      <c r="B17" t="s">
        <v>393</v>
      </c>
      <c r="C17" t="s">
        <v>394</v>
      </c>
      <c r="D17">
        <v>2150</v>
      </c>
      <c r="E17">
        <v>2260</v>
      </c>
      <c r="F17">
        <v>2200</v>
      </c>
      <c r="G17">
        <v>1.7</v>
      </c>
      <c r="H17">
        <v>1880</v>
      </c>
      <c r="I17">
        <v>1970</v>
      </c>
      <c r="J17">
        <v>1930</v>
      </c>
      <c r="K17">
        <v>1.5</v>
      </c>
      <c r="L17">
        <v>1250</v>
      </c>
      <c r="M17">
        <v>1375</v>
      </c>
      <c r="N17">
        <v>70</v>
      </c>
      <c r="O17">
        <v>1400</v>
      </c>
      <c r="P17">
        <v>43000</v>
      </c>
      <c r="Q17" t="s">
        <v>352</v>
      </c>
      <c r="R17" t="s">
        <v>349</v>
      </c>
      <c r="S17" t="s">
        <v>375</v>
      </c>
      <c r="T17" t="s">
        <v>354</v>
      </c>
      <c r="U17" t="s">
        <v>363</v>
      </c>
      <c r="V17" t="s">
        <v>349</v>
      </c>
      <c r="W17" t="s">
        <v>349</v>
      </c>
      <c r="X17" t="s">
        <v>349</v>
      </c>
    </row>
    <row r="18" spans="1:24">
      <c r="A18" t="s">
        <v>231</v>
      </c>
      <c r="B18" t="s">
        <v>395</v>
      </c>
      <c r="C18" t="s">
        <v>396</v>
      </c>
      <c r="D18">
        <v>1900</v>
      </c>
      <c r="E18">
        <v>2000</v>
      </c>
      <c r="F18">
        <v>1950</v>
      </c>
      <c r="G18">
        <v>1.7</v>
      </c>
      <c r="H18">
        <v>1650</v>
      </c>
      <c r="I18">
        <v>1730</v>
      </c>
      <c r="J18">
        <v>1690</v>
      </c>
      <c r="K18">
        <v>1.5</v>
      </c>
      <c r="L18">
        <v>1100</v>
      </c>
      <c r="M18">
        <v>1210</v>
      </c>
      <c r="N18">
        <v>60</v>
      </c>
      <c r="O18">
        <v>1200</v>
      </c>
      <c r="P18">
        <v>38000</v>
      </c>
      <c r="Q18" t="s">
        <v>352</v>
      </c>
      <c r="R18" t="s">
        <v>349</v>
      </c>
      <c r="S18" t="s">
        <v>354</v>
      </c>
      <c r="T18" t="s">
        <v>349</v>
      </c>
      <c r="U18" t="s">
        <v>349</v>
      </c>
      <c r="V18" t="s">
        <v>349</v>
      </c>
      <c r="W18" t="s">
        <v>349</v>
      </c>
      <c r="X18" t="s">
        <v>349</v>
      </c>
    </row>
    <row r="19" spans="1:24">
      <c r="A19" t="s">
        <v>224</v>
      </c>
      <c r="B19" t="s">
        <v>395</v>
      </c>
      <c r="C19" t="s">
        <v>396</v>
      </c>
      <c r="D19">
        <v>2030</v>
      </c>
      <c r="E19">
        <v>2130</v>
      </c>
      <c r="F19">
        <v>2080</v>
      </c>
      <c r="G19">
        <v>1.7</v>
      </c>
      <c r="H19">
        <v>1770</v>
      </c>
      <c r="I19">
        <v>1860</v>
      </c>
      <c r="J19">
        <v>1810</v>
      </c>
      <c r="K19">
        <v>1.5</v>
      </c>
      <c r="L19">
        <v>1175</v>
      </c>
      <c r="M19">
        <v>1293</v>
      </c>
      <c r="N19">
        <v>60</v>
      </c>
      <c r="O19">
        <v>1200</v>
      </c>
      <c r="P19">
        <v>40600</v>
      </c>
      <c r="Q19" t="s">
        <v>352</v>
      </c>
      <c r="R19" t="s">
        <v>397</v>
      </c>
      <c r="S19" t="s">
        <v>353</v>
      </c>
      <c r="T19" t="s">
        <v>368</v>
      </c>
      <c r="U19" t="s">
        <v>354</v>
      </c>
      <c r="V19" t="s">
        <v>363</v>
      </c>
      <c r="W19" t="s">
        <v>349</v>
      </c>
      <c r="X19" t="s">
        <v>349</v>
      </c>
    </row>
    <row r="20" spans="1:24">
      <c r="A20" t="s">
        <v>217</v>
      </c>
      <c r="B20" t="s">
        <v>398</v>
      </c>
      <c r="C20" t="s">
        <v>399</v>
      </c>
      <c r="D20">
        <v>2070</v>
      </c>
      <c r="E20">
        <v>2170</v>
      </c>
      <c r="F20">
        <v>2120</v>
      </c>
      <c r="G20">
        <v>1.7</v>
      </c>
      <c r="H20">
        <v>1800</v>
      </c>
      <c r="I20">
        <v>1890</v>
      </c>
      <c r="J20">
        <v>1850</v>
      </c>
      <c r="K20">
        <v>1.5</v>
      </c>
      <c r="L20">
        <v>1200</v>
      </c>
      <c r="M20">
        <v>1320</v>
      </c>
      <c r="N20">
        <v>60</v>
      </c>
      <c r="O20">
        <v>600</v>
      </c>
      <c r="P20">
        <v>20700</v>
      </c>
      <c r="Q20" t="s">
        <v>352</v>
      </c>
      <c r="R20" t="s">
        <v>349</v>
      </c>
      <c r="S20" t="s">
        <v>353</v>
      </c>
      <c r="T20" t="s">
        <v>349</v>
      </c>
      <c r="U20" t="s">
        <v>349</v>
      </c>
      <c r="V20" t="s">
        <v>349</v>
      </c>
      <c r="W20" t="s">
        <v>349</v>
      </c>
      <c r="X20" t="s">
        <v>349</v>
      </c>
    </row>
    <row r="21" spans="1:24">
      <c r="A21" t="s">
        <v>211</v>
      </c>
      <c r="B21" t="s">
        <v>400</v>
      </c>
      <c r="C21" t="s">
        <v>401</v>
      </c>
      <c r="D21">
        <v>2190</v>
      </c>
      <c r="E21">
        <v>2300</v>
      </c>
      <c r="F21">
        <v>2240</v>
      </c>
      <c r="G21">
        <v>1.7</v>
      </c>
      <c r="H21">
        <v>1910</v>
      </c>
      <c r="I21">
        <v>2010</v>
      </c>
      <c r="J21">
        <v>1960</v>
      </c>
      <c r="K21">
        <v>1.5</v>
      </c>
      <c r="L21">
        <v>1270</v>
      </c>
      <c r="M21">
        <v>1397</v>
      </c>
      <c r="N21">
        <v>60</v>
      </c>
      <c r="O21">
        <v>1200</v>
      </c>
      <c r="P21">
        <v>43800</v>
      </c>
      <c r="Q21" t="s">
        <v>352</v>
      </c>
      <c r="R21" t="s">
        <v>349</v>
      </c>
      <c r="S21" t="s">
        <v>353</v>
      </c>
      <c r="T21" t="s">
        <v>368</v>
      </c>
      <c r="U21" t="s">
        <v>354</v>
      </c>
      <c r="V21" t="s">
        <v>363</v>
      </c>
      <c r="W21" t="s">
        <v>364</v>
      </c>
      <c r="X21" t="s">
        <v>349</v>
      </c>
    </row>
    <row r="22" spans="1:24">
      <c r="A22" t="s">
        <v>208</v>
      </c>
      <c r="B22" t="s">
        <v>402</v>
      </c>
      <c r="C22" t="s">
        <v>403</v>
      </c>
      <c r="D22">
        <v>3620</v>
      </c>
      <c r="E22">
        <v>3800</v>
      </c>
      <c r="F22">
        <v>3710</v>
      </c>
      <c r="G22">
        <v>1.7</v>
      </c>
      <c r="H22">
        <v>3150</v>
      </c>
      <c r="I22">
        <v>3310</v>
      </c>
      <c r="J22">
        <v>3230</v>
      </c>
      <c r="K22">
        <v>1.5</v>
      </c>
      <c r="L22">
        <v>2100</v>
      </c>
      <c r="M22">
        <v>2310</v>
      </c>
      <c r="N22">
        <v>70</v>
      </c>
      <c r="O22">
        <v>700</v>
      </c>
      <c r="P22">
        <v>36200</v>
      </c>
      <c r="Q22" t="s">
        <v>352</v>
      </c>
      <c r="R22" t="s">
        <v>404</v>
      </c>
      <c r="S22" t="s">
        <v>375</v>
      </c>
      <c r="T22" t="s">
        <v>354</v>
      </c>
      <c r="U22" t="s">
        <v>363</v>
      </c>
      <c r="V22" t="s">
        <v>376</v>
      </c>
      <c r="W22" t="s">
        <v>349</v>
      </c>
      <c r="X22" t="s">
        <v>349</v>
      </c>
    </row>
    <row r="23" spans="1:24">
      <c r="A23" t="s">
        <v>206</v>
      </c>
      <c r="B23" t="s">
        <v>400</v>
      </c>
      <c r="C23" t="s">
        <v>405</v>
      </c>
      <c r="D23">
        <v>3700</v>
      </c>
      <c r="E23">
        <v>3890</v>
      </c>
      <c r="F23">
        <v>3790</v>
      </c>
      <c r="G23">
        <v>1.7</v>
      </c>
      <c r="H23">
        <v>3230</v>
      </c>
      <c r="I23">
        <v>3390</v>
      </c>
      <c r="J23">
        <v>3310</v>
      </c>
      <c r="K23">
        <v>1.5</v>
      </c>
      <c r="L23">
        <v>2150</v>
      </c>
      <c r="M23">
        <v>2365</v>
      </c>
      <c r="N23">
        <v>60</v>
      </c>
      <c r="O23">
        <v>600</v>
      </c>
      <c r="P23">
        <v>37000</v>
      </c>
      <c r="Q23" t="s">
        <v>352</v>
      </c>
      <c r="R23" t="s">
        <v>349</v>
      </c>
      <c r="S23" t="s">
        <v>353</v>
      </c>
      <c r="T23" t="s">
        <v>354</v>
      </c>
      <c r="U23" t="s">
        <v>363</v>
      </c>
      <c r="V23" t="s">
        <v>380</v>
      </c>
      <c r="W23" t="s">
        <v>349</v>
      </c>
      <c r="X23" t="s">
        <v>349</v>
      </c>
    </row>
    <row r="24" spans="1:24">
      <c r="A24" t="s">
        <v>204</v>
      </c>
      <c r="B24" t="s">
        <v>406</v>
      </c>
      <c r="C24" t="s">
        <v>407</v>
      </c>
      <c r="D24">
        <v>3790</v>
      </c>
      <c r="E24">
        <v>3980</v>
      </c>
      <c r="F24">
        <v>3880</v>
      </c>
      <c r="G24">
        <v>1.7</v>
      </c>
      <c r="H24">
        <v>3300</v>
      </c>
      <c r="I24">
        <v>3470</v>
      </c>
      <c r="J24">
        <v>3380</v>
      </c>
      <c r="K24">
        <v>1.5</v>
      </c>
      <c r="L24">
        <v>2200</v>
      </c>
      <c r="M24">
        <v>2420</v>
      </c>
      <c r="N24">
        <v>60</v>
      </c>
      <c r="O24">
        <v>600</v>
      </c>
      <c r="P24">
        <v>37900</v>
      </c>
      <c r="Q24" t="s">
        <v>352</v>
      </c>
      <c r="R24" t="s">
        <v>404</v>
      </c>
      <c r="S24" t="s">
        <v>375</v>
      </c>
      <c r="T24" t="s">
        <v>354</v>
      </c>
      <c r="U24" t="s">
        <v>363</v>
      </c>
      <c r="V24" t="s">
        <v>349</v>
      </c>
      <c r="W24" t="s">
        <v>349</v>
      </c>
      <c r="X24" t="s">
        <v>349</v>
      </c>
    </row>
    <row r="25" spans="1:24">
      <c r="A25" t="s">
        <v>195</v>
      </c>
      <c r="B25" t="s">
        <v>408</v>
      </c>
      <c r="C25" t="s">
        <v>409</v>
      </c>
      <c r="D25">
        <v>2760</v>
      </c>
      <c r="E25">
        <v>2900</v>
      </c>
      <c r="F25">
        <v>2830</v>
      </c>
      <c r="G25">
        <v>1.7</v>
      </c>
      <c r="H25">
        <v>2400</v>
      </c>
      <c r="I25">
        <v>2520</v>
      </c>
      <c r="J25">
        <v>2460</v>
      </c>
      <c r="K25">
        <v>1.5</v>
      </c>
      <c r="L25">
        <v>1600</v>
      </c>
      <c r="M25">
        <v>1760</v>
      </c>
      <c r="N25">
        <v>70</v>
      </c>
      <c r="O25">
        <v>700</v>
      </c>
      <c r="P25">
        <v>27600</v>
      </c>
      <c r="Q25" t="s">
        <v>408</v>
      </c>
      <c r="R25" t="s">
        <v>349</v>
      </c>
      <c r="S25" t="s">
        <v>354</v>
      </c>
      <c r="T25" t="s">
        <v>349</v>
      </c>
      <c r="U25" t="s">
        <v>349</v>
      </c>
      <c r="V25" t="s">
        <v>349</v>
      </c>
      <c r="W25" t="s">
        <v>349</v>
      </c>
      <c r="X25" t="s">
        <v>349</v>
      </c>
    </row>
    <row r="26" spans="1:24">
      <c r="A26" t="s">
        <v>190</v>
      </c>
      <c r="B26" t="s">
        <v>410</v>
      </c>
      <c r="C26" t="s">
        <v>411</v>
      </c>
      <c r="D26">
        <v>4480</v>
      </c>
      <c r="E26">
        <v>4700</v>
      </c>
      <c r="F26">
        <v>4590</v>
      </c>
      <c r="G26">
        <v>1.7</v>
      </c>
      <c r="H26">
        <v>4290</v>
      </c>
      <c r="I26">
        <v>4500</v>
      </c>
      <c r="J26">
        <v>4400</v>
      </c>
      <c r="K26">
        <v>1.7</v>
      </c>
      <c r="L26">
        <v>2600</v>
      </c>
      <c r="M26">
        <v>2860</v>
      </c>
      <c r="N26">
        <v>60</v>
      </c>
      <c r="O26">
        <v>600</v>
      </c>
      <c r="P26">
        <v>44800</v>
      </c>
      <c r="Q26" t="s">
        <v>352</v>
      </c>
      <c r="R26" t="s">
        <v>374</v>
      </c>
      <c r="S26" t="s">
        <v>375</v>
      </c>
      <c r="T26" t="s">
        <v>368</v>
      </c>
      <c r="U26" t="s">
        <v>354</v>
      </c>
      <c r="V26" t="s">
        <v>349</v>
      </c>
      <c r="W26" t="s">
        <v>349</v>
      </c>
      <c r="X26" t="s">
        <v>349</v>
      </c>
    </row>
    <row r="27" spans="1:24">
      <c r="A27" t="s">
        <v>185</v>
      </c>
      <c r="B27" t="s">
        <v>412</v>
      </c>
      <c r="C27" t="s">
        <v>413</v>
      </c>
      <c r="D27">
        <v>4990</v>
      </c>
      <c r="E27">
        <v>5240</v>
      </c>
      <c r="F27">
        <v>5110</v>
      </c>
      <c r="G27">
        <v>1.7</v>
      </c>
      <c r="H27">
        <v>4790</v>
      </c>
      <c r="I27">
        <v>5030</v>
      </c>
      <c r="J27">
        <v>4910</v>
      </c>
      <c r="K27">
        <v>1.7</v>
      </c>
      <c r="L27">
        <v>2900</v>
      </c>
      <c r="M27">
        <v>3190</v>
      </c>
      <c r="N27">
        <v>60</v>
      </c>
      <c r="O27">
        <v>600</v>
      </c>
      <c r="P27">
        <v>49900</v>
      </c>
      <c r="Q27" t="s">
        <v>352</v>
      </c>
      <c r="R27" t="s">
        <v>414</v>
      </c>
      <c r="S27" t="s">
        <v>375</v>
      </c>
      <c r="T27" t="s">
        <v>354</v>
      </c>
      <c r="U27" t="s">
        <v>349</v>
      </c>
      <c r="V27" t="s">
        <v>349</v>
      </c>
      <c r="W27" t="s">
        <v>349</v>
      </c>
      <c r="X27" t="s">
        <v>349</v>
      </c>
    </row>
    <row r="28" spans="1:24">
      <c r="A28" t="s">
        <v>180</v>
      </c>
      <c r="B28" t="s">
        <v>415</v>
      </c>
      <c r="C28" t="s">
        <v>416</v>
      </c>
      <c r="D28">
        <v>5510</v>
      </c>
      <c r="E28">
        <v>5790</v>
      </c>
      <c r="F28">
        <v>5650</v>
      </c>
      <c r="G28">
        <v>1.7</v>
      </c>
      <c r="H28">
        <v>5280</v>
      </c>
      <c r="I28">
        <v>5540</v>
      </c>
      <c r="J28">
        <v>5410</v>
      </c>
      <c r="K28">
        <v>1.7</v>
      </c>
      <c r="L28">
        <v>3200</v>
      </c>
      <c r="M28">
        <v>3520</v>
      </c>
      <c r="N28">
        <v>60</v>
      </c>
      <c r="O28">
        <v>600</v>
      </c>
      <c r="P28">
        <v>55100</v>
      </c>
      <c r="Q28" t="s">
        <v>352</v>
      </c>
      <c r="R28" t="s">
        <v>414</v>
      </c>
      <c r="S28" t="s">
        <v>375</v>
      </c>
      <c r="T28" t="s">
        <v>354</v>
      </c>
      <c r="U28" t="s">
        <v>349</v>
      </c>
      <c r="V28" t="s">
        <v>349</v>
      </c>
      <c r="W28" t="s">
        <v>349</v>
      </c>
      <c r="X28" t="s">
        <v>349</v>
      </c>
    </row>
    <row r="29" spans="1:24">
      <c r="A29" t="s">
        <v>176</v>
      </c>
      <c r="B29" t="s">
        <v>417</v>
      </c>
      <c r="C29" t="s">
        <v>418</v>
      </c>
      <c r="D29">
        <v>7230</v>
      </c>
      <c r="E29">
        <v>7590</v>
      </c>
      <c r="F29">
        <v>7410</v>
      </c>
      <c r="G29">
        <v>1.7</v>
      </c>
      <c r="H29">
        <v>6930</v>
      </c>
      <c r="I29">
        <v>7280</v>
      </c>
      <c r="J29">
        <v>7100</v>
      </c>
      <c r="K29">
        <v>1.7</v>
      </c>
      <c r="L29">
        <v>4200</v>
      </c>
      <c r="M29">
        <v>4620</v>
      </c>
      <c r="N29">
        <v>60</v>
      </c>
      <c r="O29">
        <v>600</v>
      </c>
      <c r="P29">
        <v>72300</v>
      </c>
      <c r="Q29" t="s">
        <v>352</v>
      </c>
      <c r="R29" t="s">
        <v>414</v>
      </c>
      <c r="S29" t="s">
        <v>375</v>
      </c>
      <c r="T29" t="s">
        <v>354</v>
      </c>
      <c r="U29" t="s">
        <v>349</v>
      </c>
      <c r="V29" t="s">
        <v>349</v>
      </c>
      <c r="W29" t="s">
        <v>349</v>
      </c>
      <c r="X29" t="s">
        <v>349</v>
      </c>
    </row>
    <row r="30" spans="1:24">
      <c r="A30" t="s">
        <v>173</v>
      </c>
      <c r="B30" t="s">
        <v>419</v>
      </c>
      <c r="C30" t="s">
        <v>420</v>
      </c>
      <c r="D30">
        <v>13760</v>
      </c>
      <c r="E30">
        <v>14450</v>
      </c>
      <c r="F30">
        <v>14100</v>
      </c>
      <c r="G30">
        <v>1.7</v>
      </c>
      <c r="H30">
        <v>13200</v>
      </c>
      <c r="I30">
        <v>13860</v>
      </c>
      <c r="J30">
        <v>13530</v>
      </c>
      <c r="K30">
        <v>1.7</v>
      </c>
      <c r="L30">
        <v>8000</v>
      </c>
      <c r="M30">
        <v>8800</v>
      </c>
      <c r="N30">
        <v>70</v>
      </c>
      <c r="O30">
        <v>700</v>
      </c>
      <c r="P30">
        <v>137600</v>
      </c>
      <c r="Q30" t="s">
        <v>352</v>
      </c>
      <c r="R30" t="s">
        <v>349</v>
      </c>
      <c r="S30" t="s">
        <v>354</v>
      </c>
      <c r="T30" t="s">
        <v>349</v>
      </c>
      <c r="U30" t="s">
        <v>349</v>
      </c>
      <c r="V30" t="s">
        <v>349</v>
      </c>
      <c r="W30" t="s">
        <v>349</v>
      </c>
      <c r="X30" t="s">
        <v>349</v>
      </c>
    </row>
    <row r="31" spans="1:24">
      <c r="A31" t="s">
        <v>168</v>
      </c>
      <c r="B31" t="s">
        <v>421</v>
      </c>
      <c r="C31" t="s">
        <v>422</v>
      </c>
      <c r="D31">
        <v>3440</v>
      </c>
      <c r="E31">
        <v>3610</v>
      </c>
      <c r="F31">
        <v>3530</v>
      </c>
      <c r="G31">
        <v>1.7</v>
      </c>
      <c r="H31">
        <v>3300</v>
      </c>
      <c r="I31">
        <v>3470</v>
      </c>
      <c r="J31">
        <v>3380</v>
      </c>
      <c r="K31">
        <v>1.7</v>
      </c>
      <c r="L31">
        <v>2000</v>
      </c>
      <c r="M31">
        <v>2200</v>
      </c>
      <c r="N31">
        <v>100</v>
      </c>
      <c r="O31">
        <v>1000</v>
      </c>
      <c r="P31">
        <v>34400</v>
      </c>
      <c r="Q31" t="s">
        <v>421</v>
      </c>
      <c r="R31" t="s">
        <v>349</v>
      </c>
      <c r="S31" t="s">
        <v>353</v>
      </c>
      <c r="T31" t="s">
        <v>349</v>
      </c>
      <c r="U31" t="s">
        <v>349</v>
      </c>
      <c r="V31" t="s">
        <v>349</v>
      </c>
      <c r="W31" t="s">
        <v>349</v>
      </c>
      <c r="X31" t="s">
        <v>349</v>
      </c>
    </row>
    <row r="32" spans="1:24">
      <c r="A32" t="s">
        <v>164</v>
      </c>
      <c r="B32" t="s">
        <v>421</v>
      </c>
      <c r="C32" t="s">
        <v>423</v>
      </c>
      <c r="D32">
        <v>4130</v>
      </c>
      <c r="E32">
        <v>4340</v>
      </c>
      <c r="F32">
        <v>4230</v>
      </c>
      <c r="G32">
        <v>1.7</v>
      </c>
      <c r="H32">
        <v>3960</v>
      </c>
      <c r="I32">
        <v>4160</v>
      </c>
      <c r="J32">
        <v>4060</v>
      </c>
      <c r="K32">
        <v>1.7</v>
      </c>
      <c r="L32">
        <v>2400</v>
      </c>
      <c r="M32">
        <v>2640</v>
      </c>
      <c r="N32">
        <v>100</v>
      </c>
      <c r="O32">
        <v>1000</v>
      </c>
      <c r="P32">
        <v>41300</v>
      </c>
      <c r="Q32" t="s">
        <v>421</v>
      </c>
      <c r="R32" t="s">
        <v>349</v>
      </c>
      <c r="S32" t="s">
        <v>353</v>
      </c>
      <c r="T32" t="s">
        <v>349</v>
      </c>
      <c r="U32" t="s">
        <v>349</v>
      </c>
      <c r="V32" t="s">
        <v>349</v>
      </c>
      <c r="W32" t="s">
        <v>349</v>
      </c>
      <c r="X32" t="s">
        <v>349</v>
      </c>
    </row>
    <row r="33" spans="1:24">
      <c r="A33" t="s">
        <v>160</v>
      </c>
      <c r="B33" t="s">
        <v>421</v>
      </c>
      <c r="C33" t="s">
        <v>424</v>
      </c>
      <c r="D33">
        <v>4990</v>
      </c>
      <c r="E33">
        <v>5240</v>
      </c>
      <c r="F33">
        <v>5110</v>
      </c>
      <c r="G33">
        <v>1.7</v>
      </c>
      <c r="H33">
        <v>4790</v>
      </c>
      <c r="I33">
        <v>5030</v>
      </c>
      <c r="J33">
        <v>4910</v>
      </c>
      <c r="K33">
        <v>1.7</v>
      </c>
      <c r="L33">
        <v>2900</v>
      </c>
      <c r="M33">
        <v>3190</v>
      </c>
      <c r="N33">
        <v>100</v>
      </c>
      <c r="O33">
        <v>1000</v>
      </c>
      <c r="P33">
        <v>49900</v>
      </c>
      <c r="Q33" t="s">
        <v>421</v>
      </c>
      <c r="R33" t="s">
        <v>349</v>
      </c>
      <c r="S33" t="s">
        <v>353</v>
      </c>
      <c r="T33" t="s">
        <v>349</v>
      </c>
      <c r="U33" t="s">
        <v>349</v>
      </c>
      <c r="V33" t="s">
        <v>349</v>
      </c>
      <c r="W33" t="s">
        <v>349</v>
      </c>
      <c r="X33" t="s">
        <v>349</v>
      </c>
    </row>
    <row r="34" spans="1:24">
      <c r="A34" t="s">
        <v>157</v>
      </c>
      <c r="B34" t="s">
        <v>421</v>
      </c>
      <c r="C34" t="s">
        <v>425</v>
      </c>
      <c r="D34">
        <v>5680</v>
      </c>
      <c r="E34">
        <v>5960</v>
      </c>
      <c r="F34">
        <v>5820</v>
      </c>
      <c r="G34">
        <v>1.7</v>
      </c>
      <c r="H34">
        <v>5450</v>
      </c>
      <c r="I34">
        <v>5720</v>
      </c>
      <c r="J34">
        <v>5590</v>
      </c>
      <c r="K34">
        <v>1.7</v>
      </c>
      <c r="L34">
        <v>3300</v>
      </c>
      <c r="M34">
        <v>3630</v>
      </c>
      <c r="N34">
        <v>100</v>
      </c>
      <c r="O34">
        <v>1000</v>
      </c>
      <c r="P34">
        <v>56800</v>
      </c>
      <c r="Q34" t="s">
        <v>421</v>
      </c>
      <c r="R34" t="s">
        <v>349</v>
      </c>
      <c r="S34" t="s">
        <v>353</v>
      </c>
      <c r="T34" t="s">
        <v>349</v>
      </c>
      <c r="U34" t="s">
        <v>349</v>
      </c>
      <c r="V34" t="s">
        <v>349</v>
      </c>
      <c r="W34" t="s">
        <v>349</v>
      </c>
      <c r="X34" t="s">
        <v>349</v>
      </c>
    </row>
    <row r="35" spans="1:24">
      <c r="A35" t="s">
        <v>154</v>
      </c>
      <c r="B35" t="s">
        <v>421</v>
      </c>
      <c r="C35" t="s">
        <v>426</v>
      </c>
      <c r="D35">
        <v>7400</v>
      </c>
      <c r="E35">
        <v>7770</v>
      </c>
      <c r="F35">
        <v>7590</v>
      </c>
      <c r="G35">
        <v>1.7</v>
      </c>
      <c r="H35">
        <v>7100</v>
      </c>
      <c r="I35">
        <v>7460</v>
      </c>
      <c r="J35">
        <v>7280</v>
      </c>
      <c r="K35">
        <v>1.7</v>
      </c>
      <c r="L35">
        <v>4300</v>
      </c>
      <c r="M35">
        <v>4730</v>
      </c>
      <c r="N35">
        <v>100</v>
      </c>
      <c r="O35">
        <v>100</v>
      </c>
      <c r="P35">
        <v>7400</v>
      </c>
      <c r="Q35" t="s">
        <v>421</v>
      </c>
      <c r="R35" t="s">
        <v>349</v>
      </c>
      <c r="S35" t="s">
        <v>353</v>
      </c>
      <c r="T35" t="s">
        <v>349</v>
      </c>
      <c r="U35" t="s">
        <v>349</v>
      </c>
      <c r="V35" t="s">
        <v>349</v>
      </c>
      <c r="W35" t="s">
        <v>349</v>
      </c>
      <c r="X35" t="s">
        <v>349</v>
      </c>
    </row>
    <row r="36" spans="1:24">
      <c r="A36" t="s">
        <v>149</v>
      </c>
      <c r="B36" t="s">
        <v>427</v>
      </c>
      <c r="C36" t="s">
        <v>428</v>
      </c>
      <c r="D36">
        <v>2580</v>
      </c>
      <c r="E36">
        <v>2710</v>
      </c>
      <c r="F36">
        <v>2640</v>
      </c>
      <c r="G36">
        <v>1.7</v>
      </c>
      <c r="H36">
        <v>2550</v>
      </c>
      <c r="I36">
        <v>2680</v>
      </c>
      <c r="J36">
        <v>2610</v>
      </c>
      <c r="K36">
        <v>1.7</v>
      </c>
      <c r="L36">
        <v>1500</v>
      </c>
      <c r="M36">
        <v>1650</v>
      </c>
      <c r="N36">
        <v>70</v>
      </c>
      <c r="O36">
        <v>700</v>
      </c>
      <c r="P36">
        <v>25800</v>
      </c>
      <c r="Q36" t="s">
        <v>429</v>
      </c>
      <c r="R36" t="s">
        <v>349</v>
      </c>
      <c r="S36" t="s">
        <v>353</v>
      </c>
      <c r="T36" t="s">
        <v>354</v>
      </c>
      <c r="U36" t="s">
        <v>380</v>
      </c>
      <c r="V36" t="s">
        <v>349</v>
      </c>
      <c r="W36" t="s">
        <v>349</v>
      </c>
      <c r="X36" t="s">
        <v>349</v>
      </c>
    </row>
    <row r="37" spans="1:24">
      <c r="A37" t="s">
        <v>144</v>
      </c>
      <c r="B37" t="s">
        <v>430</v>
      </c>
      <c r="C37" t="s">
        <v>431</v>
      </c>
      <c r="D37">
        <v>7570</v>
      </c>
      <c r="E37">
        <v>7950</v>
      </c>
      <c r="F37">
        <v>7760</v>
      </c>
      <c r="G37">
        <v>1.7</v>
      </c>
      <c r="H37">
        <v>5720</v>
      </c>
      <c r="I37">
        <v>6010</v>
      </c>
      <c r="J37">
        <v>5860</v>
      </c>
      <c r="K37">
        <v>1.3</v>
      </c>
      <c r="L37">
        <v>4400</v>
      </c>
      <c r="M37">
        <v>4840</v>
      </c>
      <c r="N37">
        <v>100</v>
      </c>
      <c r="O37">
        <v>500</v>
      </c>
      <c r="P37">
        <v>37850</v>
      </c>
      <c r="Q37" t="s">
        <v>432</v>
      </c>
      <c r="R37" t="s">
        <v>375</v>
      </c>
      <c r="S37" t="s">
        <v>375</v>
      </c>
      <c r="T37" t="s">
        <v>349</v>
      </c>
      <c r="U37" t="s">
        <v>349</v>
      </c>
      <c r="V37" t="s">
        <v>349</v>
      </c>
      <c r="W37" t="s">
        <v>349</v>
      </c>
      <c r="X37" t="s">
        <v>349</v>
      </c>
    </row>
    <row r="38" spans="1:24">
      <c r="A38" t="s">
        <v>142</v>
      </c>
      <c r="B38" t="s">
        <v>433</v>
      </c>
      <c r="C38" t="s">
        <v>434</v>
      </c>
      <c r="D38">
        <v>3960</v>
      </c>
      <c r="E38">
        <v>4160</v>
      </c>
      <c r="F38">
        <v>4060</v>
      </c>
      <c r="G38">
        <v>1.7</v>
      </c>
      <c r="H38">
        <v>2990</v>
      </c>
      <c r="I38">
        <v>3140</v>
      </c>
      <c r="J38">
        <v>3060</v>
      </c>
      <c r="K38">
        <v>1.3</v>
      </c>
      <c r="L38">
        <v>2300</v>
      </c>
      <c r="M38">
        <v>2530</v>
      </c>
      <c r="N38">
        <v>1000</v>
      </c>
      <c r="O38">
        <v>1</v>
      </c>
      <c r="P38">
        <v>3960</v>
      </c>
      <c r="Q38" t="s">
        <v>432</v>
      </c>
      <c r="R38" t="s">
        <v>349</v>
      </c>
      <c r="S38" t="s">
        <v>354</v>
      </c>
      <c r="T38" t="s">
        <v>349</v>
      </c>
      <c r="U38" t="s">
        <v>349</v>
      </c>
      <c r="V38" t="s">
        <v>349</v>
      </c>
      <c r="W38" t="s">
        <v>349</v>
      </c>
      <c r="X38" t="s">
        <v>349</v>
      </c>
    </row>
    <row r="39" spans="1:24">
      <c r="A39" t="s">
        <v>140</v>
      </c>
      <c r="B39" t="s">
        <v>430</v>
      </c>
      <c r="C39" t="s">
        <v>435</v>
      </c>
      <c r="D39">
        <v>5510</v>
      </c>
      <c r="E39">
        <v>5790</v>
      </c>
      <c r="F39">
        <v>5650</v>
      </c>
      <c r="G39">
        <v>1.7</v>
      </c>
      <c r="H39">
        <v>4160</v>
      </c>
      <c r="I39">
        <v>4370</v>
      </c>
      <c r="J39">
        <v>4260</v>
      </c>
      <c r="K39">
        <v>1.3</v>
      </c>
      <c r="L39">
        <v>3200</v>
      </c>
      <c r="M39">
        <v>3520</v>
      </c>
      <c r="N39">
        <v>100</v>
      </c>
      <c r="O39">
        <v>500</v>
      </c>
      <c r="P39">
        <v>27550</v>
      </c>
      <c r="Q39" t="s">
        <v>432</v>
      </c>
      <c r="R39" t="s">
        <v>375</v>
      </c>
      <c r="S39" t="s">
        <v>375</v>
      </c>
      <c r="T39" t="s">
        <v>349</v>
      </c>
      <c r="U39" t="s">
        <v>349</v>
      </c>
      <c r="V39" t="s">
        <v>349</v>
      </c>
      <c r="W39" t="s">
        <v>349</v>
      </c>
      <c r="X39" t="s">
        <v>349</v>
      </c>
    </row>
    <row r="40" spans="1:24">
      <c r="A40" t="s">
        <v>138</v>
      </c>
      <c r="B40" t="s">
        <v>430</v>
      </c>
      <c r="C40" t="s">
        <v>436</v>
      </c>
      <c r="D40">
        <v>7060</v>
      </c>
      <c r="E40">
        <v>7410</v>
      </c>
      <c r="F40">
        <v>7240</v>
      </c>
      <c r="G40">
        <v>1.7</v>
      </c>
      <c r="H40">
        <v>5330</v>
      </c>
      <c r="I40">
        <v>5600</v>
      </c>
      <c r="J40">
        <v>5460</v>
      </c>
      <c r="K40">
        <v>1.3</v>
      </c>
      <c r="L40">
        <v>4100</v>
      </c>
      <c r="M40">
        <v>4510</v>
      </c>
      <c r="N40">
        <v>100</v>
      </c>
      <c r="O40">
        <v>500</v>
      </c>
      <c r="P40">
        <v>35300</v>
      </c>
      <c r="Q40" t="s">
        <v>432</v>
      </c>
      <c r="R40" t="s">
        <v>375</v>
      </c>
      <c r="S40" t="s">
        <v>375</v>
      </c>
      <c r="T40" t="s">
        <v>349</v>
      </c>
      <c r="U40" t="s">
        <v>349</v>
      </c>
      <c r="V40" t="s">
        <v>349</v>
      </c>
      <c r="W40" t="s">
        <v>349</v>
      </c>
      <c r="X40" t="s">
        <v>349</v>
      </c>
    </row>
    <row r="41" spans="1:24">
      <c r="A41" t="s">
        <v>135</v>
      </c>
      <c r="B41" t="s">
        <v>430</v>
      </c>
      <c r="C41" t="s">
        <v>437</v>
      </c>
      <c r="D41">
        <v>9460</v>
      </c>
      <c r="E41">
        <v>9930</v>
      </c>
      <c r="F41">
        <v>9700</v>
      </c>
      <c r="G41">
        <v>1.7</v>
      </c>
      <c r="H41">
        <v>7150</v>
      </c>
      <c r="I41">
        <v>7510</v>
      </c>
      <c r="J41">
        <v>7330</v>
      </c>
      <c r="K41">
        <v>1.3</v>
      </c>
      <c r="L41">
        <v>5500</v>
      </c>
      <c r="M41">
        <v>6050</v>
      </c>
      <c r="N41">
        <v>100</v>
      </c>
      <c r="O41">
        <v>500</v>
      </c>
      <c r="P41">
        <v>47300</v>
      </c>
      <c r="Q41" t="s">
        <v>432</v>
      </c>
      <c r="R41" t="s">
        <v>375</v>
      </c>
      <c r="S41" t="s">
        <v>375</v>
      </c>
      <c r="T41" t="s">
        <v>349</v>
      </c>
      <c r="U41" t="s">
        <v>349</v>
      </c>
      <c r="V41" t="s">
        <v>349</v>
      </c>
      <c r="W41" t="s">
        <v>349</v>
      </c>
      <c r="X41" t="s">
        <v>349</v>
      </c>
    </row>
    <row r="42" spans="1:24">
      <c r="A42" t="s">
        <v>133</v>
      </c>
      <c r="B42" t="s">
        <v>438</v>
      </c>
      <c r="C42" t="s">
        <v>439</v>
      </c>
      <c r="D42">
        <v>850</v>
      </c>
      <c r="E42">
        <v>890</v>
      </c>
      <c r="F42">
        <v>870</v>
      </c>
      <c r="G42">
        <v>1.7</v>
      </c>
      <c r="H42">
        <v>830</v>
      </c>
      <c r="I42">
        <v>870</v>
      </c>
      <c r="J42">
        <v>850</v>
      </c>
      <c r="K42">
        <v>1.7</v>
      </c>
      <c r="L42">
        <v>500</v>
      </c>
      <c r="M42">
        <v>550</v>
      </c>
      <c r="N42">
        <v>100</v>
      </c>
      <c r="O42">
        <v>1000</v>
      </c>
      <c r="P42">
        <v>8500</v>
      </c>
      <c r="Q42" t="s">
        <v>440</v>
      </c>
      <c r="R42" t="s">
        <v>353</v>
      </c>
      <c r="S42" t="s">
        <v>353</v>
      </c>
      <c r="T42" t="s">
        <v>349</v>
      </c>
      <c r="U42" t="s">
        <v>349</v>
      </c>
      <c r="V42" t="s">
        <v>349</v>
      </c>
      <c r="W42" t="s">
        <v>349</v>
      </c>
      <c r="X42" t="s">
        <v>349</v>
      </c>
    </row>
    <row r="43" spans="1:24">
      <c r="A43" t="s">
        <v>129</v>
      </c>
      <c r="B43" t="s">
        <v>438</v>
      </c>
      <c r="C43" t="s">
        <v>441</v>
      </c>
      <c r="D43">
        <v>1020</v>
      </c>
      <c r="E43">
        <v>1070</v>
      </c>
      <c r="F43">
        <v>1050</v>
      </c>
      <c r="G43">
        <v>1.7</v>
      </c>
      <c r="H43">
        <v>990</v>
      </c>
      <c r="I43">
        <v>1040</v>
      </c>
      <c r="J43">
        <v>1010</v>
      </c>
      <c r="K43">
        <v>1.7</v>
      </c>
      <c r="L43">
        <v>600</v>
      </c>
      <c r="M43">
        <v>660</v>
      </c>
      <c r="N43">
        <v>100</v>
      </c>
      <c r="O43">
        <v>1000</v>
      </c>
      <c r="P43">
        <v>10200</v>
      </c>
      <c r="Q43" t="s">
        <v>440</v>
      </c>
      <c r="R43" t="s">
        <v>353</v>
      </c>
      <c r="S43" t="s">
        <v>353</v>
      </c>
      <c r="T43" t="s">
        <v>349</v>
      </c>
      <c r="U43" t="s">
        <v>349</v>
      </c>
      <c r="V43" t="s">
        <v>349</v>
      </c>
      <c r="W43" t="s">
        <v>349</v>
      </c>
      <c r="X43" t="s">
        <v>349</v>
      </c>
    </row>
    <row r="44" spans="1:24">
      <c r="A44" t="s">
        <v>125</v>
      </c>
      <c r="B44" t="s">
        <v>438</v>
      </c>
      <c r="C44" t="s">
        <v>442</v>
      </c>
      <c r="D44">
        <v>1700</v>
      </c>
      <c r="E44">
        <v>1790</v>
      </c>
      <c r="F44">
        <v>1740</v>
      </c>
      <c r="G44">
        <v>1.7</v>
      </c>
      <c r="H44">
        <v>1650</v>
      </c>
      <c r="I44">
        <v>1730</v>
      </c>
      <c r="J44">
        <v>1690</v>
      </c>
      <c r="K44">
        <v>1.7</v>
      </c>
      <c r="L44">
        <v>1000</v>
      </c>
      <c r="M44">
        <v>1100</v>
      </c>
      <c r="N44">
        <v>100</v>
      </c>
      <c r="O44">
        <v>1000</v>
      </c>
      <c r="P44">
        <v>17000</v>
      </c>
      <c r="Q44" t="s">
        <v>440</v>
      </c>
      <c r="R44" t="s">
        <v>353</v>
      </c>
      <c r="S44" t="s">
        <v>353</v>
      </c>
      <c r="T44" t="s">
        <v>349</v>
      </c>
      <c r="U44" t="s">
        <v>349</v>
      </c>
      <c r="V44" t="s">
        <v>349</v>
      </c>
      <c r="W44" t="s">
        <v>349</v>
      </c>
      <c r="X44" t="s">
        <v>349</v>
      </c>
    </row>
    <row r="45" spans="1:24">
      <c r="A45" t="s">
        <v>121</v>
      </c>
      <c r="B45" t="s">
        <v>438</v>
      </c>
      <c r="C45" t="s">
        <v>443</v>
      </c>
      <c r="D45">
        <v>2210</v>
      </c>
      <c r="E45">
        <v>2320</v>
      </c>
      <c r="F45">
        <v>2270</v>
      </c>
      <c r="G45">
        <v>1.7</v>
      </c>
      <c r="H45">
        <v>2150</v>
      </c>
      <c r="I45">
        <v>2260</v>
      </c>
      <c r="J45">
        <v>2200</v>
      </c>
      <c r="K45">
        <v>1.7</v>
      </c>
      <c r="L45">
        <v>1300</v>
      </c>
      <c r="M45">
        <v>1430</v>
      </c>
      <c r="N45">
        <v>100</v>
      </c>
      <c r="O45">
        <v>1000</v>
      </c>
      <c r="P45">
        <v>22100</v>
      </c>
      <c r="Q45" t="s">
        <v>440</v>
      </c>
      <c r="R45" t="s">
        <v>353</v>
      </c>
      <c r="S45" t="s">
        <v>353</v>
      </c>
      <c r="T45" t="s">
        <v>349</v>
      </c>
      <c r="U45" t="s">
        <v>349</v>
      </c>
      <c r="V45" t="s">
        <v>349</v>
      </c>
      <c r="W45" t="s">
        <v>349</v>
      </c>
      <c r="X45" t="s">
        <v>349</v>
      </c>
    </row>
    <row r="46" spans="1:24">
      <c r="A46" t="s">
        <v>118</v>
      </c>
      <c r="B46" t="s">
        <v>438</v>
      </c>
      <c r="C46" t="s">
        <v>444</v>
      </c>
      <c r="D46">
        <v>2550</v>
      </c>
      <c r="E46">
        <v>2680</v>
      </c>
      <c r="F46">
        <v>2610</v>
      </c>
      <c r="G46">
        <v>1.7</v>
      </c>
      <c r="H46">
        <v>2550</v>
      </c>
      <c r="I46">
        <v>2680</v>
      </c>
      <c r="J46">
        <v>2610</v>
      </c>
      <c r="K46">
        <v>1.7</v>
      </c>
      <c r="L46">
        <v>1500</v>
      </c>
      <c r="M46">
        <v>1650</v>
      </c>
      <c r="N46">
        <v>100</v>
      </c>
      <c r="O46">
        <v>1000</v>
      </c>
      <c r="P46">
        <v>25500</v>
      </c>
      <c r="Q46" t="s">
        <v>440</v>
      </c>
      <c r="R46" t="s">
        <v>353</v>
      </c>
      <c r="S46" t="s">
        <v>353</v>
      </c>
      <c r="T46" t="s">
        <v>349</v>
      </c>
      <c r="U46" t="s">
        <v>349</v>
      </c>
      <c r="V46" t="s">
        <v>349</v>
      </c>
      <c r="W46" t="s">
        <v>349</v>
      </c>
      <c r="X46" t="s">
        <v>349</v>
      </c>
    </row>
    <row r="47" spans="1:24">
      <c r="A47" t="s">
        <v>115</v>
      </c>
      <c r="B47" t="s">
        <v>438</v>
      </c>
      <c r="C47" t="s">
        <v>445</v>
      </c>
      <c r="D47">
        <v>3060</v>
      </c>
      <c r="E47">
        <v>3210</v>
      </c>
      <c r="F47">
        <v>3140</v>
      </c>
      <c r="G47">
        <v>1.7</v>
      </c>
      <c r="H47">
        <v>2970</v>
      </c>
      <c r="I47">
        <v>3120</v>
      </c>
      <c r="J47">
        <v>3040</v>
      </c>
      <c r="K47">
        <v>1.7</v>
      </c>
      <c r="L47">
        <v>1800</v>
      </c>
      <c r="M47">
        <v>1980</v>
      </c>
      <c r="N47">
        <v>100</v>
      </c>
      <c r="O47">
        <v>1000</v>
      </c>
      <c r="P47">
        <v>30600</v>
      </c>
      <c r="Q47" t="s">
        <v>440</v>
      </c>
      <c r="R47" t="s">
        <v>353</v>
      </c>
      <c r="S47" t="s">
        <v>353</v>
      </c>
      <c r="T47" t="s">
        <v>349</v>
      </c>
      <c r="U47" t="s">
        <v>349</v>
      </c>
      <c r="V47" t="s">
        <v>349</v>
      </c>
      <c r="W47" t="s">
        <v>349</v>
      </c>
      <c r="X47" t="s">
        <v>349</v>
      </c>
    </row>
    <row r="48" spans="1:24">
      <c r="A48" t="s">
        <v>112</v>
      </c>
      <c r="B48" t="s">
        <v>438</v>
      </c>
      <c r="C48" t="s">
        <v>446</v>
      </c>
      <c r="D48">
        <v>3340</v>
      </c>
      <c r="E48">
        <v>3510</v>
      </c>
      <c r="F48">
        <v>3420</v>
      </c>
      <c r="G48">
        <v>1.7</v>
      </c>
      <c r="H48">
        <v>3240</v>
      </c>
      <c r="I48">
        <v>3400</v>
      </c>
      <c r="J48">
        <v>3320</v>
      </c>
      <c r="K48">
        <v>1.7</v>
      </c>
      <c r="L48">
        <v>1960</v>
      </c>
      <c r="M48">
        <v>2156</v>
      </c>
      <c r="N48">
        <v>100</v>
      </c>
      <c r="O48">
        <v>700</v>
      </c>
      <c r="P48">
        <v>23380</v>
      </c>
      <c r="Q48" t="s">
        <v>440</v>
      </c>
      <c r="R48" t="s">
        <v>353</v>
      </c>
      <c r="S48" t="s">
        <v>353</v>
      </c>
      <c r="T48" t="s">
        <v>349</v>
      </c>
      <c r="U48" t="s">
        <v>349</v>
      </c>
      <c r="V48" t="s">
        <v>349</v>
      </c>
      <c r="W48" t="s">
        <v>349</v>
      </c>
      <c r="X48" t="s">
        <v>349</v>
      </c>
    </row>
    <row r="49" spans="1:24">
      <c r="A49" t="s">
        <v>110</v>
      </c>
      <c r="B49" t="s">
        <v>447</v>
      </c>
      <c r="C49" t="s">
        <v>448</v>
      </c>
      <c r="D49">
        <v>1110</v>
      </c>
      <c r="E49">
        <v>1170</v>
      </c>
      <c r="F49">
        <v>1140</v>
      </c>
      <c r="G49">
        <v>1.7</v>
      </c>
      <c r="H49">
        <v>1080</v>
      </c>
      <c r="I49">
        <v>1130</v>
      </c>
      <c r="J49">
        <v>1110</v>
      </c>
      <c r="K49">
        <v>1.7</v>
      </c>
      <c r="L49">
        <v>650</v>
      </c>
      <c r="M49">
        <v>715</v>
      </c>
      <c r="N49">
        <v>10</v>
      </c>
      <c r="O49">
        <v>100</v>
      </c>
      <c r="P49">
        <v>11100</v>
      </c>
      <c r="Q49" t="s">
        <v>447</v>
      </c>
      <c r="R49" t="s">
        <v>353</v>
      </c>
      <c r="S49" t="s">
        <v>353</v>
      </c>
      <c r="T49" t="s">
        <v>349</v>
      </c>
      <c r="U49" t="s">
        <v>349</v>
      </c>
      <c r="V49" t="s">
        <v>349</v>
      </c>
      <c r="W49" t="s">
        <v>349</v>
      </c>
      <c r="X49" t="s">
        <v>349</v>
      </c>
    </row>
    <row r="50" spans="1:24">
      <c r="A50" t="s">
        <v>108</v>
      </c>
      <c r="B50" t="s">
        <v>447</v>
      </c>
      <c r="C50" t="s">
        <v>449</v>
      </c>
      <c r="D50">
        <v>1450</v>
      </c>
      <c r="E50">
        <v>1520</v>
      </c>
      <c r="F50">
        <v>1490</v>
      </c>
      <c r="G50">
        <v>1.7</v>
      </c>
      <c r="H50">
        <v>1410</v>
      </c>
      <c r="I50">
        <v>1480</v>
      </c>
      <c r="J50">
        <v>1450</v>
      </c>
      <c r="K50">
        <v>1.7</v>
      </c>
      <c r="L50">
        <v>850</v>
      </c>
      <c r="M50">
        <v>935</v>
      </c>
      <c r="N50">
        <v>10</v>
      </c>
      <c r="O50">
        <v>100</v>
      </c>
      <c r="P50">
        <v>14500</v>
      </c>
      <c r="Q50" t="s">
        <v>447</v>
      </c>
      <c r="R50" t="s">
        <v>353</v>
      </c>
      <c r="S50" t="s">
        <v>353</v>
      </c>
      <c r="T50" t="s">
        <v>349</v>
      </c>
      <c r="U50" t="s">
        <v>349</v>
      </c>
      <c r="V50" t="s">
        <v>349</v>
      </c>
      <c r="W50" t="s">
        <v>349</v>
      </c>
      <c r="X50" t="s">
        <v>349</v>
      </c>
    </row>
    <row r="51" spans="1:24">
      <c r="A51" t="s">
        <v>106</v>
      </c>
      <c r="B51" t="s">
        <v>450</v>
      </c>
      <c r="C51" t="s">
        <v>451</v>
      </c>
      <c r="D51">
        <v>1990</v>
      </c>
      <c r="E51">
        <v>2090</v>
      </c>
      <c r="F51">
        <v>2040</v>
      </c>
      <c r="G51">
        <v>1.7</v>
      </c>
      <c r="H51">
        <v>1940</v>
      </c>
      <c r="I51">
        <v>2040</v>
      </c>
      <c r="J51">
        <v>1990</v>
      </c>
      <c r="K51">
        <v>1.7</v>
      </c>
      <c r="L51">
        <v>1170</v>
      </c>
      <c r="M51">
        <v>1287</v>
      </c>
      <c r="N51">
        <v>10</v>
      </c>
      <c r="O51">
        <v>100</v>
      </c>
      <c r="P51">
        <v>19900</v>
      </c>
      <c r="Q51" t="s">
        <v>447</v>
      </c>
      <c r="R51" t="s">
        <v>353</v>
      </c>
      <c r="S51" t="s">
        <v>353</v>
      </c>
      <c r="T51" t="s">
        <v>349</v>
      </c>
      <c r="U51" t="s">
        <v>349</v>
      </c>
      <c r="V51" t="s">
        <v>349</v>
      </c>
      <c r="W51" t="s">
        <v>349</v>
      </c>
      <c r="X51" t="s">
        <v>349</v>
      </c>
    </row>
    <row r="52" spans="1:24">
      <c r="A52" t="s">
        <v>104</v>
      </c>
      <c r="B52" t="s">
        <v>452</v>
      </c>
      <c r="C52" t="s">
        <v>453</v>
      </c>
      <c r="D52">
        <v>3400</v>
      </c>
      <c r="E52">
        <v>3570</v>
      </c>
      <c r="F52">
        <v>3490</v>
      </c>
      <c r="G52">
        <v>1.7</v>
      </c>
      <c r="H52">
        <v>3300</v>
      </c>
      <c r="I52">
        <v>3470</v>
      </c>
      <c r="J52">
        <v>3380</v>
      </c>
      <c r="K52">
        <v>1.7</v>
      </c>
      <c r="L52">
        <v>2000</v>
      </c>
      <c r="M52">
        <v>2200</v>
      </c>
      <c r="N52">
        <v>10</v>
      </c>
      <c r="O52">
        <v>100</v>
      </c>
      <c r="P52">
        <v>34000</v>
      </c>
      <c r="Q52" t="s">
        <v>447</v>
      </c>
      <c r="R52" t="s">
        <v>353</v>
      </c>
      <c r="S52" t="s">
        <v>353</v>
      </c>
      <c r="T52" t="s">
        <v>349</v>
      </c>
      <c r="U52" t="s">
        <v>349</v>
      </c>
      <c r="V52" t="s">
        <v>349</v>
      </c>
      <c r="W52" t="s">
        <v>349</v>
      </c>
      <c r="X52" t="s">
        <v>349</v>
      </c>
    </row>
    <row r="53" spans="1:24">
      <c r="A53" t="s">
        <v>102</v>
      </c>
      <c r="B53" t="s">
        <v>447</v>
      </c>
      <c r="C53" t="s">
        <v>454</v>
      </c>
      <c r="D53">
        <v>4930</v>
      </c>
      <c r="E53">
        <v>5180</v>
      </c>
      <c r="F53">
        <v>5050</v>
      </c>
      <c r="G53">
        <v>1.7</v>
      </c>
      <c r="H53">
        <v>4790</v>
      </c>
      <c r="I53">
        <v>5030</v>
      </c>
      <c r="J53">
        <v>4910</v>
      </c>
      <c r="K53">
        <v>1.7</v>
      </c>
      <c r="L53">
        <v>2900</v>
      </c>
      <c r="M53">
        <v>3190</v>
      </c>
      <c r="N53">
        <v>10</v>
      </c>
      <c r="O53">
        <v>100</v>
      </c>
      <c r="P53">
        <v>49300</v>
      </c>
      <c r="Q53" t="s">
        <v>447</v>
      </c>
      <c r="R53" t="s">
        <v>353</v>
      </c>
      <c r="S53" t="s">
        <v>353</v>
      </c>
      <c r="T53" t="s">
        <v>349</v>
      </c>
      <c r="U53" t="s">
        <v>349</v>
      </c>
      <c r="V53" t="s">
        <v>349</v>
      </c>
      <c r="W53" t="s">
        <v>349</v>
      </c>
      <c r="X53" t="s">
        <v>349</v>
      </c>
    </row>
    <row r="54" spans="1:24">
      <c r="A54" t="s">
        <v>100</v>
      </c>
      <c r="B54" t="s">
        <v>447</v>
      </c>
      <c r="C54" t="s">
        <v>455</v>
      </c>
      <c r="D54">
        <v>4930</v>
      </c>
      <c r="E54">
        <v>5180</v>
      </c>
      <c r="F54">
        <v>5050</v>
      </c>
      <c r="G54">
        <v>1.7</v>
      </c>
      <c r="H54">
        <v>5220</v>
      </c>
      <c r="I54">
        <v>5480</v>
      </c>
      <c r="J54">
        <v>5350</v>
      </c>
      <c r="K54">
        <v>1.8</v>
      </c>
      <c r="L54">
        <v>2900</v>
      </c>
      <c r="M54">
        <v>3190</v>
      </c>
      <c r="N54">
        <v>10</v>
      </c>
      <c r="O54">
        <v>100</v>
      </c>
      <c r="P54">
        <v>49300</v>
      </c>
      <c r="Q54" t="s">
        <v>447</v>
      </c>
      <c r="R54" t="s">
        <v>353</v>
      </c>
      <c r="S54" t="s">
        <v>353</v>
      </c>
      <c r="T54" t="s">
        <v>349</v>
      </c>
      <c r="U54" t="s">
        <v>349</v>
      </c>
      <c r="V54" t="s">
        <v>349</v>
      </c>
      <c r="W54" t="s">
        <v>349</v>
      </c>
      <c r="X54" t="s">
        <v>349</v>
      </c>
    </row>
    <row r="55" spans="1:24">
      <c r="A55" t="s">
        <v>98</v>
      </c>
      <c r="B55" t="s">
        <v>456</v>
      </c>
      <c r="C55" t="s">
        <v>457</v>
      </c>
      <c r="D55">
        <v>6120</v>
      </c>
      <c r="E55">
        <v>6430</v>
      </c>
      <c r="F55">
        <v>6270</v>
      </c>
      <c r="G55">
        <v>1.7</v>
      </c>
      <c r="H55">
        <v>5940</v>
      </c>
      <c r="I55">
        <v>6240</v>
      </c>
      <c r="J55">
        <v>6090</v>
      </c>
      <c r="K55">
        <v>1.7</v>
      </c>
      <c r="L55">
        <v>3600</v>
      </c>
      <c r="M55">
        <v>3960</v>
      </c>
      <c r="N55">
        <v>10</v>
      </c>
      <c r="O55">
        <v>100</v>
      </c>
      <c r="P55">
        <v>61200</v>
      </c>
      <c r="Q55" t="s">
        <v>447</v>
      </c>
      <c r="R55" t="s">
        <v>353</v>
      </c>
      <c r="S55" t="s">
        <v>353</v>
      </c>
      <c r="T55" t="s">
        <v>349</v>
      </c>
      <c r="U55" t="s">
        <v>349</v>
      </c>
      <c r="V55" t="s">
        <v>349</v>
      </c>
      <c r="W55" t="s">
        <v>349</v>
      </c>
      <c r="X55" t="s">
        <v>349</v>
      </c>
    </row>
    <row r="56" spans="1:24">
      <c r="A56" t="s">
        <v>96</v>
      </c>
      <c r="B56" t="s">
        <v>458</v>
      </c>
      <c r="C56" t="s">
        <v>459</v>
      </c>
      <c r="D56">
        <v>4680</v>
      </c>
      <c r="E56">
        <v>4910</v>
      </c>
      <c r="F56">
        <v>4800</v>
      </c>
      <c r="G56">
        <v>1.7</v>
      </c>
      <c r="H56">
        <v>4540</v>
      </c>
      <c r="I56">
        <v>4770</v>
      </c>
      <c r="J56">
        <v>4650</v>
      </c>
      <c r="K56">
        <v>1.7</v>
      </c>
      <c r="L56">
        <v>2750</v>
      </c>
      <c r="M56">
        <v>3025</v>
      </c>
      <c r="N56">
        <v>5</v>
      </c>
      <c r="O56">
        <v>50</v>
      </c>
      <c r="P56">
        <v>46800</v>
      </c>
      <c r="Q56" t="s">
        <v>447</v>
      </c>
      <c r="R56" t="s">
        <v>353</v>
      </c>
      <c r="S56" t="s">
        <v>353</v>
      </c>
      <c r="T56" t="s">
        <v>349</v>
      </c>
      <c r="U56" t="s">
        <v>349</v>
      </c>
      <c r="V56" t="s">
        <v>349</v>
      </c>
      <c r="W56" t="s">
        <v>349</v>
      </c>
      <c r="X56" t="s">
        <v>349</v>
      </c>
    </row>
    <row r="57" spans="1:24">
      <c r="A57" t="s">
        <v>94</v>
      </c>
      <c r="B57" t="s">
        <v>460</v>
      </c>
      <c r="C57" t="s">
        <v>461</v>
      </c>
      <c r="D57">
        <v>6380</v>
      </c>
      <c r="E57">
        <v>6700</v>
      </c>
      <c r="F57">
        <v>6540</v>
      </c>
      <c r="G57">
        <v>1.7</v>
      </c>
      <c r="H57">
        <v>6190</v>
      </c>
      <c r="I57">
        <v>6500</v>
      </c>
      <c r="J57">
        <v>6340</v>
      </c>
      <c r="K57">
        <v>1.7</v>
      </c>
      <c r="L57">
        <v>3750</v>
      </c>
      <c r="M57">
        <v>4125</v>
      </c>
      <c r="N57">
        <v>5</v>
      </c>
      <c r="O57">
        <v>50</v>
      </c>
      <c r="P57">
        <v>63800</v>
      </c>
      <c r="Q57" t="s">
        <v>447</v>
      </c>
      <c r="R57" t="s">
        <v>353</v>
      </c>
      <c r="S57" t="s">
        <v>353</v>
      </c>
      <c r="T57" t="s">
        <v>349</v>
      </c>
      <c r="U57" t="s">
        <v>349</v>
      </c>
      <c r="V57" t="s">
        <v>349</v>
      </c>
      <c r="W57" t="s">
        <v>349</v>
      </c>
      <c r="X57" t="s">
        <v>349</v>
      </c>
    </row>
    <row r="58" spans="1:24">
      <c r="A58" t="s">
        <v>92</v>
      </c>
      <c r="B58" t="s">
        <v>462</v>
      </c>
      <c r="C58" t="s">
        <v>463</v>
      </c>
      <c r="D58">
        <v>16150</v>
      </c>
      <c r="E58">
        <v>16960</v>
      </c>
      <c r="F58">
        <v>16550</v>
      </c>
      <c r="G58">
        <v>1.7</v>
      </c>
      <c r="H58">
        <v>15680</v>
      </c>
      <c r="I58">
        <v>16460</v>
      </c>
      <c r="J58">
        <v>16070</v>
      </c>
      <c r="K58">
        <v>1.7</v>
      </c>
      <c r="L58">
        <v>9500</v>
      </c>
      <c r="M58">
        <v>10450</v>
      </c>
      <c r="N58">
        <v>50</v>
      </c>
      <c r="O58">
        <v>50</v>
      </c>
      <c r="P58">
        <v>16150</v>
      </c>
      <c r="Q58" t="s">
        <v>464</v>
      </c>
      <c r="R58" t="s">
        <v>353</v>
      </c>
      <c r="S58" t="s">
        <v>353</v>
      </c>
      <c r="T58" t="s">
        <v>349</v>
      </c>
      <c r="U58" t="s">
        <v>349</v>
      </c>
      <c r="V58" t="s">
        <v>349</v>
      </c>
      <c r="W58" t="s">
        <v>349</v>
      </c>
      <c r="X58" t="s">
        <v>349</v>
      </c>
    </row>
    <row r="59" spans="1:24">
      <c r="A59" t="s">
        <v>90</v>
      </c>
      <c r="B59" t="s">
        <v>465</v>
      </c>
      <c r="C59" t="s">
        <v>466</v>
      </c>
      <c r="D59">
        <v>3800</v>
      </c>
      <c r="E59">
        <v>3990</v>
      </c>
      <c r="F59">
        <v>3900</v>
      </c>
      <c r="G59">
        <v>1.7</v>
      </c>
      <c r="H59">
        <v>3800</v>
      </c>
      <c r="I59">
        <v>3990</v>
      </c>
      <c r="J59">
        <v>3900</v>
      </c>
      <c r="K59">
        <v>1.7</v>
      </c>
      <c r="L59">
        <v>2300</v>
      </c>
      <c r="M59">
        <v>2530</v>
      </c>
      <c r="N59">
        <v>100</v>
      </c>
      <c r="O59">
        <v>1000</v>
      </c>
      <c r="P59">
        <v>38000</v>
      </c>
      <c r="Q59" t="s">
        <v>467</v>
      </c>
      <c r="R59" t="s">
        <v>353</v>
      </c>
      <c r="S59" t="s">
        <v>353</v>
      </c>
      <c r="T59" t="s">
        <v>349</v>
      </c>
      <c r="U59" t="s">
        <v>349</v>
      </c>
      <c r="V59" t="s">
        <v>349</v>
      </c>
      <c r="W59" t="s">
        <v>349</v>
      </c>
      <c r="X59" t="s">
        <v>349</v>
      </c>
    </row>
    <row r="60" spans="1:24">
      <c r="A60" t="s">
        <v>88</v>
      </c>
      <c r="B60" t="s">
        <v>465</v>
      </c>
      <c r="C60" t="s">
        <v>468</v>
      </c>
      <c r="D60">
        <v>5940</v>
      </c>
      <c r="E60">
        <v>6240</v>
      </c>
      <c r="F60">
        <v>6090</v>
      </c>
      <c r="G60">
        <v>1.7</v>
      </c>
      <c r="H60">
        <v>5940</v>
      </c>
      <c r="I60">
        <v>6240</v>
      </c>
      <c r="J60">
        <v>6090</v>
      </c>
      <c r="K60">
        <v>1.7</v>
      </c>
      <c r="L60">
        <v>3600</v>
      </c>
      <c r="M60">
        <v>3960</v>
      </c>
      <c r="N60">
        <v>100</v>
      </c>
      <c r="O60">
        <v>700</v>
      </c>
      <c r="P60">
        <v>41580</v>
      </c>
      <c r="Q60" t="s">
        <v>467</v>
      </c>
      <c r="R60" t="s">
        <v>469</v>
      </c>
      <c r="S60" t="s">
        <v>353</v>
      </c>
      <c r="T60" t="s">
        <v>387</v>
      </c>
      <c r="U60" t="s">
        <v>349</v>
      </c>
      <c r="V60" t="s">
        <v>349</v>
      </c>
      <c r="W60" t="s">
        <v>349</v>
      </c>
      <c r="X60" t="s">
        <v>349</v>
      </c>
    </row>
    <row r="61" spans="1:24">
      <c r="A61" t="s">
        <v>86</v>
      </c>
      <c r="B61" t="s">
        <v>465</v>
      </c>
      <c r="C61" t="s">
        <v>470</v>
      </c>
      <c r="D61">
        <v>6600</v>
      </c>
      <c r="E61">
        <v>6930</v>
      </c>
      <c r="F61">
        <v>6770</v>
      </c>
      <c r="G61">
        <v>1.7</v>
      </c>
      <c r="H61">
        <v>6600</v>
      </c>
      <c r="I61">
        <v>6930</v>
      </c>
      <c r="J61">
        <v>6770</v>
      </c>
      <c r="K61">
        <v>1.7</v>
      </c>
      <c r="L61">
        <v>4000</v>
      </c>
      <c r="M61">
        <v>4400</v>
      </c>
      <c r="N61">
        <v>100</v>
      </c>
      <c r="O61">
        <v>600</v>
      </c>
      <c r="P61">
        <v>39600</v>
      </c>
      <c r="Q61" t="s">
        <v>467</v>
      </c>
      <c r="R61" t="s">
        <v>471</v>
      </c>
      <c r="S61" t="s">
        <v>353</v>
      </c>
      <c r="T61" t="s">
        <v>354</v>
      </c>
      <c r="U61" t="s">
        <v>387</v>
      </c>
      <c r="V61" t="s">
        <v>349</v>
      </c>
      <c r="W61" t="s">
        <v>349</v>
      </c>
      <c r="X61" t="s">
        <v>349</v>
      </c>
    </row>
    <row r="62" spans="1:24">
      <c r="A62" t="s">
        <v>84</v>
      </c>
      <c r="B62" t="s">
        <v>465</v>
      </c>
      <c r="C62" t="s">
        <v>472</v>
      </c>
      <c r="D62">
        <v>5120</v>
      </c>
      <c r="E62">
        <v>5380</v>
      </c>
      <c r="F62">
        <v>5250</v>
      </c>
      <c r="G62">
        <v>1.7</v>
      </c>
      <c r="H62">
        <v>5120</v>
      </c>
      <c r="I62">
        <v>5380</v>
      </c>
      <c r="J62">
        <v>5250</v>
      </c>
      <c r="K62">
        <v>1.7</v>
      </c>
      <c r="L62">
        <v>3100</v>
      </c>
      <c r="M62">
        <v>3410</v>
      </c>
      <c r="N62">
        <v>50</v>
      </c>
      <c r="O62">
        <v>500</v>
      </c>
      <c r="P62">
        <v>51200</v>
      </c>
      <c r="Q62" t="s">
        <v>467</v>
      </c>
      <c r="R62" t="s">
        <v>471</v>
      </c>
      <c r="S62" t="s">
        <v>353</v>
      </c>
      <c r="T62" t="s">
        <v>354</v>
      </c>
      <c r="U62" t="s">
        <v>363</v>
      </c>
      <c r="V62" t="s">
        <v>387</v>
      </c>
      <c r="W62" t="s">
        <v>349</v>
      </c>
      <c r="X62" t="s">
        <v>349</v>
      </c>
    </row>
    <row r="63" spans="1:24">
      <c r="A63" t="s">
        <v>82</v>
      </c>
      <c r="B63" t="s">
        <v>473</v>
      </c>
      <c r="C63" t="s">
        <v>474</v>
      </c>
      <c r="D63">
        <v>5610</v>
      </c>
      <c r="E63">
        <v>5890</v>
      </c>
      <c r="F63">
        <v>5750</v>
      </c>
      <c r="G63">
        <v>1.7</v>
      </c>
      <c r="H63">
        <v>5610</v>
      </c>
      <c r="I63">
        <v>5890</v>
      </c>
      <c r="J63">
        <v>5750</v>
      </c>
      <c r="K63">
        <v>1.7</v>
      </c>
      <c r="L63">
        <v>3400</v>
      </c>
      <c r="M63">
        <v>3740</v>
      </c>
      <c r="N63">
        <v>50</v>
      </c>
      <c r="O63">
        <v>500</v>
      </c>
      <c r="P63">
        <v>56100</v>
      </c>
      <c r="Q63" t="s">
        <v>467</v>
      </c>
      <c r="R63" t="s">
        <v>469</v>
      </c>
      <c r="S63" t="s">
        <v>353</v>
      </c>
      <c r="T63" t="s">
        <v>354</v>
      </c>
      <c r="U63" t="s">
        <v>387</v>
      </c>
      <c r="V63" t="s">
        <v>349</v>
      </c>
      <c r="W63" t="s">
        <v>349</v>
      </c>
      <c r="X63" t="s">
        <v>349</v>
      </c>
    </row>
    <row r="64" spans="1:24">
      <c r="A64" t="s">
        <v>80</v>
      </c>
      <c r="B64" t="s">
        <v>473</v>
      </c>
      <c r="C64" t="s">
        <v>475</v>
      </c>
      <c r="D64">
        <v>5120</v>
      </c>
      <c r="E64">
        <v>5380</v>
      </c>
      <c r="F64">
        <v>5250</v>
      </c>
      <c r="G64">
        <v>1.7</v>
      </c>
      <c r="H64">
        <v>5120</v>
      </c>
      <c r="I64">
        <v>5380</v>
      </c>
      <c r="J64">
        <v>5250</v>
      </c>
      <c r="K64">
        <v>1.7</v>
      </c>
      <c r="L64">
        <v>3100</v>
      </c>
      <c r="M64">
        <v>3410</v>
      </c>
      <c r="N64">
        <v>25</v>
      </c>
      <c r="O64">
        <v>500</v>
      </c>
      <c r="P64">
        <v>102400</v>
      </c>
      <c r="Q64" t="s">
        <v>467</v>
      </c>
      <c r="R64" t="s">
        <v>471</v>
      </c>
      <c r="S64" t="s">
        <v>353</v>
      </c>
      <c r="T64" t="s">
        <v>354</v>
      </c>
      <c r="U64" t="s">
        <v>387</v>
      </c>
      <c r="V64" t="s">
        <v>349</v>
      </c>
      <c r="W64" t="s">
        <v>349</v>
      </c>
      <c r="X64" t="s">
        <v>349</v>
      </c>
    </row>
    <row r="65" spans="1:24">
      <c r="A65" t="s">
        <v>78</v>
      </c>
      <c r="B65" t="s">
        <v>473</v>
      </c>
      <c r="C65" t="s">
        <v>476</v>
      </c>
      <c r="D65">
        <v>5610</v>
      </c>
      <c r="E65">
        <v>5890</v>
      </c>
      <c r="F65">
        <v>5750</v>
      </c>
      <c r="G65">
        <v>1.7</v>
      </c>
      <c r="H65">
        <v>5610</v>
      </c>
      <c r="I65">
        <v>5890</v>
      </c>
      <c r="J65">
        <v>5750</v>
      </c>
      <c r="K65">
        <v>1.7</v>
      </c>
      <c r="L65">
        <v>3400</v>
      </c>
      <c r="M65">
        <v>3740</v>
      </c>
      <c r="N65">
        <v>25</v>
      </c>
      <c r="O65">
        <v>500</v>
      </c>
      <c r="P65">
        <v>112200</v>
      </c>
      <c r="Q65" t="s">
        <v>467</v>
      </c>
      <c r="R65" t="s">
        <v>471</v>
      </c>
      <c r="S65" t="s">
        <v>353</v>
      </c>
      <c r="T65" t="s">
        <v>354</v>
      </c>
      <c r="U65" t="s">
        <v>387</v>
      </c>
      <c r="V65" t="s">
        <v>349</v>
      </c>
      <c r="W65" t="s">
        <v>349</v>
      </c>
      <c r="X65" t="s">
        <v>349</v>
      </c>
    </row>
    <row r="66" spans="1:24">
      <c r="A66" t="s">
        <v>76</v>
      </c>
      <c r="B66" t="s">
        <v>477</v>
      </c>
      <c r="C66" t="s">
        <v>478</v>
      </c>
      <c r="D66">
        <v>1550</v>
      </c>
      <c r="E66">
        <v>1630</v>
      </c>
      <c r="F66">
        <v>1590</v>
      </c>
      <c r="G66">
        <v>1.6</v>
      </c>
      <c r="H66">
        <v>1500</v>
      </c>
      <c r="I66">
        <v>1580</v>
      </c>
      <c r="J66">
        <v>1540</v>
      </c>
      <c r="K66">
        <v>1.5</v>
      </c>
      <c r="L66">
        <v>1000</v>
      </c>
      <c r="M66">
        <v>1100</v>
      </c>
      <c r="N66">
        <v>200</v>
      </c>
      <c r="O66">
        <v>2000</v>
      </c>
      <c r="P66">
        <v>15500</v>
      </c>
      <c r="Q66" t="s">
        <v>479</v>
      </c>
      <c r="R66" t="s">
        <v>353</v>
      </c>
      <c r="S66" t="s">
        <v>353</v>
      </c>
      <c r="T66" t="s">
        <v>349</v>
      </c>
      <c r="U66" t="s">
        <v>349</v>
      </c>
      <c r="V66" t="s">
        <v>349</v>
      </c>
      <c r="W66" t="s">
        <v>349</v>
      </c>
      <c r="X66" t="s">
        <v>349</v>
      </c>
    </row>
    <row r="67" spans="1:24">
      <c r="A67" t="s">
        <v>74</v>
      </c>
      <c r="B67" t="s">
        <v>477</v>
      </c>
      <c r="C67" t="s">
        <v>480</v>
      </c>
      <c r="D67">
        <v>2170</v>
      </c>
      <c r="E67">
        <v>2280</v>
      </c>
      <c r="F67">
        <v>2220</v>
      </c>
      <c r="G67">
        <v>1.6</v>
      </c>
      <c r="H67">
        <v>2100</v>
      </c>
      <c r="I67">
        <v>2210</v>
      </c>
      <c r="J67">
        <v>2150</v>
      </c>
      <c r="K67">
        <v>1.5</v>
      </c>
      <c r="L67">
        <v>1400</v>
      </c>
      <c r="M67">
        <v>1540</v>
      </c>
      <c r="N67">
        <v>200</v>
      </c>
      <c r="O67">
        <v>2000</v>
      </c>
      <c r="P67">
        <v>21700</v>
      </c>
      <c r="Q67" t="s">
        <v>479</v>
      </c>
      <c r="R67" t="s">
        <v>353</v>
      </c>
      <c r="S67" t="s">
        <v>353</v>
      </c>
      <c r="T67" t="s">
        <v>349</v>
      </c>
      <c r="U67" t="s">
        <v>349</v>
      </c>
      <c r="V67" t="s">
        <v>349</v>
      </c>
      <c r="W67" t="s">
        <v>349</v>
      </c>
      <c r="X67" t="s">
        <v>349</v>
      </c>
    </row>
    <row r="68" spans="1:24">
      <c r="A68" t="s">
        <v>72</v>
      </c>
      <c r="B68" t="s">
        <v>477</v>
      </c>
      <c r="C68" t="s">
        <v>481</v>
      </c>
      <c r="D68">
        <v>2790</v>
      </c>
      <c r="E68">
        <v>2930</v>
      </c>
      <c r="F68">
        <v>2860</v>
      </c>
      <c r="G68">
        <v>1.6</v>
      </c>
      <c r="H68">
        <v>2700</v>
      </c>
      <c r="I68">
        <v>2840</v>
      </c>
      <c r="J68">
        <v>2770</v>
      </c>
      <c r="K68">
        <v>1.5</v>
      </c>
      <c r="L68">
        <v>1800</v>
      </c>
      <c r="M68">
        <v>1980</v>
      </c>
      <c r="N68">
        <v>200</v>
      </c>
      <c r="O68">
        <v>2000</v>
      </c>
      <c r="P68">
        <v>27900</v>
      </c>
      <c r="Q68" t="s">
        <v>479</v>
      </c>
      <c r="R68" t="s">
        <v>353</v>
      </c>
      <c r="S68" t="s">
        <v>353</v>
      </c>
      <c r="T68" t="s">
        <v>349</v>
      </c>
      <c r="U68" t="s">
        <v>349</v>
      </c>
      <c r="V68" t="s">
        <v>349</v>
      </c>
      <c r="W68" t="s">
        <v>349</v>
      </c>
      <c r="X68" t="s">
        <v>349</v>
      </c>
    </row>
    <row r="69" spans="1:24">
      <c r="A69" t="s">
        <v>70</v>
      </c>
      <c r="B69" t="s">
        <v>477</v>
      </c>
      <c r="C69" t="s">
        <v>482</v>
      </c>
      <c r="D69">
        <v>2020</v>
      </c>
      <c r="E69">
        <v>2120</v>
      </c>
      <c r="F69">
        <v>2070</v>
      </c>
      <c r="G69">
        <v>1.6</v>
      </c>
      <c r="H69">
        <v>1950</v>
      </c>
      <c r="I69">
        <v>2050</v>
      </c>
      <c r="J69">
        <v>2000</v>
      </c>
      <c r="K69">
        <v>1.5</v>
      </c>
      <c r="L69">
        <v>1300</v>
      </c>
      <c r="M69">
        <v>1430</v>
      </c>
      <c r="N69">
        <v>200</v>
      </c>
      <c r="O69">
        <v>2000</v>
      </c>
      <c r="P69">
        <v>20200</v>
      </c>
      <c r="Q69" t="s">
        <v>479</v>
      </c>
      <c r="R69" t="s">
        <v>353</v>
      </c>
      <c r="S69" t="s">
        <v>353</v>
      </c>
      <c r="T69" t="s">
        <v>349</v>
      </c>
      <c r="U69" t="s">
        <v>349</v>
      </c>
      <c r="V69" t="s">
        <v>349</v>
      </c>
      <c r="W69" t="s">
        <v>349</v>
      </c>
      <c r="X69" t="s">
        <v>349</v>
      </c>
    </row>
    <row r="70" spans="1:24">
      <c r="A70" t="s">
        <v>68</v>
      </c>
      <c r="B70" t="s">
        <v>477</v>
      </c>
      <c r="C70" t="s">
        <v>483</v>
      </c>
      <c r="D70">
        <v>3720</v>
      </c>
      <c r="E70">
        <v>3910</v>
      </c>
      <c r="F70">
        <v>3810</v>
      </c>
      <c r="G70">
        <v>1.6</v>
      </c>
      <c r="H70">
        <v>3600</v>
      </c>
      <c r="I70">
        <v>3780</v>
      </c>
      <c r="J70">
        <v>3690</v>
      </c>
      <c r="K70">
        <v>1.5</v>
      </c>
      <c r="L70">
        <v>2400</v>
      </c>
      <c r="M70">
        <v>2640</v>
      </c>
      <c r="N70">
        <v>200</v>
      </c>
      <c r="O70">
        <v>2000</v>
      </c>
      <c r="P70">
        <v>37200</v>
      </c>
      <c r="Q70" t="s">
        <v>479</v>
      </c>
      <c r="R70" t="s">
        <v>353</v>
      </c>
      <c r="S70" t="s">
        <v>353</v>
      </c>
      <c r="T70" t="s">
        <v>349</v>
      </c>
      <c r="U70" t="s">
        <v>349</v>
      </c>
      <c r="V70" t="s">
        <v>349</v>
      </c>
      <c r="W70" t="s">
        <v>349</v>
      </c>
      <c r="X70" t="s">
        <v>349</v>
      </c>
    </row>
    <row r="71" spans="1:24">
      <c r="A71" t="s">
        <v>66</v>
      </c>
      <c r="B71" t="s">
        <v>477</v>
      </c>
      <c r="C71" t="s">
        <v>484</v>
      </c>
      <c r="D71">
        <v>4650</v>
      </c>
      <c r="E71">
        <v>4880</v>
      </c>
      <c r="F71">
        <v>4770</v>
      </c>
      <c r="G71">
        <v>1.6</v>
      </c>
      <c r="H71">
        <v>4500</v>
      </c>
      <c r="I71">
        <v>4730</v>
      </c>
      <c r="J71">
        <v>4610</v>
      </c>
      <c r="K71">
        <v>1.5</v>
      </c>
      <c r="L71">
        <v>3000</v>
      </c>
      <c r="M71">
        <v>3300</v>
      </c>
      <c r="N71">
        <v>200</v>
      </c>
      <c r="O71">
        <v>2000</v>
      </c>
      <c r="P71">
        <v>46500</v>
      </c>
      <c r="Q71" t="s">
        <v>479</v>
      </c>
      <c r="R71" t="s">
        <v>353</v>
      </c>
      <c r="S71" t="s">
        <v>353</v>
      </c>
      <c r="T71" t="s">
        <v>349</v>
      </c>
      <c r="U71" t="s">
        <v>349</v>
      </c>
      <c r="V71" t="s">
        <v>349</v>
      </c>
      <c r="W71" t="s">
        <v>349</v>
      </c>
      <c r="X71" t="s">
        <v>349</v>
      </c>
    </row>
    <row r="72" spans="1:24">
      <c r="A72" t="s">
        <v>64</v>
      </c>
      <c r="B72" t="s">
        <v>485</v>
      </c>
      <c r="C72" t="s">
        <v>486</v>
      </c>
      <c r="D72">
        <v>3100</v>
      </c>
      <c r="E72">
        <v>3260</v>
      </c>
      <c r="F72">
        <v>3180</v>
      </c>
      <c r="G72">
        <v>1.6</v>
      </c>
      <c r="H72">
        <v>3000</v>
      </c>
      <c r="I72">
        <v>3150</v>
      </c>
      <c r="J72">
        <v>3080</v>
      </c>
      <c r="K72">
        <v>1.5</v>
      </c>
      <c r="L72">
        <v>2000</v>
      </c>
      <c r="M72">
        <v>2200</v>
      </c>
      <c r="N72">
        <v>100</v>
      </c>
      <c r="O72">
        <v>1000</v>
      </c>
      <c r="P72">
        <v>31000</v>
      </c>
      <c r="Q72" t="s">
        <v>487</v>
      </c>
      <c r="R72" t="s">
        <v>353</v>
      </c>
      <c r="S72" t="s">
        <v>353</v>
      </c>
      <c r="T72" t="s">
        <v>349</v>
      </c>
      <c r="U72" t="s">
        <v>349</v>
      </c>
      <c r="V72" t="s">
        <v>349</v>
      </c>
      <c r="W72" t="s">
        <v>349</v>
      </c>
      <c r="X72" t="s">
        <v>349</v>
      </c>
    </row>
    <row r="73" spans="1:24">
      <c r="A73" t="s">
        <v>62</v>
      </c>
      <c r="B73" t="s">
        <v>61</v>
      </c>
      <c r="C73" t="s">
        <v>488</v>
      </c>
      <c r="D73">
        <v>6200</v>
      </c>
      <c r="E73">
        <v>6510</v>
      </c>
      <c r="F73">
        <v>6360</v>
      </c>
      <c r="G73">
        <v>1.6</v>
      </c>
      <c r="H73">
        <v>6000</v>
      </c>
      <c r="I73">
        <v>6300</v>
      </c>
      <c r="J73">
        <v>6150</v>
      </c>
      <c r="K73">
        <v>1.5</v>
      </c>
      <c r="L73">
        <v>4000</v>
      </c>
      <c r="M73">
        <v>4400</v>
      </c>
      <c r="N73">
        <v>100</v>
      </c>
      <c r="O73">
        <v>100</v>
      </c>
      <c r="P73">
        <v>6200</v>
      </c>
      <c r="Q73" t="s">
        <v>489</v>
      </c>
      <c r="R73" t="s">
        <v>353</v>
      </c>
      <c r="S73" t="s">
        <v>353</v>
      </c>
      <c r="T73" t="s">
        <v>349</v>
      </c>
      <c r="U73" t="s">
        <v>349</v>
      </c>
      <c r="V73" t="s">
        <v>349</v>
      </c>
      <c r="W73" t="s">
        <v>349</v>
      </c>
      <c r="X73" t="s">
        <v>349</v>
      </c>
    </row>
    <row r="74" spans="1:24">
      <c r="A74" t="s">
        <v>60</v>
      </c>
      <c r="B74" t="s">
        <v>59</v>
      </c>
      <c r="C74" t="s">
        <v>490</v>
      </c>
      <c r="D74">
        <v>7520</v>
      </c>
      <c r="E74">
        <v>7900</v>
      </c>
      <c r="F74">
        <v>7710</v>
      </c>
      <c r="G74">
        <v>1.6</v>
      </c>
      <c r="H74">
        <v>7280</v>
      </c>
      <c r="I74">
        <v>7640</v>
      </c>
      <c r="J74">
        <v>7460</v>
      </c>
      <c r="K74">
        <v>1.5</v>
      </c>
      <c r="L74">
        <v>4850</v>
      </c>
      <c r="M74">
        <v>5335</v>
      </c>
      <c r="N74">
        <v>100</v>
      </c>
      <c r="O74">
        <v>100</v>
      </c>
      <c r="P74">
        <v>7520</v>
      </c>
      <c r="Q74" t="s">
        <v>489</v>
      </c>
      <c r="R74" t="s">
        <v>353</v>
      </c>
      <c r="S74" t="s">
        <v>353</v>
      </c>
      <c r="T74" t="s">
        <v>349</v>
      </c>
      <c r="U74" t="s">
        <v>349</v>
      </c>
      <c r="V74" t="s">
        <v>349</v>
      </c>
      <c r="W74" t="s">
        <v>349</v>
      </c>
      <c r="X74" t="s">
        <v>349</v>
      </c>
    </row>
    <row r="75" spans="1:24">
      <c r="A75" t="s">
        <v>58</v>
      </c>
      <c r="B75" t="s">
        <v>57</v>
      </c>
      <c r="C75" t="s">
        <v>491</v>
      </c>
      <c r="D75">
        <v>9610</v>
      </c>
      <c r="E75">
        <v>10090</v>
      </c>
      <c r="F75">
        <v>9850</v>
      </c>
      <c r="G75">
        <v>1.6</v>
      </c>
      <c r="H75">
        <v>9300</v>
      </c>
      <c r="I75">
        <v>9770</v>
      </c>
      <c r="J75">
        <v>9530</v>
      </c>
      <c r="K75">
        <v>1.5</v>
      </c>
      <c r="L75">
        <v>6200</v>
      </c>
      <c r="M75">
        <v>6820</v>
      </c>
      <c r="N75">
        <v>100</v>
      </c>
      <c r="O75">
        <v>100</v>
      </c>
      <c r="P75">
        <v>9610</v>
      </c>
      <c r="Q75" t="s">
        <v>489</v>
      </c>
      <c r="R75" t="s">
        <v>353</v>
      </c>
      <c r="S75" t="s">
        <v>353</v>
      </c>
      <c r="T75" t="s">
        <v>349</v>
      </c>
      <c r="U75" t="s">
        <v>349</v>
      </c>
      <c r="V75" t="s">
        <v>349</v>
      </c>
      <c r="W75" t="s">
        <v>349</v>
      </c>
      <c r="X75" t="s">
        <v>349</v>
      </c>
    </row>
    <row r="76" spans="1:24">
      <c r="A76" t="s">
        <v>56</v>
      </c>
      <c r="B76" t="s">
        <v>55</v>
      </c>
      <c r="C76" t="s">
        <v>492</v>
      </c>
      <c r="D76">
        <v>10390</v>
      </c>
      <c r="E76">
        <v>10910</v>
      </c>
      <c r="F76">
        <v>10650</v>
      </c>
      <c r="G76">
        <v>1.6</v>
      </c>
      <c r="H76">
        <v>10050</v>
      </c>
      <c r="I76">
        <v>10550</v>
      </c>
      <c r="J76">
        <v>10300</v>
      </c>
      <c r="K76">
        <v>1.5</v>
      </c>
      <c r="L76">
        <v>6700</v>
      </c>
      <c r="M76">
        <v>7370</v>
      </c>
      <c r="N76">
        <v>100</v>
      </c>
      <c r="O76">
        <v>100</v>
      </c>
      <c r="P76">
        <v>10390</v>
      </c>
      <c r="Q76" t="s">
        <v>489</v>
      </c>
      <c r="R76" t="s">
        <v>353</v>
      </c>
      <c r="S76" t="s">
        <v>353</v>
      </c>
      <c r="T76" t="s">
        <v>349</v>
      </c>
      <c r="U76" t="s">
        <v>349</v>
      </c>
      <c r="V76" t="s">
        <v>349</v>
      </c>
      <c r="W76" t="s">
        <v>349</v>
      </c>
      <c r="X76" t="s">
        <v>349</v>
      </c>
    </row>
    <row r="77" spans="1:24">
      <c r="A77" t="s">
        <v>54</v>
      </c>
      <c r="B77" t="s">
        <v>53</v>
      </c>
      <c r="C77" t="s">
        <v>493</v>
      </c>
      <c r="D77">
        <v>12400</v>
      </c>
      <c r="E77">
        <v>13020</v>
      </c>
      <c r="F77">
        <v>12710</v>
      </c>
      <c r="G77">
        <v>1.6</v>
      </c>
      <c r="H77">
        <v>12000</v>
      </c>
      <c r="I77">
        <v>12600</v>
      </c>
      <c r="J77">
        <v>12300</v>
      </c>
      <c r="K77">
        <v>1.5</v>
      </c>
      <c r="L77">
        <v>8000</v>
      </c>
      <c r="M77">
        <v>8800</v>
      </c>
      <c r="N77">
        <v>100</v>
      </c>
      <c r="O77">
        <v>100</v>
      </c>
      <c r="P77">
        <v>12400</v>
      </c>
      <c r="Q77" t="s">
        <v>489</v>
      </c>
      <c r="R77" t="s">
        <v>353</v>
      </c>
      <c r="S77" t="s">
        <v>353</v>
      </c>
      <c r="T77" t="s">
        <v>349</v>
      </c>
      <c r="U77" t="s">
        <v>349</v>
      </c>
      <c r="V77" t="s">
        <v>349</v>
      </c>
      <c r="W77" t="s">
        <v>349</v>
      </c>
      <c r="X77" t="s">
        <v>349</v>
      </c>
    </row>
    <row r="78" spans="1:24">
      <c r="A78" t="s">
        <v>52</v>
      </c>
      <c r="B78" t="s">
        <v>494</v>
      </c>
      <c r="C78" t="s">
        <v>495</v>
      </c>
      <c r="D78">
        <v>1240</v>
      </c>
      <c r="E78">
        <v>1300</v>
      </c>
      <c r="F78">
        <v>1270</v>
      </c>
      <c r="G78">
        <v>1.6</v>
      </c>
      <c r="H78">
        <v>1200</v>
      </c>
      <c r="I78">
        <v>1260</v>
      </c>
      <c r="J78">
        <v>1230</v>
      </c>
      <c r="K78">
        <v>1.5</v>
      </c>
      <c r="L78">
        <v>800</v>
      </c>
      <c r="M78">
        <v>880</v>
      </c>
      <c r="N78">
        <v>100</v>
      </c>
      <c r="O78">
        <v>2000</v>
      </c>
      <c r="P78">
        <v>24800</v>
      </c>
      <c r="Q78" t="s">
        <v>496</v>
      </c>
      <c r="R78" t="s">
        <v>353</v>
      </c>
      <c r="S78" t="s">
        <v>353</v>
      </c>
      <c r="T78" t="s">
        <v>349</v>
      </c>
      <c r="U78" t="s">
        <v>349</v>
      </c>
      <c r="V78" t="s">
        <v>349</v>
      </c>
      <c r="W78" t="s">
        <v>349</v>
      </c>
      <c r="X78" t="s">
        <v>349</v>
      </c>
    </row>
    <row r="79" spans="1:24">
      <c r="A79" t="s">
        <v>50</v>
      </c>
      <c r="B79" t="s">
        <v>494</v>
      </c>
      <c r="C79" t="s">
        <v>497</v>
      </c>
      <c r="D79">
        <v>1860</v>
      </c>
      <c r="E79">
        <v>1950</v>
      </c>
      <c r="F79">
        <v>1910</v>
      </c>
      <c r="G79">
        <v>1.6</v>
      </c>
      <c r="H79">
        <v>1800</v>
      </c>
      <c r="I79">
        <v>1890</v>
      </c>
      <c r="J79">
        <v>1850</v>
      </c>
      <c r="K79">
        <v>1.5</v>
      </c>
      <c r="L79">
        <v>1200</v>
      </c>
      <c r="M79">
        <v>1320</v>
      </c>
      <c r="N79">
        <v>100</v>
      </c>
      <c r="O79">
        <v>2000</v>
      </c>
      <c r="P79">
        <v>37200</v>
      </c>
      <c r="Q79" t="s">
        <v>496</v>
      </c>
      <c r="R79" t="s">
        <v>353</v>
      </c>
      <c r="S79" t="s">
        <v>353</v>
      </c>
      <c r="T79" t="s">
        <v>349</v>
      </c>
      <c r="U79" t="s">
        <v>349</v>
      </c>
      <c r="V79" t="s">
        <v>349</v>
      </c>
      <c r="W79" t="s">
        <v>349</v>
      </c>
      <c r="X79" t="s">
        <v>349</v>
      </c>
    </row>
    <row r="80" spans="1:24">
      <c r="A80" t="s">
        <v>48</v>
      </c>
      <c r="B80" t="s">
        <v>494</v>
      </c>
      <c r="C80" t="s">
        <v>484</v>
      </c>
      <c r="D80">
        <v>2480</v>
      </c>
      <c r="E80">
        <v>2600</v>
      </c>
      <c r="F80">
        <v>2540</v>
      </c>
      <c r="G80">
        <v>1.6</v>
      </c>
      <c r="H80">
        <v>2400</v>
      </c>
      <c r="I80">
        <v>2520</v>
      </c>
      <c r="J80">
        <v>2460</v>
      </c>
      <c r="K80">
        <v>1.5</v>
      </c>
      <c r="L80">
        <v>1600</v>
      </c>
      <c r="M80">
        <v>1760</v>
      </c>
      <c r="N80">
        <v>100</v>
      </c>
      <c r="O80">
        <v>2000</v>
      </c>
      <c r="P80">
        <v>49600</v>
      </c>
      <c r="Q80" t="s">
        <v>496</v>
      </c>
      <c r="R80" t="s">
        <v>353</v>
      </c>
      <c r="S80" t="s">
        <v>353</v>
      </c>
      <c r="T80" t="s">
        <v>349</v>
      </c>
      <c r="U80" t="s">
        <v>349</v>
      </c>
      <c r="V80" t="s">
        <v>349</v>
      </c>
      <c r="W80" t="s">
        <v>349</v>
      </c>
      <c r="X80" t="s">
        <v>349</v>
      </c>
    </row>
    <row r="81" spans="1:24">
      <c r="A81" t="s">
        <v>46</v>
      </c>
      <c r="B81" t="s">
        <v>494</v>
      </c>
      <c r="C81" t="s">
        <v>498</v>
      </c>
      <c r="D81">
        <v>2950</v>
      </c>
      <c r="E81">
        <v>3100</v>
      </c>
      <c r="F81">
        <v>3020</v>
      </c>
      <c r="G81">
        <v>1.6</v>
      </c>
      <c r="H81">
        <v>2850</v>
      </c>
      <c r="I81">
        <v>2990</v>
      </c>
      <c r="J81">
        <v>2920</v>
      </c>
      <c r="K81">
        <v>1.5</v>
      </c>
      <c r="L81">
        <v>1900</v>
      </c>
      <c r="M81">
        <v>2090</v>
      </c>
      <c r="N81">
        <v>100</v>
      </c>
      <c r="O81">
        <v>1000</v>
      </c>
      <c r="P81">
        <v>29500</v>
      </c>
      <c r="Q81" t="s">
        <v>496</v>
      </c>
      <c r="R81" t="s">
        <v>353</v>
      </c>
      <c r="S81" t="s">
        <v>353</v>
      </c>
      <c r="T81" t="s">
        <v>349</v>
      </c>
      <c r="U81" t="s">
        <v>349</v>
      </c>
      <c r="V81" t="s">
        <v>349</v>
      </c>
      <c r="W81" t="s">
        <v>349</v>
      </c>
      <c r="X81" t="s">
        <v>349</v>
      </c>
    </row>
    <row r="82" spans="1:24">
      <c r="A82" t="s">
        <v>44</v>
      </c>
      <c r="B82" t="s">
        <v>499</v>
      </c>
      <c r="C82" t="s">
        <v>500</v>
      </c>
      <c r="D82">
        <v>15300</v>
      </c>
      <c r="E82">
        <v>16070</v>
      </c>
      <c r="F82">
        <v>15680</v>
      </c>
      <c r="G82">
        <v>1.7</v>
      </c>
      <c r="H82">
        <v>14400</v>
      </c>
      <c r="I82">
        <v>15120</v>
      </c>
      <c r="J82">
        <v>14760</v>
      </c>
      <c r="K82">
        <v>1.6</v>
      </c>
      <c r="L82">
        <v>9000</v>
      </c>
      <c r="M82">
        <v>9900</v>
      </c>
      <c r="N82">
        <v>1</v>
      </c>
      <c r="O82">
        <v>1</v>
      </c>
      <c r="P82">
        <v>15300</v>
      </c>
      <c r="Q82" t="s">
        <v>499</v>
      </c>
      <c r="R82" t="s">
        <v>353</v>
      </c>
      <c r="S82" t="s">
        <v>353</v>
      </c>
      <c r="T82" t="s">
        <v>349</v>
      </c>
      <c r="U82" t="s">
        <v>349</v>
      </c>
      <c r="V82" t="s">
        <v>349</v>
      </c>
      <c r="W82" t="s">
        <v>349</v>
      </c>
      <c r="X82" t="s">
        <v>349</v>
      </c>
    </row>
    <row r="83" spans="1:24">
      <c r="A83" t="s">
        <v>42</v>
      </c>
      <c r="B83" t="s">
        <v>499</v>
      </c>
      <c r="C83" t="s">
        <v>501</v>
      </c>
      <c r="D83">
        <v>17000</v>
      </c>
      <c r="E83">
        <v>17850</v>
      </c>
      <c r="F83">
        <v>17430</v>
      </c>
      <c r="G83">
        <v>1.7</v>
      </c>
      <c r="H83">
        <v>16000</v>
      </c>
      <c r="I83">
        <v>16800</v>
      </c>
      <c r="J83">
        <v>16400</v>
      </c>
      <c r="K83">
        <v>1.6</v>
      </c>
      <c r="L83">
        <v>10000</v>
      </c>
      <c r="M83">
        <v>11000</v>
      </c>
      <c r="N83">
        <v>1</v>
      </c>
      <c r="O83">
        <v>1</v>
      </c>
      <c r="P83">
        <v>17000</v>
      </c>
      <c r="Q83" t="s">
        <v>499</v>
      </c>
      <c r="R83" t="s">
        <v>353</v>
      </c>
      <c r="S83" t="s">
        <v>353</v>
      </c>
      <c r="T83" t="s">
        <v>349</v>
      </c>
      <c r="U83" t="s">
        <v>349</v>
      </c>
      <c r="V83" t="s">
        <v>349</v>
      </c>
      <c r="W83" t="s">
        <v>349</v>
      </c>
      <c r="X83" t="s">
        <v>349</v>
      </c>
    </row>
    <row r="84" spans="1:24">
      <c r="A84" t="s">
        <v>40</v>
      </c>
      <c r="B84" t="s">
        <v>499</v>
      </c>
      <c r="C84" t="s">
        <v>502</v>
      </c>
      <c r="D84">
        <v>18700</v>
      </c>
      <c r="E84">
        <v>19640</v>
      </c>
      <c r="F84">
        <v>19170</v>
      </c>
      <c r="G84">
        <v>1.7</v>
      </c>
      <c r="H84">
        <v>17600</v>
      </c>
      <c r="I84">
        <v>18480</v>
      </c>
      <c r="J84">
        <v>18040</v>
      </c>
      <c r="K84">
        <v>1.6</v>
      </c>
      <c r="L84">
        <v>11000</v>
      </c>
      <c r="M84">
        <v>12100</v>
      </c>
      <c r="N84">
        <v>1</v>
      </c>
      <c r="O84">
        <v>1</v>
      </c>
      <c r="P84">
        <v>18700</v>
      </c>
      <c r="Q84" t="s">
        <v>499</v>
      </c>
      <c r="R84" t="s">
        <v>353</v>
      </c>
      <c r="S84" t="s">
        <v>353</v>
      </c>
      <c r="T84" t="s">
        <v>349</v>
      </c>
      <c r="U84" t="s">
        <v>349</v>
      </c>
      <c r="V84" t="s">
        <v>349</v>
      </c>
      <c r="W84" t="s">
        <v>349</v>
      </c>
      <c r="X84" t="s">
        <v>349</v>
      </c>
    </row>
    <row r="85" spans="1:24">
      <c r="A85" t="s">
        <v>38</v>
      </c>
      <c r="B85" t="s">
        <v>499</v>
      </c>
      <c r="C85" t="s">
        <v>503</v>
      </c>
      <c r="D85">
        <v>22100</v>
      </c>
      <c r="E85">
        <v>23210</v>
      </c>
      <c r="F85">
        <v>22650</v>
      </c>
      <c r="G85">
        <v>1.7</v>
      </c>
      <c r="H85">
        <v>20800</v>
      </c>
      <c r="I85">
        <v>21840</v>
      </c>
      <c r="J85">
        <v>21320</v>
      </c>
      <c r="K85">
        <v>1.6</v>
      </c>
      <c r="L85">
        <v>13000</v>
      </c>
      <c r="M85">
        <v>14300</v>
      </c>
      <c r="N85">
        <v>1</v>
      </c>
      <c r="O85">
        <v>1</v>
      </c>
      <c r="P85">
        <v>22100</v>
      </c>
      <c r="Q85" t="s">
        <v>499</v>
      </c>
      <c r="R85" t="s">
        <v>353</v>
      </c>
      <c r="S85" t="s">
        <v>353</v>
      </c>
      <c r="T85" t="s">
        <v>349</v>
      </c>
      <c r="U85" t="s">
        <v>349</v>
      </c>
      <c r="V85" t="s">
        <v>349</v>
      </c>
      <c r="W85" t="s">
        <v>349</v>
      </c>
      <c r="X85" t="s">
        <v>349</v>
      </c>
    </row>
    <row r="86" spans="1:24">
      <c r="A86" t="s">
        <v>36</v>
      </c>
      <c r="B86" t="s">
        <v>499</v>
      </c>
      <c r="C86" t="s">
        <v>504</v>
      </c>
      <c r="D86">
        <v>25500</v>
      </c>
      <c r="E86">
        <v>26780</v>
      </c>
      <c r="F86">
        <v>26140</v>
      </c>
      <c r="G86">
        <v>1.7</v>
      </c>
      <c r="H86">
        <v>24000</v>
      </c>
      <c r="I86">
        <v>25200</v>
      </c>
      <c r="J86">
        <v>24600</v>
      </c>
      <c r="K86">
        <v>1.6</v>
      </c>
      <c r="L86">
        <v>15000</v>
      </c>
      <c r="M86">
        <v>16500</v>
      </c>
      <c r="N86">
        <v>1</v>
      </c>
      <c r="O86">
        <v>1</v>
      </c>
      <c r="P86">
        <v>25500</v>
      </c>
      <c r="Q86" t="s">
        <v>499</v>
      </c>
      <c r="R86" t="s">
        <v>353</v>
      </c>
      <c r="S86" t="s">
        <v>353</v>
      </c>
      <c r="T86" t="s">
        <v>349</v>
      </c>
      <c r="U86" t="s">
        <v>349</v>
      </c>
      <c r="V86" t="s">
        <v>349</v>
      </c>
      <c r="W86" t="s">
        <v>349</v>
      </c>
      <c r="X86" t="s">
        <v>349</v>
      </c>
    </row>
    <row r="87" spans="1:24">
      <c r="A87" t="s">
        <v>34</v>
      </c>
      <c r="B87" t="s">
        <v>499</v>
      </c>
      <c r="C87" t="s">
        <v>505</v>
      </c>
      <c r="D87">
        <v>30600</v>
      </c>
      <c r="E87">
        <v>32130</v>
      </c>
      <c r="F87">
        <v>31370</v>
      </c>
      <c r="G87">
        <v>1.7</v>
      </c>
      <c r="H87">
        <v>28800</v>
      </c>
      <c r="I87">
        <v>30240</v>
      </c>
      <c r="J87">
        <v>29520</v>
      </c>
      <c r="K87">
        <v>1.6</v>
      </c>
      <c r="L87">
        <v>18000</v>
      </c>
      <c r="M87">
        <v>19800</v>
      </c>
      <c r="N87">
        <v>1</v>
      </c>
      <c r="O87">
        <v>1</v>
      </c>
      <c r="P87">
        <v>30600</v>
      </c>
      <c r="Q87" t="s">
        <v>499</v>
      </c>
      <c r="R87" t="s">
        <v>353</v>
      </c>
      <c r="S87" t="s">
        <v>353</v>
      </c>
      <c r="T87" t="s">
        <v>349</v>
      </c>
      <c r="U87" t="s">
        <v>349</v>
      </c>
      <c r="V87" t="s">
        <v>349</v>
      </c>
      <c r="W87" t="s">
        <v>349</v>
      </c>
      <c r="X87" t="s">
        <v>349</v>
      </c>
    </row>
    <row r="88" spans="1:24">
      <c r="A88" t="s">
        <v>32</v>
      </c>
      <c r="B88" t="s">
        <v>499</v>
      </c>
      <c r="C88" t="s">
        <v>506</v>
      </c>
      <c r="D88">
        <v>30600</v>
      </c>
      <c r="E88">
        <v>32130</v>
      </c>
      <c r="F88">
        <v>31370</v>
      </c>
      <c r="G88">
        <v>1.7</v>
      </c>
      <c r="H88">
        <v>28800</v>
      </c>
      <c r="I88">
        <v>30240</v>
      </c>
      <c r="J88">
        <v>29520</v>
      </c>
      <c r="K88">
        <v>1.6</v>
      </c>
      <c r="L88">
        <v>18000</v>
      </c>
      <c r="M88">
        <v>19800</v>
      </c>
      <c r="N88">
        <v>1</v>
      </c>
      <c r="O88">
        <v>1</v>
      </c>
      <c r="P88">
        <v>30600</v>
      </c>
      <c r="Q88" t="s">
        <v>499</v>
      </c>
      <c r="R88" t="s">
        <v>353</v>
      </c>
      <c r="S88" t="s">
        <v>353</v>
      </c>
      <c r="T88" t="s">
        <v>349</v>
      </c>
      <c r="U88" t="s">
        <v>349</v>
      </c>
      <c r="V88" t="s">
        <v>349</v>
      </c>
      <c r="W88" t="s">
        <v>349</v>
      </c>
      <c r="X88" t="s">
        <v>349</v>
      </c>
    </row>
    <row r="89" spans="1:24">
      <c r="A89" t="s">
        <v>30</v>
      </c>
      <c r="B89" t="s">
        <v>507</v>
      </c>
      <c r="C89" t="s">
        <v>508</v>
      </c>
      <c r="D89">
        <v>11220</v>
      </c>
      <c r="E89">
        <v>11780</v>
      </c>
      <c r="F89">
        <v>11500</v>
      </c>
      <c r="G89">
        <v>1.7</v>
      </c>
      <c r="H89">
        <v>10560</v>
      </c>
      <c r="I89">
        <v>11090</v>
      </c>
      <c r="J89">
        <v>10820</v>
      </c>
      <c r="K89">
        <v>1.6</v>
      </c>
      <c r="L89">
        <v>6600</v>
      </c>
      <c r="M89">
        <v>7260</v>
      </c>
      <c r="N89">
        <v>3000</v>
      </c>
      <c r="O89">
        <v>3000</v>
      </c>
      <c r="P89">
        <v>11220</v>
      </c>
      <c r="Q89" t="s">
        <v>509</v>
      </c>
      <c r="R89" t="s">
        <v>353</v>
      </c>
      <c r="S89" t="s">
        <v>353</v>
      </c>
      <c r="T89" t="s">
        <v>349</v>
      </c>
      <c r="U89" t="s">
        <v>349</v>
      </c>
      <c r="V89" t="s">
        <v>349</v>
      </c>
      <c r="W89" t="s">
        <v>349</v>
      </c>
      <c r="X89" t="s">
        <v>349</v>
      </c>
    </row>
    <row r="90" spans="1:24">
      <c r="A90" t="s">
        <v>28</v>
      </c>
      <c r="B90" t="s">
        <v>507</v>
      </c>
      <c r="C90" t="s">
        <v>478</v>
      </c>
      <c r="D90">
        <v>22440</v>
      </c>
      <c r="E90">
        <v>23560</v>
      </c>
      <c r="F90">
        <v>23000</v>
      </c>
      <c r="G90">
        <v>1.7</v>
      </c>
      <c r="H90">
        <v>21120</v>
      </c>
      <c r="I90">
        <v>22180</v>
      </c>
      <c r="J90">
        <v>21650</v>
      </c>
      <c r="K90">
        <v>1.6</v>
      </c>
      <c r="L90">
        <v>13200</v>
      </c>
      <c r="M90">
        <v>14520</v>
      </c>
      <c r="N90">
        <v>3000</v>
      </c>
      <c r="O90">
        <v>3000</v>
      </c>
      <c r="P90">
        <v>22440</v>
      </c>
      <c r="Q90" t="s">
        <v>509</v>
      </c>
      <c r="R90" t="s">
        <v>353</v>
      </c>
      <c r="S90" t="s">
        <v>353</v>
      </c>
      <c r="T90" t="s">
        <v>349</v>
      </c>
      <c r="U90" t="s">
        <v>349</v>
      </c>
      <c r="V90" t="s">
        <v>349</v>
      </c>
      <c r="W90" t="s">
        <v>349</v>
      </c>
      <c r="X90" t="s">
        <v>349</v>
      </c>
    </row>
    <row r="91" spans="1:24">
      <c r="A91" t="s">
        <v>26</v>
      </c>
      <c r="B91" t="s">
        <v>507</v>
      </c>
      <c r="C91" t="s">
        <v>510</v>
      </c>
      <c r="D91">
        <v>23290</v>
      </c>
      <c r="E91">
        <v>24450</v>
      </c>
      <c r="F91">
        <v>23870</v>
      </c>
      <c r="G91">
        <v>1.7</v>
      </c>
      <c r="H91">
        <v>21920</v>
      </c>
      <c r="I91">
        <v>23020</v>
      </c>
      <c r="J91">
        <v>22470</v>
      </c>
      <c r="K91">
        <v>1.6</v>
      </c>
      <c r="L91">
        <v>13700</v>
      </c>
      <c r="M91">
        <v>15070</v>
      </c>
      <c r="N91">
        <v>3000</v>
      </c>
      <c r="O91">
        <v>3000</v>
      </c>
      <c r="P91">
        <v>23290</v>
      </c>
      <c r="Q91" t="s">
        <v>509</v>
      </c>
      <c r="R91" t="s">
        <v>353</v>
      </c>
      <c r="S91" t="s">
        <v>353</v>
      </c>
      <c r="T91" t="s">
        <v>349</v>
      </c>
      <c r="U91" t="s">
        <v>349</v>
      </c>
      <c r="V91" t="s">
        <v>349</v>
      </c>
      <c r="W91" t="s">
        <v>349</v>
      </c>
      <c r="X91" t="s">
        <v>349</v>
      </c>
    </row>
    <row r="92" spans="1:24">
      <c r="A92" t="s">
        <v>24</v>
      </c>
      <c r="B92" t="s">
        <v>507</v>
      </c>
      <c r="C92" t="s">
        <v>511</v>
      </c>
      <c r="D92">
        <v>14450</v>
      </c>
      <c r="E92">
        <v>15170</v>
      </c>
      <c r="F92">
        <v>14810</v>
      </c>
      <c r="G92">
        <v>1.7</v>
      </c>
      <c r="H92">
        <v>13600</v>
      </c>
      <c r="I92">
        <v>14280</v>
      </c>
      <c r="J92">
        <v>13940</v>
      </c>
      <c r="K92">
        <v>1.6</v>
      </c>
      <c r="L92">
        <v>8500</v>
      </c>
      <c r="M92">
        <v>9350</v>
      </c>
      <c r="N92">
        <v>1000</v>
      </c>
      <c r="O92">
        <v>1000</v>
      </c>
      <c r="P92">
        <v>14450</v>
      </c>
      <c r="Q92" t="s">
        <v>509</v>
      </c>
      <c r="R92" t="s">
        <v>353</v>
      </c>
      <c r="S92" t="s">
        <v>353</v>
      </c>
      <c r="T92" t="s">
        <v>349</v>
      </c>
      <c r="U92" t="s">
        <v>349</v>
      </c>
      <c r="V92" t="s">
        <v>349</v>
      </c>
      <c r="W92" t="s">
        <v>349</v>
      </c>
      <c r="X92" t="s">
        <v>349</v>
      </c>
    </row>
    <row r="93" spans="1:24">
      <c r="A93" t="s">
        <v>22</v>
      </c>
      <c r="B93" t="s">
        <v>507</v>
      </c>
      <c r="C93" t="s">
        <v>512</v>
      </c>
      <c r="D93">
        <v>19550</v>
      </c>
      <c r="E93">
        <v>20530</v>
      </c>
      <c r="F93">
        <v>20040</v>
      </c>
      <c r="G93">
        <v>1.7</v>
      </c>
      <c r="H93">
        <v>18400</v>
      </c>
      <c r="I93">
        <v>19320</v>
      </c>
      <c r="J93">
        <v>18860</v>
      </c>
      <c r="K93">
        <v>1.6</v>
      </c>
      <c r="L93">
        <v>11500</v>
      </c>
      <c r="M93">
        <v>12650</v>
      </c>
      <c r="N93">
        <v>1000</v>
      </c>
      <c r="O93">
        <v>1000</v>
      </c>
      <c r="P93">
        <v>19550</v>
      </c>
      <c r="Q93" t="s">
        <v>509</v>
      </c>
      <c r="R93" t="s">
        <v>353</v>
      </c>
      <c r="S93" t="s">
        <v>353</v>
      </c>
      <c r="T93" t="s">
        <v>349</v>
      </c>
      <c r="U93" t="s">
        <v>349</v>
      </c>
      <c r="V93" t="s">
        <v>349</v>
      </c>
      <c r="W93" t="s">
        <v>349</v>
      </c>
      <c r="X93" t="s">
        <v>349</v>
      </c>
    </row>
    <row r="94" spans="1:24">
      <c r="A94" t="s">
        <v>20</v>
      </c>
      <c r="B94" t="s">
        <v>507</v>
      </c>
      <c r="C94" t="s">
        <v>513</v>
      </c>
      <c r="D94">
        <v>14960</v>
      </c>
      <c r="E94">
        <v>15710</v>
      </c>
      <c r="F94">
        <v>15330</v>
      </c>
      <c r="G94">
        <v>1.7</v>
      </c>
      <c r="H94">
        <v>14080</v>
      </c>
      <c r="I94">
        <v>14780</v>
      </c>
      <c r="J94">
        <v>14430</v>
      </c>
      <c r="K94">
        <v>1.6</v>
      </c>
      <c r="L94">
        <v>8800</v>
      </c>
      <c r="M94">
        <v>9680</v>
      </c>
      <c r="N94">
        <v>3000</v>
      </c>
      <c r="O94">
        <v>3000</v>
      </c>
      <c r="P94">
        <v>14960</v>
      </c>
      <c r="Q94" t="s">
        <v>509</v>
      </c>
      <c r="R94" t="s">
        <v>353</v>
      </c>
      <c r="S94" t="s">
        <v>353</v>
      </c>
      <c r="T94" t="s">
        <v>349</v>
      </c>
      <c r="U94" t="s">
        <v>349</v>
      </c>
      <c r="V94" t="s">
        <v>349</v>
      </c>
      <c r="W94" t="s">
        <v>349</v>
      </c>
      <c r="X94" t="s">
        <v>349</v>
      </c>
    </row>
    <row r="95" spans="1:24">
      <c r="A95" t="s">
        <v>18</v>
      </c>
      <c r="B95" t="s">
        <v>507</v>
      </c>
      <c r="C95" t="s">
        <v>514</v>
      </c>
      <c r="D95">
        <v>11220</v>
      </c>
      <c r="E95">
        <v>11780</v>
      </c>
      <c r="F95">
        <v>11500</v>
      </c>
      <c r="G95">
        <v>1.7</v>
      </c>
      <c r="H95">
        <v>10560</v>
      </c>
      <c r="I95">
        <v>11090</v>
      </c>
      <c r="J95">
        <v>10820</v>
      </c>
      <c r="K95">
        <v>1.6</v>
      </c>
      <c r="L95">
        <v>6600</v>
      </c>
      <c r="M95">
        <v>7260</v>
      </c>
      <c r="N95">
        <v>1000</v>
      </c>
      <c r="O95">
        <v>1000</v>
      </c>
      <c r="P95">
        <v>11220</v>
      </c>
      <c r="Q95" t="s">
        <v>509</v>
      </c>
      <c r="R95" t="s">
        <v>353</v>
      </c>
      <c r="S95" t="s">
        <v>353</v>
      </c>
      <c r="T95" t="s">
        <v>349</v>
      </c>
      <c r="U95" t="s">
        <v>349</v>
      </c>
      <c r="V95" t="s">
        <v>349</v>
      </c>
      <c r="W95" t="s">
        <v>349</v>
      </c>
      <c r="X95" t="s">
        <v>349</v>
      </c>
    </row>
    <row r="96" spans="1:24">
      <c r="A96" t="s">
        <v>16</v>
      </c>
      <c r="B96" t="s">
        <v>515</v>
      </c>
      <c r="C96" t="s">
        <v>516</v>
      </c>
      <c r="D96">
        <v>66000</v>
      </c>
      <c r="E96">
        <v>69300</v>
      </c>
      <c r="F96">
        <v>67650</v>
      </c>
      <c r="G96">
        <v>1.5</v>
      </c>
      <c r="H96">
        <v>66000</v>
      </c>
      <c r="I96">
        <v>69300</v>
      </c>
      <c r="J96">
        <v>67650</v>
      </c>
      <c r="K96">
        <v>1.5</v>
      </c>
      <c r="L96">
        <v>44000</v>
      </c>
      <c r="M96">
        <v>48400</v>
      </c>
      <c r="N96">
        <v>1</v>
      </c>
      <c r="O96">
        <v>1</v>
      </c>
      <c r="P96">
        <v>66000</v>
      </c>
      <c r="Q96" t="s">
        <v>517</v>
      </c>
      <c r="R96" t="s">
        <v>353</v>
      </c>
      <c r="S96" t="s">
        <v>353</v>
      </c>
      <c r="T96" t="s">
        <v>349</v>
      </c>
      <c r="U96" t="s">
        <v>349</v>
      </c>
      <c r="V96" t="s">
        <v>349</v>
      </c>
      <c r="W96" t="s">
        <v>349</v>
      </c>
      <c r="X96" t="s">
        <v>349</v>
      </c>
    </row>
    <row r="97" spans="1:24">
      <c r="A97" t="s">
        <v>14</v>
      </c>
      <c r="B97" t="s">
        <v>518</v>
      </c>
      <c r="C97" t="s">
        <v>519</v>
      </c>
      <c r="D97">
        <v>8250</v>
      </c>
      <c r="E97">
        <v>8660</v>
      </c>
      <c r="F97">
        <v>8460</v>
      </c>
      <c r="G97">
        <v>1.7</v>
      </c>
      <c r="H97">
        <v>8250</v>
      </c>
      <c r="I97">
        <v>8660</v>
      </c>
      <c r="J97">
        <v>8460</v>
      </c>
      <c r="K97">
        <v>1.7</v>
      </c>
      <c r="L97">
        <v>5000</v>
      </c>
      <c r="M97">
        <v>5500</v>
      </c>
      <c r="N97">
        <v>1</v>
      </c>
      <c r="O97">
        <v>1</v>
      </c>
      <c r="P97">
        <v>8250</v>
      </c>
      <c r="Q97" t="s">
        <v>518</v>
      </c>
      <c r="R97" t="s">
        <v>353</v>
      </c>
      <c r="S97" t="s">
        <v>353</v>
      </c>
      <c r="T97" t="s">
        <v>349</v>
      </c>
      <c r="U97" t="s">
        <v>349</v>
      </c>
      <c r="V97" t="s">
        <v>349</v>
      </c>
      <c r="W97" t="s">
        <v>349</v>
      </c>
      <c r="X97" t="s">
        <v>349</v>
      </c>
    </row>
    <row r="98" spans="1:24">
      <c r="A98" t="s">
        <v>12</v>
      </c>
      <c r="B98" t="s">
        <v>518</v>
      </c>
      <c r="C98" t="s">
        <v>520</v>
      </c>
      <c r="D98">
        <v>9900</v>
      </c>
      <c r="E98">
        <v>10400</v>
      </c>
      <c r="F98">
        <v>10150</v>
      </c>
      <c r="G98">
        <v>1.7</v>
      </c>
      <c r="H98">
        <v>9900</v>
      </c>
      <c r="I98">
        <v>10400</v>
      </c>
      <c r="J98">
        <v>10150</v>
      </c>
      <c r="K98">
        <v>1.7</v>
      </c>
      <c r="L98">
        <v>6000</v>
      </c>
      <c r="M98">
        <v>6600</v>
      </c>
      <c r="N98">
        <v>1</v>
      </c>
      <c r="O98">
        <v>1</v>
      </c>
      <c r="P98">
        <v>9900</v>
      </c>
      <c r="Q98" t="s">
        <v>518</v>
      </c>
      <c r="R98" t="s">
        <v>353</v>
      </c>
      <c r="S98" t="s">
        <v>353</v>
      </c>
      <c r="T98" t="s">
        <v>349</v>
      </c>
      <c r="U98" t="s">
        <v>349</v>
      </c>
      <c r="V98" t="s">
        <v>349</v>
      </c>
      <c r="W98" t="s">
        <v>349</v>
      </c>
      <c r="X98" t="s">
        <v>349</v>
      </c>
    </row>
    <row r="99" spans="1:24">
      <c r="A99" t="s">
        <v>10</v>
      </c>
      <c r="B99" t="s">
        <v>518</v>
      </c>
      <c r="C99" t="s">
        <v>521</v>
      </c>
      <c r="D99">
        <v>12800</v>
      </c>
      <c r="E99">
        <v>13440</v>
      </c>
      <c r="F99">
        <v>13120</v>
      </c>
      <c r="G99">
        <v>1.6</v>
      </c>
      <c r="H99">
        <v>11200</v>
      </c>
      <c r="I99">
        <v>11760</v>
      </c>
      <c r="J99">
        <v>11480</v>
      </c>
      <c r="K99">
        <v>1.6</v>
      </c>
      <c r="L99">
        <v>8000</v>
      </c>
      <c r="M99">
        <v>8800</v>
      </c>
      <c r="N99">
        <v>1</v>
      </c>
      <c r="O99">
        <v>1</v>
      </c>
      <c r="P99">
        <v>12800</v>
      </c>
      <c r="Q99" t="s">
        <v>518</v>
      </c>
      <c r="R99" t="s">
        <v>353</v>
      </c>
      <c r="S99" t="s">
        <v>353</v>
      </c>
      <c r="T99" t="s">
        <v>349</v>
      </c>
      <c r="U99" t="s">
        <v>349</v>
      </c>
      <c r="V99" t="s">
        <v>349</v>
      </c>
      <c r="W99" t="s">
        <v>349</v>
      </c>
      <c r="X99" t="s">
        <v>349</v>
      </c>
    </row>
    <row r="100" spans="1:24">
      <c r="A100" t="s">
        <v>8</v>
      </c>
      <c r="B100" t="s">
        <v>522</v>
      </c>
      <c r="C100" t="s">
        <v>523</v>
      </c>
      <c r="D100">
        <v>8990</v>
      </c>
      <c r="E100">
        <v>9440</v>
      </c>
      <c r="F100">
        <v>9210</v>
      </c>
      <c r="G100">
        <v>1.3</v>
      </c>
      <c r="H100">
        <v>8990</v>
      </c>
      <c r="I100">
        <v>9440</v>
      </c>
      <c r="J100">
        <v>9210</v>
      </c>
      <c r="K100">
        <v>1.3</v>
      </c>
      <c r="L100">
        <v>7000</v>
      </c>
      <c r="M100">
        <v>7700</v>
      </c>
      <c r="N100">
        <v>240</v>
      </c>
      <c r="O100">
        <v>240</v>
      </c>
      <c r="P100">
        <v>8990</v>
      </c>
      <c r="Q100" t="s">
        <v>522</v>
      </c>
      <c r="R100" t="s">
        <v>375</v>
      </c>
      <c r="S100" t="s">
        <v>375</v>
      </c>
      <c r="T100" t="s">
        <v>349</v>
      </c>
      <c r="U100" t="s">
        <v>349</v>
      </c>
      <c r="V100" t="s">
        <v>349</v>
      </c>
      <c r="W100" t="s">
        <v>349</v>
      </c>
      <c r="X100" t="s">
        <v>349</v>
      </c>
    </row>
    <row r="101" spans="1:24">
      <c r="A101" t="s">
        <v>6</v>
      </c>
      <c r="B101" t="s">
        <v>518</v>
      </c>
      <c r="C101" t="s">
        <v>524</v>
      </c>
      <c r="D101">
        <v>12380</v>
      </c>
      <c r="E101">
        <v>13000</v>
      </c>
      <c r="F101">
        <v>12690</v>
      </c>
      <c r="G101">
        <v>1.7</v>
      </c>
      <c r="H101">
        <v>12380</v>
      </c>
      <c r="I101">
        <v>13000</v>
      </c>
      <c r="J101">
        <v>12690</v>
      </c>
      <c r="K101">
        <v>1.7</v>
      </c>
      <c r="L101">
        <v>7500</v>
      </c>
      <c r="M101">
        <v>8250</v>
      </c>
      <c r="N101">
        <v>1</v>
      </c>
      <c r="O101">
        <v>1</v>
      </c>
      <c r="P101">
        <v>12380</v>
      </c>
      <c r="Q101" t="s">
        <v>518</v>
      </c>
      <c r="R101" t="s">
        <v>349</v>
      </c>
      <c r="S101" t="s">
        <v>353</v>
      </c>
      <c r="T101" t="s">
        <v>349</v>
      </c>
      <c r="U101" t="s">
        <v>349</v>
      </c>
      <c r="V101" t="s">
        <v>349</v>
      </c>
      <c r="W101" t="s">
        <v>349</v>
      </c>
      <c r="X101" t="s">
        <v>349</v>
      </c>
    </row>
    <row r="102" spans="1:24">
      <c r="A102" t="s">
        <v>5</v>
      </c>
      <c r="B102" t="s">
        <v>518</v>
      </c>
      <c r="C102" t="s">
        <v>525</v>
      </c>
      <c r="D102">
        <v>14850</v>
      </c>
      <c r="E102">
        <v>15590</v>
      </c>
      <c r="F102">
        <v>15220</v>
      </c>
      <c r="G102">
        <v>1.7</v>
      </c>
      <c r="H102">
        <v>14850</v>
      </c>
      <c r="I102">
        <v>15590</v>
      </c>
      <c r="J102">
        <v>15220</v>
      </c>
      <c r="K102">
        <v>1.7</v>
      </c>
      <c r="L102">
        <v>9000</v>
      </c>
      <c r="M102">
        <v>9900</v>
      </c>
      <c r="N102">
        <v>1</v>
      </c>
      <c r="O102">
        <v>1</v>
      </c>
      <c r="P102">
        <v>14850</v>
      </c>
      <c r="Q102" t="s">
        <v>518</v>
      </c>
      <c r="R102" t="s">
        <v>349</v>
      </c>
      <c r="S102" t="s">
        <v>353</v>
      </c>
      <c r="T102" t="s">
        <v>349</v>
      </c>
      <c r="U102" t="s">
        <v>349</v>
      </c>
      <c r="V102" t="s">
        <v>349</v>
      </c>
      <c r="W102" t="s">
        <v>349</v>
      </c>
      <c r="X102" t="s">
        <v>349</v>
      </c>
    </row>
    <row r="103" spans="1:24">
      <c r="A103" t="s">
        <v>4</v>
      </c>
      <c r="B103" t="s">
        <v>518</v>
      </c>
      <c r="C103" t="s">
        <v>526</v>
      </c>
      <c r="D103">
        <v>18980</v>
      </c>
      <c r="E103">
        <v>19930</v>
      </c>
      <c r="F103">
        <v>19450</v>
      </c>
      <c r="G103">
        <v>1.7</v>
      </c>
      <c r="H103">
        <v>18980</v>
      </c>
      <c r="I103">
        <v>19930</v>
      </c>
      <c r="J103">
        <v>19450</v>
      </c>
      <c r="K103">
        <v>1.7</v>
      </c>
      <c r="L103">
        <v>11500</v>
      </c>
      <c r="M103">
        <v>12650</v>
      </c>
      <c r="N103">
        <v>1</v>
      </c>
      <c r="O103">
        <v>1</v>
      </c>
      <c r="P103">
        <v>18980</v>
      </c>
      <c r="Q103" t="s">
        <v>518</v>
      </c>
      <c r="R103" t="s">
        <v>349</v>
      </c>
      <c r="S103" t="s">
        <v>353</v>
      </c>
      <c r="T103" t="s">
        <v>349</v>
      </c>
      <c r="U103" t="s">
        <v>349</v>
      </c>
      <c r="V103" t="s">
        <v>349</v>
      </c>
      <c r="W103" t="s">
        <v>349</v>
      </c>
      <c r="X103" t="s">
        <v>349</v>
      </c>
    </row>
    <row r="104" spans="1:24">
      <c r="A104" t="s">
        <v>527</v>
      </c>
      <c r="B104" t="s">
        <v>528</v>
      </c>
      <c r="C104" t="s">
        <v>349</v>
      </c>
      <c r="D104" t="s">
        <v>529</v>
      </c>
      <c r="E104" t="s">
        <v>529</v>
      </c>
      <c r="F104" t="s">
        <v>529</v>
      </c>
      <c r="G104">
        <v>1</v>
      </c>
      <c r="H104" t="s">
        <v>529</v>
      </c>
      <c r="I104" t="s">
        <v>529</v>
      </c>
      <c r="J104" t="s">
        <v>529</v>
      </c>
      <c r="K104">
        <v>1</v>
      </c>
      <c r="L104" t="s">
        <v>529</v>
      </c>
      <c r="M104" t="s">
        <v>529</v>
      </c>
      <c r="N104">
        <v>1</v>
      </c>
      <c r="O104">
        <v>1</v>
      </c>
      <c r="P104" t="s">
        <v>530</v>
      </c>
      <c r="Q104" t="s">
        <v>528</v>
      </c>
      <c r="R104" t="s">
        <v>349</v>
      </c>
      <c r="S104" t="s">
        <v>349</v>
      </c>
      <c r="T104" t="s">
        <v>349</v>
      </c>
      <c r="U104" t="s">
        <v>349</v>
      </c>
      <c r="V104" t="s">
        <v>349</v>
      </c>
      <c r="W104" t="s">
        <v>349</v>
      </c>
      <c r="X104" t="s">
        <v>349</v>
      </c>
    </row>
    <row r="105" spans="1:24">
      <c r="A105" t="s">
        <v>531</v>
      </c>
      <c r="B105" t="s">
        <v>532</v>
      </c>
      <c r="C105" t="s">
        <v>349</v>
      </c>
      <c r="D105" t="s">
        <v>349</v>
      </c>
      <c r="E105" t="s">
        <v>349</v>
      </c>
      <c r="F105" t="s">
        <v>349</v>
      </c>
      <c r="G105">
        <v>1</v>
      </c>
      <c r="H105" t="s">
        <v>529</v>
      </c>
      <c r="I105" t="s">
        <v>529</v>
      </c>
      <c r="J105" t="s">
        <v>529</v>
      </c>
      <c r="K105">
        <v>1</v>
      </c>
      <c r="L105" t="s">
        <v>349</v>
      </c>
      <c r="M105" t="s">
        <v>349</v>
      </c>
      <c r="N105">
        <v>1</v>
      </c>
      <c r="O105">
        <v>1</v>
      </c>
      <c r="P105" t="s">
        <v>349</v>
      </c>
      <c r="Q105" t="s">
        <v>532</v>
      </c>
      <c r="R105" t="s">
        <v>349</v>
      </c>
      <c r="S105" t="s">
        <v>349</v>
      </c>
      <c r="T105" t="s">
        <v>349</v>
      </c>
      <c r="U105" t="s">
        <v>349</v>
      </c>
      <c r="V105" t="s">
        <v>349</v>
      </c>
      <c r="W105" t="s">
        <v>349</v>
      </c>
      <c r="X105" t="s">
        <v>349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81D73-30D4-4215-B4A2-49719784CDD4}">
  <sheetPr codeName="Sheet1"/>
  <dimension ref="A1:BA125"/>
  <sheetViews>
    <sheetView tabSelected="1" workbookViewId="0">
      <selection activeCell="E10" sqref="E10"/>
    </sheetView>
  </sheetViews>
  <sheetFormatPr defaultRowHeight="14.1" customHeight="1"/>
  <cols>
    <col min="1" max="1" width="18.375" style="1" bestFit="1" customWidth="1"/>
    <col min="2" max="2" width="35.875" style="1" customWidth="1"/>
    <col min="3" max="3" width="8.375" style="1" customWidth="1"/>
    <col min="4" max="4" width="7.875" style="1" customWidth="1"/>
    <col min="5" max="6" width="12.25" style="1" bestFit="1" customWidth="1"/>
    <col min="7" max="7" width="1.625" style="1" customWidth="1"/>
    <col min="8" max="8" width="11.375" style="1" bestFit="1" customWidth="1"/>
    <col min="9" max="9" width="4.75" style="1" customWidth="1"/>
    <col min="10" max="10" width="9.375" style="1" customWidth="1"/>
    <col min="11" max="11" width="11.375" style="1" bestFit="1" customWidth="1"/>
    <col min="12" max="12" width="6" style="1" customWidth="1"/>
    <col min="13" max="13" width="10.75" style="1" customWidth="1"/>
    <col min="14" max="14" width="1.625" style="1" customWidth="1"/>
    <col min="15" max="15" width="6.625" style="1" customWidth="1"/>
    <col min="16" max="16" width="9" style="1"/>
    <col min="17" max="17" width="1.625" style="1" customWidth="1"/>
    <col min="18" max="18" width="7.125" style="2" bestFit="1" customWidth="1"/>
    <col min="19" max="19" width="4" style="267" customWidth="1"/>
    <col min="20" max="20" width="9.625" style="270" bestFit="1" customWidth="1"/>
    <col min="21" max="21" width="11.375" style="270" bestFit="1" customWidth="1"/>
    <col min="22" max="22" width="7.625" style="270" bestFit="1" customWidth="1"/>
    <col min="23" max="23" width="9.625" style="270" bestFit="1" customWidth="1"/>
    <col min="24" max="24" width="7.125" style="270" bestFit="1" customWidth="1"/>
    <col min="25" max="26" width="8.125" style="270" bestFit="1" customWidth="1"/>
    <col min="27" max="27" width="9.625" style="270" bestFit="1" customWidth="1"/>
    <col min="28" max="28" width="6.375" style="270" bestFit="1" customWidth="1"/>
    <col min="29" max="29" width="1.625" style="2" customWidth="1"/>
    <col min="30" max="30" width="9" style="2"/>
    <col min="31" max="31" width="12.875" style="58" bestFit="1" customWidth="1"/>
    <col min="32" max="33" width="9" style="1"/>
    <col min="34" max="34" width="4.625" style="1" customWidth="1"/>
    <col min="35" max="35" width="11" style="1" customWidth="1"/>
    <col min="36" max="36" width="13.625" style="1" customWidth="1"/>
    <col min="37" max="37" width="13.75" style="1" customWidth="1"/>
    <col min="38" max="38" width="7.625" style="1" bestFit="1" customWidth="1"/>
    <col min="39" max="39" width="10" style="1" customWidth="1"/>
    <col min="40" max="40" width="9" style="1"/>
    <col min="41" max="41" width="8" style="1" customWidth="1"/>
    <col min="42" max="42" width="5.875" style="1" customWidth="1"/>
    <col min="43" max="44" width="4.625" style="1" customWidth="1"/>
    <col min="45" max="45" width="11.5" style="1" customWidth="1"/>
    <col min="46" max="46" width="13.625" style="1" customWidth="1"/>
    <col min="47" max="47" width="13.75" style="1" customWidth="1"/>
    <col min="48" max="48" width="8.75" style="1" customWidth="1"/>
    <col min="49" max="49" width="10.75" style="1" customWidth="1"/>
    <col min="50" max="50" width="8.375" style="1" bestFit="1" customWidth="1"/>
    <col min="51" max="51" width="8" style="1" customWidth="1"/>
    <col min="52" max="52" width="9" style="1"/>
    <col min="53" max="53" width="6.875" style="1" customWidth="1"/>
    <col min="54" max="16384" width="9" style="1"/>
  </cols>
  <sheetData>
    <row r="1" spans="1:31" s="20" customFormat="1" ht="14.1" customHeight="1">
      <c r="A1" s="42" t="s">
        <v>334</v>
      </c>
      <c r="B1" s="42" t="s">
        <v>333</v>
      </c>
      <c r="C1" s="42" t="s">
        <v>332</v>
      </c>
      <c r="D1" s="42" t="s">
        <v>331</v>
      </c>
      <c r="E1" s="42" t="s">
        <v>330</v>
      </c>
      <c r="F1" s="42" t="s">
        <v>329</v>
      </c>
      <c r="H1" s="28" t="s">
        <v>328</v>
      </c>
      <c r="J1" s="13" t="s">
        <v>327</v>
      </c>
      <c r="L1" s="53" t="s">
        <v>261</v>
      </c>
      <c r="M1" s="28" t="s">
        <v>260</v>
      </c>
      <c r="O1" s="53" t="s">
        <v>261</v>
      </c>
      <c r="P1" s="28" t="s">
        <v>260</v>
      </c>
      <c r="R1" s="32" t="s">
        <v>326</v>
      </c>
      <c r="S1" s="265" t="s">
        <v>325</v>
      </c>
      <c r="T1" s="268" t="s">
        <v>324</v>
      </c>
      <c r="U1" s="268" t="s">
        <v>323</v>
      </c>
      <c r="V1" s="268" t="s">
        <v>322</v>
      </c>
      <c r="W1" s="268" t="s">
        <v>321</v>
      </c>
      <c r="X1" s="268" t="s">
        <v>320</v>
      </c>
      <c r="Y1" s="268" t="s">
        <v>319</v>
      </c>
      <c r="Z1" s="268" t="s">
        <v>318</v>
      </c>
      <c r="AA1" s="268" t="s">
        <v>317</v>
      </c>
      <c r="AB1" s="268" t="s">
        <v>316</v>
      </c>
      <c r="AC1" s="2"/>
      <c r="AD1" s="52" t="s">
        <v>315</v>
      </c>
      <c r="AE1" s="54" t="s">
        <v>261</v>
      </c>
    </row>
    <row r="2" spans="1:31" s="20" customFormat="1" ht="14.1" customHeight="1">
      <c r="A2" s="39" t="s">
        <v>314</v>
      </c>
      <c r="B2" s="44" t="s">
        <v>308</v>
      </c>
      <c r="C2" s="44"/>
      <c r="D2" s="44"/>
      <c r="E2" s="44"/>
      <c r="F2" s="44"/>
      <c r="H2" s="51" t="s">
        <v>313</v>
      </c>
      <c r="J2" s="13" t="s">
        <v>312</v>
      </c>
      <c r="L2" s="50" t="s">
        <v>305</v>
      </c>
      <c r="M2" s="41">
        <v>960</v>
      </c>
      <c r="O2" s="50" t="s">
        <v>311</v>
      </c>
      <c r="P2" s="41">
        <v>3000</v>
      </c>
      <c r="R2" s="32">
        <v>2024</v>
      </c>
      <c r="S2" s="265">
        <v>1</v>
      </c>
      <c r="T2" s="268" cm="1">
        <f t="array" ref="T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64800</v>
      </c>
      <c r="U2" s="268" cm="1">
        <f t="array" ref="U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45550</v>
      </c>
      <c r="V2" s="268" cm="1">
        <f t="array" ref="V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16671</v>
      </c>
      <c r="W2" s="268">
        <f>순이익표[[#This Row],[순이익]]-(순이익표[[#This Row],[순이익]]/10)</f>
        <v>15003.9</v>
      </c>
      <c r="X2" s="268">
        <f t="shared" ref="X2:X37" si="0">IFERROR(0-(1-($T3/$T2)),"")</f>
        <v>-1</v>
      </c>
      <c r="Y2" s="268">
        <f t="shared" ref="Y2:Y37" si="1">IFERROR(0-(1-($U3/$U2)),"")</f>
        <v>-1</v>
      </c>
      <c r="Z2" s="268">
        <f t="shared" ref="Z2:Z37" si="2">IFERROR(0-(1-($W3/$W2)),"")</f>
        <v>-1</v>
      </c>
      <c r="AA2" s="268" cm="1">
        <f t="array" ref="AA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5500</v>
      </c>
      <c r="AB2" s="268">
        <f t="shared" ref="AB2:AB37" si="3">IFERROR(0-(1-($AA3/$AA2)),"")</f>
        <v>-1</v>
      </c>
      <c r="AC2" s="2"/>
      <c r="AD2" s="4" t="s">
        <v>310</v>
      </c>
      <c r="AE2" s="55" t="s">
        <v>305</v>
      </c>
    </row>
    <row r="3" spans="1:31" s="20" customFormat="1" ht="14.1" customHeight="1">
      <c r="A3" s="39" t="s">
        <v>309</v>
      </c>
      <c r="B3" s="44" t="s">
        <v>308</v>
      </c>
      <c r="C3" s="44"/>
      <c r="D3" s="44"/>
      <c r="E3" s="44"/>
      <c r="F3" s="44"/>
      <c r="H3" s="49" t="s">
        <v>307</v>
      </c>
      <c r="J3" s="13" t="s">
        <v>306</v>
      </c>
      <c r="L3" s="13" t="s">
        <v>299</v>
      </c>
      <c r="M3" s="41">
        <v>1650</v>
      </c>
      <c r="O3" s="13" t="s">
        <v>305</v>
      </c>
      <c r="P3" s="41">
        <v>3500</v>
      </c>
      <c r="R3" s="32">
        <v>2024</v>
      </c>
      <c r="S3" s="265">
        <v>2</v>
      </c>
      <c r="T3" s="268" cm="1">
        <f t="array" ref="T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" s="268" cm="1">
        <f t="array" ref="U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" s="268" cm="1">
        <f t="array" ref="V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" s="268">
        <f>순이익표[[#This Row],[순이익]]-(순이익표[[#This Row],[순이익]]/10)</f>
        <v>0</v>
      </c>
      <c r="X3" s="268" t="str">
        <f t="shared" si="0"/>
        <v/>
      </c>
      <c r="Y3" s="268" t="str">
        <f t="shared" si="1"/>
        <v/>
      </c>
      <c r="Z3" s="268" t="str">
        <f t="shared" si="2"/>
        <v/>
      </c>
      <c r="AA3" s="268" cm="1">
        <f t="array" ref="AA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" s="268" t="str">
        <f t="shared" si="3"/>
        <v/>
      </c>
      <c r="AC3" s="2"/>
      <c r="AD3" s="4" t="s">
        <v>304</v>
      </c>
      <c r="AE3" s="55" t="s">
        <v>303</v>
      </c>
    </row>
    <row r="4" spans="1:31" s="20" customFormat="1" ht="14.1" customHeight="1">
      <c r="A4" s="39" t="s">
        <v>302</v>
      </c>
      <c r="B4" s="20" t="s">
        <v>301</v>
      </c>
      <c r="C4" s="44"/>
      <c r="D4" s="44"/>
      <c r="E4" s="44"/>
      <c r="F4" s="44"/>
      <c r="H4" s="47" t="s">
        <v>123</v>
      </c>
      <c r="J4" s="13" t="s">
        <v>300</v>
      </c>
      <c r="L4" s="13" t="s">
        <v>292</v>
      </c>
      <c r="M4" s="41">
        <v>1925</v>
      </c>
      <c r="O4" s="13" t="s">
        <v>299</v>
      </c>
      <c r="P4" s="41">
        <v>4400</v>
      </c>
      <c r="R4" s="32">
        <v>2024</v>
      </c>
      <c r="S4" s="265">
        <v>3</v>
      </c>
      <c r="T4" s="269" cm="1">
        <f t="array" ref="T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4" s="269" cm="1">
        <f t="array" ref="U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4" s="269" cm="1">
        <f t="array" ref="V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4" s="269">
        <f>순이익표[[#This Row],[순이익]]-(순이익표[[#This Row],[순이익]]/10)</f>
        <v>0</v>
      </c>
      <c r="X4" s="268" t="str">
        <f t="shared" si="0"/>
        <v/>
      </c>
      <c r="Y4" s="268" t="str">
        <f t="shared" si="1"/>
        <v/>
      </c>
      <c r="Z4" s="268" t="str">
        <f t="shared" si="2"/>
        <v/>
      </c>
      <c r="AA4" s="269" cm="1">
        <f t="array" ref="AA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4" s="268" t="str">
        <f t="shared" si="3"/>
        <v/>
      </c>
      <c r="AC4" s="2"/>
      <c r="AD4" s="4" t="s">
        <v>298</v>
      </c>
      <c r="AE4" s="55" t="s">
        <v>297</v>
      </c>
    </row>
    <row r="5" spans="1:31" s="20" customFormat="1" ht="14.1" customHeight="1">
      <c r="A5" s="39" t="s">
        <v>296</v>
      </c>
      <c r="B5" s="48" t="s">
        <v>295</v>
      </c>
      <c r="C5" s="44"/>
      <c r="D5" s="44"/>
      <c r="E5" s="44"/>
      <c r="F5" s="44"/>
      <c r="H5" s="47" t="s">
        <v>116</v>
      </c>
      <c r="J5" s="13" t="s">
        <v>294</v>
      </c>
      <c r="L5" s="13" t="s">
        <v>293</v>
      </c>
      <c r="M5" s="41">
        <v>1725</v>
      </c>
      <c r="O5" s="13" t="s">
        <v>292</v>
      </c>
      <c r="P5" s="41">
        <v>5500</v>
      </c>
      <c r="R5" s="32">
        <v>2024</v>
      </c>
      <c r="S5" s="265">
        <v>4</v>
      </c>
      <c r="T5" s="269" cm="1">
        <f t="array" ref="T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5" s="269" cm="1">
        <f t="array" ref="U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5" s="269" cm="1">
        <f t="array" ref="V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5" s="269">
        <f>순이익표[[#This Row],[순이익]]-(순이익표[[#This Row],[순이익]]/10)</f>
        <v>0</v>
      </c>
      <c r="X5" s="268" t="str">
        <f t="shared" si="0"/>
        <v/>
      </c>
      <c r="Y5" s="268" t="str">
        <f t="shared" si="1"/>
        <v/>
      </c>
      <c r="Z5" s="268" t="str">
        <f t="shared" si="2"/>
        <v/>
      </c>
      <c r="AA5" s="269" cm="1">
        <f t="array" ref="AA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5" s="268" t="str">
        <f t="shared" si="3"/>
        <v/>
      </c>
      <c r="AC5" s="2"/>
      <c r="AD5" s="4" t="s">
        <v>291</v>
      </c>
      <c r="AE5" s="55" t="s">
        <v>290</v>
      </c>
    </row>
    <row r="6" spans="1:31" s="20" customFormat="1" ht="14.1" customHeight="1">
      <c r="A6" s="39" t="s">
        <v>289</v>
      </c>
      <c r="B6" s="321" t="s">
        <v>2108</v>
      </c>
      <c r="C6" s="44"/>
      <c r="D6" s="44"/>
      <c r="E6" s="44"/>
      <c r="F6" s="44"/>
      <c r="H6" s="47" t="s">
        <v>113</v>
      </c>
      <c r="J6" s="13" t="s">
        <v>288</v>
      </c>
      <c r="L6" s="13" t="s">
        <v>311</v>
      </c>
      <c r="M6" s="41">
        <v>300</v>
      </c>
      <c r="O6" s="13" t="s">
        <v>287</v>
      </c>
      <c r="P6" s="41">
        <v>5700</v>
      </c>
      <c r="R6" s="32">
        <v>2024</v>
      </c>
      <c r="S6" s="265">
        <v>5</v>
      </c>
      <c r="T6" s="269" cm="1">
        <f t="array" ref="T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510610</v>
      </c>
      <c r="U6" s="269" cm="1">
        <f t="array" ref="U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345470</v>
      </c>
      <c r="V6" s="269" cm="1">
        <f t="array" ref="V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135196</v>
      </c>
      <c r="W6" s="269">
        <f>순이익표[[#This Row],[순이익]]-(순이익표[[#This Row],[순이익]]/10)</f>
        <v>121676.4</v>
      </c>
      <c r="X6" s="268">
        <f t="shared" si="0"/>
        <v>3.4538493174830105</v>
      </c>
      <c r="Y6" s="268">
        <f t="shared" si="1"/>
        <v>3.5625756216169275</v>
      </c>
      <c r="Z6" s="268">
        <f t="shared" si="2"/>
        <v>2.9458785762892394</v>
      </c>
      <c r="AA6" s="269" cm="1">
        <f t="array" ref="AA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150980</v>
      </c>
      <c r="AB6" s="268">
        <f t="shared" si="3"/>
        <v>9.3464697310902114</v>
      </c>
      <c r="AC6" s="2"/>
      <c r="AD6" s="4" t="s">
        <v>286</v>
      </c>
      <c r="AE6" s="55" t="s">
        <v>285</v>
      </c>
    </row>
    <row r="7" spans="1:31" s="20" customFormat="1" ht="14.1" customHeight="1">
      <c r="A7" s="107" t="s">
        <v>284</v>
      </c>
      <c r="B7" s="321" t="s">
        <v>833</v>
      </c>
      <c r="J7" s="13" t="s">
        <v>283</v>
      </c>
      <c r="L7" s="13" t="s">
        <v>282</v>
      </c>
      <c r="M7" s="41">
        <v>0</v>
      </c>
      <c r="O7" s="13" t="s">
        <v>281</v>
      </c>
      <c r="P7" s="41">
        <v>17000</v>
      </c>
      <c r="R7" s="32">
        <v>2024</v>
      </c>
      <c r="S7" s="265">
        <v>6</v>
      </c>
      <c r="T7" s="269" cm="1">
        <f t="array" ref="T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2274180</v>
      </c>
      <c r="U7" s="269" cm="1">
        <f t="array" ref="U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1576233</v>
      </c>
      <c r="V7" s="269" cm="1">
        <f t="array" ref="V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533467</v>
      </c>
      <c r="W7" s="269">
        <f>순이익표[[#This Row],[순이익]]-(순이익표[[#This Row],[순이익]]/10)</f>
        <v>480120.3</v>
      </c>
      <c r="X7" s="268">
        <f t="shared" si="0"/>
        <v>-1</v>
      </c>
      <c r="Y7" s="268">
        <f t="shared" si="1"/>
        <v>-1</v>
      </c>
      <c r="Z7" s="268">
        <f t="shared" si="2"/>
        <v>-1</v>
      </c>
      <c r="AA7" s="269" cm="1">
        <f t="array" ref="AA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1562110</v>
      </c>
      <c r="AB7" s="268">
        <f t="shared" si="3"/>
        <v>-1</v>
      </c>
      <c r="AC7" s="2"/>
      <c r="AD7" s="4" t="s">
        <v>280</v>
      </c>
      <c r="AE7" s="55" t="s">
        <v>279</v>
      </c>
    </row>
    <row r="8" spans="1:31" s="20" customFormat="1" ht="14.1" customHeight="1">
      <c r="A8" s="39" t="s">
        <v>278</v>
      </c>
      <c r="B8" s="39" t="s">
        <v>277</v>
      </c>
      <c r="C8" s="44"/>
      <c r="D8" s="44"/>
      <c r="E8" s="44"/>
      <c r="F8" s="44"/>
      <c r="J8" s="13" t="s">
        <v>276</v>
      </c>
      <c r="O8" s="13" t="s">
        <v>248</v>
      </c>
      <c r="P8" s="41">
        <v>0</v>
      </c>
      <c r="R8" s="32">
        <v>2024</v>
      </c>
      <c r="S8" s="265">
        <v>7</v>
      </c>
      <c r="T8" s="269" cm="1">
        <f t="array" ref="T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8" s="269" cm="1">
        <f t="array" ref="U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8" s="269" cm="1">
        <f t="array" ref="V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8" s="269">
        <f>순이익표[[#This Row],[순이익]]-(순이익표[[#This Row],[순이익]]/10)</f>
        <v>0</v>
      </c>
      <c r="X8" s="268" t="str">
        <f t="shared" si="0"/>
        <v/>
      </c>
      <c r="Y8" s="268" t="str">
        <f t="shared" si="1"/>
        <v/>
      </c>
      <c r="Z8" s="268" t="str">
        <f t="shared" si="2"/>
        <v/>
      </c>
      <c r="AA8" s="269" cm="1">
        <f t="array" ref="AA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8" s="268" t="str">
        <f t="shared" si="3"/>
        <v/>
      </c>
      <c r="AC8" s="2"/>
      <c r="AD8" s="4" t="s">
        <v>275</v>
      </c>
      <c r="AE8" s="55" t="s">
        <v>274</v>
      </c>
    </row>
    <row r="9" spans="1:31" s="20" customFormat="1" ht="14.1" customHeight="1">
      <c r="A9" s="39" t="s">
        <v>273</v>
      </c>
      <c r="B9" s="46" t="s">
        <v>2107</v>
      </c>
      <c r="C9" s="44" t="str">
        <f>"v"&amp;B9</f>
        <v>v8.0.3</v>
      </c>
      <c r="D9" s="44"/>
      <c r="E9" s="44"/>
      <c r="F9" s="44"/>
      <c r="J9" s="13" t="s">
        <v>272</v>
      </c>
      <c r="O9" s="13" t="s">
        <v>244</v>
      </c>
      <c r="P9" s="41">
        <v>0</v>
      </c>
      <c r="R9" s="32">
        <v>2024</v>
      </c>
      <c r="S9" s="265">
        <v>8</v>
      </c>
      <c r="T9" s="269" cm="1">
        <f t="array" ref="T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9" s="269" cm="1">
        <f t="array" ref="U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9" s="269" cm="1">
        <f t="array" ref="V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9" s="269">
        <f>순이익표[[#This Row],[순이익]]-(순이익표[[#This Row],[순이익]]/10)</f>
        <v>0</v>
      </c>
      <c r="X9" s="268" t="str">
        <f t="shared" si="0"/>
        <v/>
      </c>
      <c r="Y9" s="268" t="str">
        <f t="shared" si="1"/>
        <v/>
      </c>
      <c r="Z9" s="268" t="str">
        <f t="shared" si="2"/>
        <v/>
      </c>
      <c r="AA9" s="269" cm="1">
        <f t="array" ref="AA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9" s="268" t="str">
        <f t="shared" si="3"/>
        <v/>
      </c>
      <c r="AC9" s="2"/>
      <c r="AD9" s="4" t="s">
        <v>271</v>
      </c>
      <c r="AE9" s="55" t="s">
        <v>270</v>
      </c>
    </row>
    <row r="10" spans="1:31" s="20" customFormat="1" ht="14.1" customHeight="1">
      <c r="A10" s="39" t="s">
        <v>269</v>
      </c>
      <c r="B10" s="45">
        <v>45471</v>
      </c>
      <c r="C10" s="44"/>
      <c r="D10" s="44"/>
      <c r="E10" s="44"/>
      <c r="F10" s="44"/>
      <c r="J10" s="13" t="s">
        <v>268</v>
      </c>
      <c r="O10" s="13" t="s">
        <v>267</v>
      </c>
      <c r="P10" s="41">
        <v>5700</v>
      </c>
      <c r="R10" s="32">
        <v>2024</v>
      </c>
      <c r="S10" s="265">
        <v>9</v>
      </c>
      <c r="T10" s="269" cm="1">
        <f t="array" ref="T1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0" s="269" cm="1">
        <f t="array" ref="U1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0" s="269" cm="1">
        <f t="array" ref="V1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0" s="269">
        <f>순이익표[[#This Row],[순이익]]-(순이익표[[#This Row],[순이익]]/10)</f>
        <v>0</v>
      </c>
      <c r="X10" s="268" t="str">
        <f t="shared" si="0"/>
        <v/>
      </c>
      <c r="Y10" s="268" t="str">
        <f t="shared" si="1"/>
        <v/>
      </c>
      <c r="Z10" s="268" t="str">
        <f t="shared" si="2"/>
        <v/>
      </c>
      <c r="AA10" s="269" cm="1">
        <f t="array" ref="AA1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0" s="268" t="str">
        <f t="shared" si="3"/>
        <v/>
      </c>
      <c r="AC10" s="2"/>
      <c r="AD10" s="4" t="s">
        <v>266</v>
      </c>
      <c r="AE10" s="55" t="s">
        <v>265</v>
      </c>
    </row>
    <row r="11" spans="1:31" s="20" customFormat="1" ht="14.1" customHeight="1">
      <c r="A11" s="43" t="s">
        <v>264</v>
      </c>
      <c r="B11" s="42" t="s">
        <v>263</v>
      </c>
      <c r="C11" s="42"/>
      <c r="D11" s="42"/>
      <c r="E11" s="42"/>
      <c r="F11" s="42"/>
      <c r="J11" s="13" t="s">
        <v>262</v>
      </c>
      <c r="L11" s="28" t="s">
        <v>261</v>
      </c>
      <c r="M11" s="28" t="s">
        <v>260</v>
      </c>
      <c r="O11" s="13" t="s">
        <v>259</v>
      </c>
      <c r="P11" s="41">
        <v>13000</v>
      </c>
      <c r="R11" s="32">
        <v>2024</v>
      </c>
      <c r="S11" s="265">
        <v>10</v>
      </c>
      <c r="T11" s="269" cm="1">
        <f t="array" ref="T1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1" s="269" cm="1">
        <f t="array" ref="U1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1" s="269" cm="1">
        <f t="array" ref="V1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1" s="269">
        <f>순이익표[[#This Row],[순이익]]-(순이익표[[#This Row],[순이익]]/10)</f>
        <v>0</v>
      </c>
      <c r="X11" s="268" t="str">
        <f t="shared" si="0"/>
        <v/>
      </c>
      <c r="Y11" s="268" t="str">
        <f t="shared" si="1"/>
        <v/>
      </c>
      <c r="Z11" s="268" t="str">
        <f t="shared" si="2"/>
        <v/>
      </c>
      <c r="AA11" s="269" cm="1">
        <f t="array" ref="AA1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1" s="268" t="str">
        <f t="shared" si="3"/>
        <v/>
      </c>
      <c r="AC11" s="2"/>
      <c r="AD11" s="4" t="s">
        <v>258</v>
      </c>
      <c r="AE11" s="55" t="s">
        <v>257</v>
      </c>
    </row>
    <row r="12" spans="1:31" s="20" customFormat="1" ht="14.1" customHeight="1">
      <c r="A12" s="39" t="s">
        <v>256</v>
      </c>
      <c r="B12" s="39" t="s">
        <v>255</v>
      </c>
      <c r="C12" s="40">
        <v>1</v>
      </c>
      <c r="D12" s="39"/>
      <c r="E12" s="39"/>
      <c r="F12" s="39"/>
      <c r="J12" s="13" t="s">
        <v>254</v>
      </c>
      <c r="L12" s="13" t="s">
        <v>253</v>
      </c>
      <c r="M12" s="33">
        <v>3000</v>
      </c>
      <c r="R12" s="32">
        <v>2024</v>
      </c>
      <c r="S12" s="265">
        <v>11</v>
      </c>
      <c r="T12" s="269" cm="1">
        <f t="array" ref="T1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2" s="269" cm="1">
        <f t="array" ref="U1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2" s="269" cm="1">
        <f t="array" ref="V1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2" s="269">
        <f>순이익표[[#This Row],[순이익]]-(순이익표[[#This Row],[순이익]]/10)</f>
        <v>0</v>
      </c>
      <c r="X12" s="268" t="str">
        <f t="shared" si="0"/>
        <v/>
      </c>
      <c r="Y12" s="268" t="str">
        <f t="shared" si="1"/>
        <v/>
      </c>
      <c r="Z12" s="268" t="str">
        <f t="shared" si="2"/>
        <v/>
      </c>
      <c r="AA12" s="269" cm="1">
        <f t="array" ref="AA1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2" s="268" t="str">
        <f t="shared" si="3"/>
        <v/>
      </c>
      <c r="AC12" s="2"/>
      <c r="AD12" s="38" t="s">
        <v>252</v>
      </c>
      <c r="AE12" s="55"/>
    </row>
    <row r="13" spans="1:31" s="20" customFormat="1" ht="14.1" customHeight="1">
      <c r="C13" s="34"/>
      <c r="L13" s="13" t="s">
        <v>251</v>
      </c>
      <c r="M13" s="33">
        <v>2500</v>
      </c>
      <c r="R13" s="32">
        <v>2024</v>
      </c>
      <c r="S13" s="265">
        <v>12</v>
      </c>
      <c r="T13" s="269" cm="1">
        <f t="array" ref="T1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3" s="269" cm="1">
        <f t="array" ref="U1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3" s="269" cm="1">
        <f t="array" ref="V1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3" s="269">
        <f>순이익표[[#This Row],[순이익]]-(순이익표[[#This Row],[순이익]]/10)</f>
        <v>0</v>
      </c>
      <c r="X13" s="268" t="str">
        <f t="shared" si="0"/>
        <v/>
      </c>
      <c r="Y13" s="268" t="str">
        <f t="shared" si="1"/>
        <v/>
      </c>
      <c r="Z13" s="268" t="str">
        <f t="shared" si="2"/>
        <v/>
      </c>
      <c r="AA13" s="269" cm="1">
        <f t="array" ref="AA1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3" s="268" t="str">
        <f t="shared" si="3"/>
        <v/>
      </c>
      <c r="AC13" s="2"/>
      <c r="AD13" s="37" t="s">
        <v>250</v>
      </c>
      <c r="AE13" s="55"/>
    </row>
    <row r="14" spans="1:31" s="20" customFormat="1" ht="14.1" customHeight="1">
      <c r="A14" s="35" t="s">
        <v>249</v>
      </c>
      <c r="B14" s="35" t="str" cm="1">
        <f t="array" aca="1" ref="B14" ca="1">LEFT(CELL("filename",$A$1),FIND("[",CELL("filename",$A$1),1)-1)</f>
        <v>N:\개인\$$ 셀러 프로젝트(제원이네)\■ 엑셀 모음\엑셀작업\v8\</v>
      </c>
      <c r="C14" s="36"/>
      <c r="D14" s="35"/>
      <c r="E14" s="35"/>
      <c r="F14" s="35"/>
      <c r="L14" s="13" t="s">
        <v>248</v>
      </c>
      <c r="M14" s="33">
        <v>0</v>
      </c>
      <c r="R14" s="5">
        <v>2025</v>
      </c>
      <c r="S14" s="266">
        <v>1</v>
      </c>
      <c r="T14" s="269" cm="1">
        <f t="array" ref="T1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4" s="269" cm="1">
        <f t="array" ref="U1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4" s="269" cm="1">
        <f t="array" ref="V1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4" s="269">
        <f>순이익표[[#This Row],[순이익]]-(순이익표[[#This Row],[순이익]]/10)</f>
        <v>0</v>
      </c>
      <c r="X14" s="268" t="str">
        <f t="shared" si="0"/>
        <v/>
      </c>
      <c r="Y14" s="268" t="str">
        <f t="shared" si="1"/>
        <v/>
      </c>
      <c r="Z14" s="268" t="str">
        <f t="shared" si="2"/>
        <v/>
      </c>
      <c r="AA14" s="269" cm="1">
        <f t="array" ref="AA1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4" s="268" t="str">
        <f t="shared" si="3"/>
        <v/>
      </c>
      <c r="AC14" s="2"/>
      <c r="AD14" s="4" t="s">
        <v>247</v>
      </c>
      <c r="AE14" s="55" t="s">
        <v>246</v>
      </c>
    </row>
    <row r="15" spans="1:31" s="20" customFormat="1" ht="14.1" customHeight="1">
      <c r="A15" s="20" t="s">
        <v>245</v>
      </c>
      <c r="C15" s="34"/>
      <c r="L15" s="13" t="s">
        <v>244</v>
      </c>
      <c r="M15" s="33">
        <v>0</v>
      </c>
      <c r="R15" s="5">
        <v>2025</v>
      </c>
      <c r="S15" s="266">
        <v>2</v>
      </c>
      <c r="T15" s="269" cm="1">
        <f t="array" ref="T1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5" s="269" cm="1">
        <f t="array" ref="U1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5" s="269" cm="1">
        <f t="array" ref="V1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5" s="269">
        <f>순이익표[[#This Row],[순이익]]-(순이익표[[#This Row],[순이익]]/10)</f>
        <v>0</v>
      </c>
      <c r="X15" s="268" t="str">
        <f t="shared" si="0"/>
        <v/>
      </c>
      <c r="Y15" s="268" t="str">
        <f t="shared" si="1"/>
        <v/>
      </c>
      <c r="Z15" s="268" t="str">
        <f t="shared" si="2"/>
        <v/>
      </c>
      <c r="AA15" s="269" cm="1">
        <f t="array" ref="AA1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5" s="268" t="str">
        <f t="shared" si="3"/>
        <v/>
      </c>
      <c r="AC15" s="2"/>
      <c r="AD15" s="4" t="s">
        <v>243</v>
      </c>
      <c r="AE15" s="55" t="s">
        <v>242</v>
      </c>
    </row>
    <row r="16" spans="1:31" s="20" customFormat="1" ht="14.1" customHeight="1">
      <c r="A16" s="20" t="s">
        <v>241</v>
      </c>
      <c r="B16" s="20" t="str">
        <f ca="1">IF(B15="",B14,B15)</f>
        <v>N:\개인\$$ 셀러 프로젝트(제원이네)\■ 엑셀 모음\엑셀작업\v8\</v>
      </c>
      <c r="C16" s="32"/>
      <c r="R16" s="5">
        <v>2025</v>
      </c>
      <c r="S16" s="266">
        <v>3</v>
      </c>
      <c r="T16" s="269" cm="1">
        <f t="array" ref="T1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6" s="269" cm="1">
        <f t="array" ref="U1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6" s="269" cm="1">
        <f t="array" ref="V1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6" s="269">
        <f>순이익표[[#This Row],[순이익]]-(순이익표[[#This Row],[순이익]]/10)</f>
        <v>0</v>
      </c>
      <c r="X16" s="268" t="str">
        <f t="shared" si="0"/>
        <v/>
      </c>
      <c r="Y16" s="268" t="str">
        <f t="shared" si="1"/>
        <v/>
      </c>
      <c r="Z16" s="268" t="str">
        <f t="shared" si="2"/>
        <v/>
      </c>
      <c r="AA16" s="269" cm="1">
        <f t="array" ref="AA1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6" s="268" t="str">
        <f t="shared" si="3"/>
        <v/>
      </c>
      <c r="AC16" s="2"/>
      <c r="AD16" s="4" t="s">
        <v>240</v>
      </c>
      <c r="AE16" s="55" t="s">
        <v>239</v>
      </c>
    </row>
    <row r="17" spans="1:31" ht="14.1" customHeight="1">
      <c r="A17" s="20"/>
      <c r="B17" s="20"/>
      <c r="C17" s="20"/>
      <c r="D17" s="20"/>
      <c r="E17" s="20"/>
      <c r="F17" s="20"/>
      <c r="R17" s="5">
        <v>2025</v>
      </c>
      <c r="S17" s="266">
        <v>4</v>
      </c>
      <c r="T17" s="269" cm="1">
        <f t="array" ref="T1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7" s="269" cm="1">
        <f t="array" ref="U1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7" s="269" cm="1">
        <f t="array" ref="V1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7" s="269">
        <f>순이익표[[#This Row],[순이익]]-(순이익표[[#This Row],[순이익]]/10)</f>
        <v>0</v>
      </c>
      <c r="X17" s="268" t="str">
        <f t="shared" si="0"/>
        <v/>
      </c>
      <c r="Y17" s="268" t="str">
        <f t="shared" si="1"/>
        <v/>
      </c>
      <c r="Z17" s="268" t="str">
        <f t="shared" si="2"/>
        <v/>
      </c>
      <c r="AA17" s="269" cm="1">
        <f t="array" ref="AA1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7" s="268" t="str">
        <f t="shared" si="3"/>
        <v/>
      </c>
      <c r="AD17" s="4" t="s">
        <v>238</v>
      </c>
      <c r="AE17" s="55" t="s">
        <v>237</v>
      </c>
    </row>
    <row r="18" spans="1:31" ht="14.1" customHeight="1">
      <c r="A18" s="31" t="s">
        <v>236</v>
      </c>
      <c r="B18" s="31" t="s">
        <v>235</v>
      </c>
      <c r="C18" s="30"/>
      <c r="D18" s="30"/>
      <c r="E18" s="30"/>
      <c r="F18" s="30"/>
      <c r="H18" s="24" t="s">
        <v>130</v>
      </c>
      <c r="J18" s="29" t="s">
        <v>234</v>
      </c>
      <c r="L18" s="28" t="s">
        <v>233</v>
      </c>
      <c r="M18" s="27" t="s">
        <v>232</v>
      </c>
      <c r="R18" s="5">
        <v>2025</v>
      </c>
      <c r="S18" s="266">
        <v>5</v>
      </c>
      <c r="T18" s="269" cm="1">
        <f t="array" ref="T1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8" s="269" cm="1">
        <f t="array" ref="U1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8" s="269" cm="1">
        <f t="array" ref="V1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8" s="269">
        <f>순이익표[[#This Row],[순이익]]-(순이익표[[#This Row],[순이익]]/10)</f>
        <v>0</v>
      </c>
      <c r="X18" s="268" t="str">
        <f t="shared" si="0"/>
        <v/>
      </c>
      <c r="Y18" s="268" t="str">
        <f t="shared" si="1"/>
        <v/>
      </c>
      <c r="Z18" s="268" t="str">
        <f t="shared" si="2"/>
        <v/>
      </c>
      <c r="AA18" s="269" cm="1">
        <f t="array" ref="AA1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8" s="268" t="str">
        <f t="shared" si="3"/>
        <v/>
      </c>
      <c r="AD18" s="4" t="s">
        <v>231</v>
      </c>
      <c r="AE18" s="55" t="s">
        <v>230</v>
      </c>
    </row>
    <row r="19" spans="1:31" ht="14.1" customHeight="1">
      <c r="A19" s="26" t="s">
        <v>229</v>
      </c>
      <c r="B19" s="25" t="s">
        <v>228</v>
      </c>
      <c r="H19" s="24" t="s">
        <v>126</v>
      </c>
      <c r="J19" s="3" t="s">
        <v>227</v>
      </c>
      <c r="L19" s="13" t="s">
        <v>226</v>
      </c>
      <c r="M19" s="21" t="s">
        <v>225</v>
      </c>
      <c r="R19" s="5">
        <v>2025</v>
      </c>
      <c r="S19" s="266">
        <v>6</v>
      </c>
      <c r="T19" s="269" cm="1">
        <f t="array" ref="T1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19" s="269" cm="1">
        <f t="array" ref="U1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19" s="269" cm="1">
        <f t="array" ref="V1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19" s="269">
        <f>순이익표[[#This Row],[순이익]]-(순이익표[[#This Row],[순이익]]/10)</f>
        <v>0</v>
      </c>
      <c r="X19" s="268" t="str">
        <f t="shared" si="0"/>
        <v/>
      </c>
      <c r="Y19" s="268" t="str">
        <f t="shared" si="1"/>
        <v/>
      </c>
      <c r="Z19" s="268" t="str">
        <f t="shared" si="2"/>
        <v/>
      </c>
      <c r="AA19" s="269" cm="1">
        <f t="array" ref="AA1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19" s="268" t="str">
        <f t="shared" si="3"/>
        <v/>
      </c>
      <c r="AD19" s="4" t="s">
        <v>224</v>
      </c>
      <c r="AE19" s="55" t="s">
        <v>223</v>
      </c>
    </row>
    <row r="20" spans="1:31" ht="14.1" customHeight="1">
      <c r="A20" s="26" t="s">
        <v>222</v>
      </c>
      <c r="B20" s="25" t="s">
        <v>221</v>
      </c>
      <c r="H20" s="24" t="s">
        <v>122</v>
      </c>
      <c r="J20" s="3" t="s">
        <v>220</v>
      </c>
      <c r="L20" s="13" t="s">
        <v>219</v>
      </c>
      <c r="M20" s="21" t="s">
        <v>218</v>
      </c>
      <c r="R20" s="5">
        <v>2025</v>
      </c>
      <c r="S20" s="266">
        <v>7</v>
      </c>
      <c r="T20" s="269" cm="1">
        <f t="array" ref="T2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0" s="269" cm="1">
        <f t="array" ref="U2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0" s="269" cm="1">
        <f t="array" ref="V2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0" s="269">
        <f>순이익표[[#This Row],[순이익]]-(순이익표[[#This Row],[순이익]]/10)</f>
        <v>0</v>
      </c>
      <c r="X20" s="268" t="str">
        <f t="shared" si="0"/>
        <v/>
      </c>
      <c r="Y20" s="268" t="str">
        <f t="shared" si="1"/>
        <v/>
      </c>
      <c r="Z20" s="268" t="str">
        <f t="shared" si="2"/>
        <v/>
      </c>
      <c r="AA20" s="269" cm="1">
        <f t="array" ref="AA2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0" s="268" t="str">
        <f t="shared" si="3"/>
        <v/>
      </c>
      <c r="AD20" s="4" t="s">
        <v>217</v>
      </c>
      <c r="AE20" s="55" t="s">
        <v>216</v>
      </c>
    </row>
    <row r="21" spans="1:31" ht="14.1" customHeight="1">
      <c r="A21" s="23" t="s">
        <v>215</v>
      </c>
      <c r="B21" s="22" t="s">
        <v>214</v>
      </c>
      <c r="L21" s="13" t="s">
        <v>213</v>
      </c>
      <c r="M21" s="21" t="s">
        <v>212</v>
      </c>
      <c r="R21" s="5">
        <v>2025</v>
      </c>
      <c r="S21" s="266">
        <v>8</v>
      </c>
      <c r="T21" s="269" cm="1">
        <f t="array" ref="T2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1" s="269" cm="1">
        <f t="array" ref="U2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1" s="269" cm="1">
        <f t="array" ref="V2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1" s="269">
        <f>순이익표[[#This Row],[순이익]]-(순이익표[[#This Row],[순이익]]/10)</f>
        <v>0</v>
      </c>
      <c r="X21" s="268" t="str">
        <f t="shared" si="0"/>
        <v/>
      </c>
      <c r="Y21" s="268" t="str">
        <f t="shared" si="1"/>
        <v/>
      </c>
      <c r="Z21" s="268" t="str">
        <f t="shared" si="2"/>
        <v/>
      </c>
      <c r="AA21" s="269" cm="1">
        <f t="array" ref="AA2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1" s="268" t="str">
        <f t="shared" si="3"/>
        <v/>
      </c>
      <c r="AD21" s="4" t="s">
        <v>211</v>
      </c>
      <c r="AE21" s="55" t="s">
        <v>210</v>
      </c>
    </row>
    <row r="22" spans="1:31" ht="14.1" customHeight="1">
      <c r="A22" s="20" t="s">
        <v>209</v>
      </c>
      <c r="B22" s="20" t="str">
        <f ca="1">WBPath&amp;B21&amp;B18</f>
        <v>N:\개인\$$ 셀러 프로젝트(제원이네)\■ 엑셀 모음\엑셀작업\v8\DB\vDB_se8_2023.accdb</v>
      </c>
      <c r="R22" s="5">
        <v>2025</v>
      </c>
      <c r="S22" s="266">
        <v>9</v>
      </c>
      <c r="T22" s="269" cm="1">
        <f t="array" ref="T2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2" s="269" cm="1">
        <f t="array" ref="U2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2" s="269" cm="1">
        <f t="array" ref="V2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2" s="269">
        <f>순이익표[[#This Row],[순이익]]-(순이익표[[#This Row],[순이익]]/10)</f>
        <v>0</v>
      </c>
      <c r="X22" s="268" t="str">
        <f t="shared" si="0"/>
        <v/>
      </c>
      <c r="Y22" s="268" t="str">
        <f t="shared" si="1"/>
        <v/>
      </c>
      <c r="Z22" s="268" t="str">
        <f t="shared" si="2"/>
        <v/>
      </c>
      <c r="AA22" s="269" cm="1">
        <f t="array" ref="AA2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2" s="268" t="str">
        <f t="shared" si="3"/>
        <v/>
      </c>
      <c r="AD22" s="4" t="s">
        <v>208</v>
      </c>
      <c r="AE22" s="55" t="s">
        <v>207</v>
      </c>
    </row>
    <row r="23" spans="1:31" ht="14.1" customHeight="1">
      <c r="R23" s="5">
        <v>2025</v>
      </c>
      <c r="S23" s="266">
        <v>10</v>
      </c>
      <c r="T23" s="269" cm="1">
        <f t="array" ref="T2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3" s="269" cm="1">
        <f t="array" ref="U2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3" s="269" cm="1">
        <f t="array" ref="V2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3" s="269">
        <f>순이익표[[#This Row],[순이익]]-(순이익표[[#This Row],[순이익]]/10)</f>
        <v>0</v>
      </c>
      <c r="X23" s="268" t="str">
        <f t="shared" si="0"/>
        <v/>
      </c>
      <c r="Y23" s="268" t="str">
        <f t="shared" si="1"/>
        <v/>
      </c>
      <c r="Z23" s="268" t="str">
        <f t="shared" si="2"/>
        <v/>
      </c>
      <c r="AA23" s="269" cm="1">
        <f t="array" ref="AA2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3" s="268" t="str">
        <f t="shared" si="3"/>
        <v/>
      </c>
      <c r="AD23" s="4" t="s">
        <v>206</v>
      </c>
      <c r="AE23" s="56" t="s">
        <v>205</v>
      </c>
    </row>
    <row r="24" spans="1:31" ht="14.1" customHeight="1">
      <c r="K24" s="311" t="s">
        <v>828</v>
      </c>
      <c r="L24" s="311"/>
      <c r="M24" s="311"/>
      <c r="R24" s="5">
        <v>2025</v>
      </c>
      <c r="S24" s="266">
        <v>11</v>
      </c>
      <c r="T24" s="269" cm="1">
        <f t="array" ref="T2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4" s="269" cm="1">
        <f t="array" ref="U2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4" s="269" cm="1">
        <f t="array" ref="V2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4" s="269">
        <f>순이익표[[#This Row],[순이익]]-(순이익표[[#This Row],[순이익]]/10)</f>
        <v>0</v>
      </c>
      <c r="X24" s="268" t="str">
        <f t="shared" si="0"/>
        <v/>
      </c>
      <c r="Y24" s="268" t="str">
        <f t="shared" si="1"/>
        <v/>
      </c>
      <c r="Z24" s="268" t="str">
        <f t="shared" si="2"/>
        <v/>
      </c>
      <c r="AA24" s="269" cm="1">
        <f t="array" ref="AA2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4" s="268" t="str">
        <f t="shared" si="3"/>
        <v/>
      </c>
      <c r="AD24" s="4" t="s">
        <v>204</v>
      </c>
      <c r="AE24" s="55" t="s">
        <v>203</v>
      </c>
    </row>
    <row r="25" spans="1:31" ht="14.1" customHeight="1">
      <c r="A25" s="300" t="s">
        <v>202</v>
      </c>
      <c r="B25" s="300"/>
      <c r="C25" s="300"/>
      <c r="D25" s="17"/>
      <c r="E25" s="17"/>
      <c r="F25" s="13">
        <v>1</v>
      </c>
      <c r="G25" s="17"/>
      <c r="H25" s="113" t="s">
        <v>201</v>
      </c>
      <c r="I25" s="113" t="s">
        <v>200</v>
      </c>
      <c r="J25" s="114" t="s">
        <v>199</v>
      </c>
      <c r="K25" s="114" t="s">
        <v>198</v>
      </c>
      <c r="L25" s="115" t="s">
        <v>197</v>
      </c>
      <c r="M25" s="115" t="s">
        <v>827</v>
      </c>
      <c r="O25" s="13" t="s">
        <v>196</v>
      </c>
      <c r="R25" s="5">
        <v>2025</v>
      </c>
      <c r="S25" s="266">
        <v>12</v>
      </c>
      <c r="T25" s="269" cm="1">
        <f t="array" ref="T2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5" s="269" cm="1">
        <f t="array" ref="U2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5" s="269" cm="1">
        <f t="array" ref="V2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5" s="269">
        <f>순이익표[[#This Row],[순이익]]-(순이익표[[#This Row],[순이익]]/10)</f>
        <v>0</v>
      </c>
      <c r="X25" s="268" t="str">
        <f t="shared" si="0"/>
        <v/>
      </c>
      <c r="Y25" s="268" t="str">
        <f t="shared" si="1"/>
        <v/>
      </c>
      <c r="Z25" s="268" t="str">
        <f t="shared" si="2"/>
        <v/>
      </c>
      <c r="AA25" s="269" cm="1">
        <f t="array" ref="AA2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5" s="268" t="str">
        <f t="shared" si="3"/>
        <v/>
      </c>
      <c r="AD25" s="4" t="s">
        <v>195</v>
      </c>
      <c r="AE25" s="55" t="s">
        <v>194</v>
      </c>
    </row>
    <row r="26" spans="1:31" ht="14.1" customHeight="1">
      <c r="A26" s="300" t="s">
        <v>193</v>
      </c>
      <c r="B26" s="300"/>
      <c r="C26" s="300"/>
      <c r="D26" s="17"/>
      <c r="E26" s="16"/>
      <c r="F26" s="19" t="s">
        <v>161</v>
      </c>
      <c r="G26" s="16"/>
      <c r="H26" s="116" t="s">
        <v>192</v>
      </c>
      <c r="I26" s="13">
        <v>1</v>
      </c>
      <c r="J26" s="112">
        <f>1.98%+2%</f>
        <v>3.9800000000000002E-2</v>
      </c>
      <c r="K26" s="112">
        <f>3.025%+2%</f>
        <v>5.0250000000000003E-2</v>
      </c>
      <c r="L26" s="112">
        <v>1.9699999999999999E-2</v>
      </c>
      <c r="M26" s="112">
        <v>2.9700000000000001E-2</v>
      </c>
      <c r="O26" s="13" t="s">
        <v>191</v>
      </c>
      <c r="R26" s="5">
        <v>2026</v>
      </c>
      <c r="S26" s="266">
        <v>1</v>
      </c>
      <c r="T26" s="269" cm="1">
        <f t="array" ref="T2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6" s="269" cm="1">
        <f t="array" ref="U2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6" s="269" cm="1">
        <f t="array" ref="V2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6" s="269">
        <f>순이익표[[#This Row],[순이익]]-(순이익표[[#This Row],[순이익]]/10)</f>
        <v>0</v>
      </c>
      <c r="X26" s="268" t="str">
        <f t="shared" si="0"/>
        <v/>
      </c>
      <c r="Y26" s="268" t="str">
        <f t="shared" si="1"/>
        <v/>
      </c>
      <c r="Z26" s="268" t="str">
        <f t="shared" si="2"/>
        <v/>
      </c>
      <c r="AA26" s="269" cm="1">
        <f t="array" ref="AA2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6" s="268" t="str">
        <f t="shared" si="3"/>
        <v/>
      </c>
      <c r="AD26" s="4" t="s">
        <v>190</v>
      </c>
      <c r="AE26" s="55" t="s">
        <v>189</v>
      </c>
    </row>
    <row r="27" spans="1:31" ht="14.1" customHeight="1">
      <c r="A27" s="300" t="s">
        <v>188</v>
      </c>
      <c r="B27" s="300"/>
      <c r="C27" s="300"/>
      <c r="D27" s="300"/>
      <c r="E27" s="16"/>
      <c r="F27" s="16"/>
      <c r="G27" s="16"/>
      <c r="H27" s="116" t="s">
        <v>187</v>
      </c>
      <c r="I27" s="13">
        <v>2</v>
      </c>
      <c r="J27" s="112">
        <v>0.108</v>
      </c>
      <c r="K27" s="112">
        <v>0.108</v>
      </c>
      <c r="L27" s="112">
        <v>3.3000000000000002E-2</v>
      </c>
      <c r="M27" s="112">
        <v>3.3000000000000002E-2</v>
      </c>
      <c r="O27" s="13" t="s">
        <v>186</v>
      </c>
      <c r="R27" s="5">
        <v>2026</v>
      </c>
      <c r="S27" s="266">
        <v>2</v>
      </c>
      <c r="T27" s="269" cm="1">
        <f t="array" ref="T2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7" s="269" cm="1">
        <f t="array" ref="U2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7" s="269" cm="1">
        <f t="array" ref="V2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7" s="269">
        <f>순이익표[[#This Row],[순이익]]-(순이익표[[#This Row],[순이익]]/10)</f>
        <v>0</v>
      </c>
      <c r="X27" s="268" t="str">
        <f t="shared" si="0"/>
        <v/>
      </c>
      <c r="Y27" s="268" t="str">
        <f t="shared" si="1"/>
        <v/>
      </c>
      <c r="Z27" s="268" t="str">
        <f t="shared" si="2"/>
        <v/>
      </c>
      <c r="AA27" s="269" cm="1">
        <f t="array" ref="AA2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7" s="268" t="str">
        <f t="shared" si="3"/>
        <v/>
      </c>
      <c r="AD27" s="4" t="s">
        <v>185</v>
      </c>
      <c r="AE27" s="55" t="s">
        <v>184</v>
      </c>
    </row>
    <row r="28" spans="1:31" ht="14.1" customHeight="1">
      <c r="A28" s="300" t="s">
        <v>183</v>
      </c>
      <c r="B28" s="300"/>
      <c r="C28" s="300"/>
      <c r="D28" s="300"/>
      <c r="E28" s="16"/>
      <c r="F28" s="18"/>
      <c r="G28" s="16"/>
      <c r="H28" s="13" t="s">
        <v>182</v>
      </c>
      <c r="I28" s="13">
        <v>3</v>
      </c>
      <c r="J28" s="112">
        <v>0</v>
      </c>
      <c r="K28" s="112">
        <v>0</v>
      </c>
      <c r="L28" s="112">
        <v>0</v>
      </c>
      <c r="M28" s="112">
        <v>0</v>
      </c>
      <c r="O28" s="13" t="s">
        <v>181</v>
      </c>
      <c r="R28" s="5">
        <v>2026</v>
      </c>
      <c r="S28" s="266">
        <v>3</v>
      </c>
      <c r="T28" s="269" cm="1">
        <f t="array" ref="T28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8" s="269" cm="1">
        <f t="array" ref="U28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8" s="269" cm="1">
        <f t="array" ref="V28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8" s="269">
        <f>순이익표[[#This Row],[순이익]]-(순이익표[[#This Row],[순이익]]/10)</f>
        <v>0</v>
      </c>
      <c r="X28" s="268" t="str">
        <f t="shared" si="0"/>
        <v/>
      </c>
      <c r="Y28" s="268" t="str">
        <f t="shared" si="1"/>
        <v/>
      </c>
      <c r="Z28" s="268" t="str">
        <f t="shared" si="2"/>
        <v/>
      </c>
      <c r="AA28" s="269" cm="1">
        <f t="array" ref="AA28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8" s="268" t="str">
        <f t="shared" si="3"/>
        <v/>
      </c>
      <c r="AD28" s="4" t="s">
        <v>180</v>
      </c>
      <c r="AE28" s="55" t="s">
        <v>179</v>
      </c>
    </row>
    <row r="29" spans="1:31" ht="14.1" customHeight="1">
      <c r="A29" s="300" t="s">
        <v>178</v>
      </c>
      <c r="B29" s="300"/>
      <c r="C29" s="300"/>
      <c r="D29" s="300"/>
      <c r="E29" s="17"/>
      <c r="F29" s="16"/>
      <c r="G29" s="16"/>
      <c r="H29" s="13" t="s">
        <v>177</v>
      </c>
      <c r="I29" s="13">
        <v>4</v>
      </c>
      <c r="J29" s="112">
        <v>0</v>
      </c>
      <c r="K29" s="112">
        <v>0</v>
      </c>
      <c r="L29" s="112">
        <v>0</v>
      </c>
      <c r="M29" s="112">
        <v>0</v>
      </c>
      <c r="R29" s="5">
        <v>2026</v>
      </c>
      <c r="S29" s="266">
        <v>4</v>
      </c>
      <c r="T29" s="269" cm="1">
        <f t="array" ref="T29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29" s="269" cm="1">
        <f t="array" ref="U29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29" s="269" cm="1">
        <f t="array" ref="V29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29" s="269">
        <f>순이익표[[#This Row],[순이익]]-(순이익표[[#This Row],[순이익]]/10)</f>
        <v>0</v>
      </c>
      <c r="X29" s="268" t="str">
        <f t="shared" si="0"/>
        <v/>
      </c>
      <c r="Y29" s="268" t="str">
        <f t="shared" si="1"/>
        <v/>
      </c>
      <c r="Z29" s="268" t="str">
        <f t="shared" si="2"/>
        <v/>
      </c>
      <c r="AA29" s="269" cm="1">
        <f t="array" ref="AA29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29" s="268" t="str">
        <f t="shared" si="3"/>
        <v/>
      </c>
      <c r="AD29" s="4" t="s">
        <v>176</v>
      </c>
      <c r="AE29" s="55" t="s">
        <v>175</v>
      </c>
    </row>
    <row r="30" spans="1:31" ht="14.1" customHeight="1">
      <c r="H30" s="116" t="s">
        <v>174</v>
      </c>
      <c r="I30" s="13">
        <v>5</v>
      </c>
      <c r="J30" s="112">
        <v>3.85E-2</v>
      </c>
      <c r="K30" s="112">
        <v>0</v>
      </c>
      <c r="L30" s="112">
        <v>3.3000000000000002E-2</v>
      </c>
      <c r="M30" s="112">
        <v>0</v>
      </c>
      <c r="R30" s="5">
        <v>2026</v>
      </c>
      <c r="S30" s="266">
        <v>5</v>
      </c>
      <c r="T30" s="269" cm="1">
        <f t="array" ref="T30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0" s="269" cm="1">
        <f t="array" ref="U30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0" s="269" cm="1">
        <f t="array" ref="V30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0" s="269">
        <f>순이익표[[#This Row],[순이익]]-(순이익표[[#This Row],[순이익]]/10)</f>
        <v>0</v>
      </c>
      <c r="X30" s="268" t="str">
        <f t="shared" si="0"/>
        <v/>
      </c>
      <c r="Y30" s="268" t="str">
        <f t="shared" si="1"/>
        <v/>
      </c>
      <c r="Z30" s="268" t="str">
        <f t="shared" si="2"/>
        <v/>
      </c>
      <c r="AA30" s="269" cm="1">
        <f t="array" ref="AA30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0" s="268" t="str">
        <f t="shared" si="3"/>
        <v/>
      </c>
      <c r="AD30" s="4" t="s">
        <v>173</v>
      </c>
      <c r="AE30" s="55" t="s">
        <v>172</v>
      </c>
    </row>
    <row r="31" spans="1:31" ht="14.1" customHeight="1">
      <c r="A31" s="298" t="s">
        <v>171</v>
      </c>
      <c r="B31" s="299"/>
      <c r="C31" s="301" t="s">
        <v>832</v>
      </c>
      <c r="D31" s="302"/>
      <c r="E31" s="302"/>
      <c r="F31" s="302"/>
      <c r="H31" s="13" t="s">
        <v>170</v>
      </c>
      <c r="I31" s="13">
        <v>6</v>
      </c>
      <c r="J31" s="112">
        <v>8.6900000000000005E-2</v>
      </c>
      <c r="K31" s="112">
        <v>3.1899999999999998E-2</v>
      </c>
      <c r="L31" s="112">
        <v>3.3000000000000002E-2</v>
      </c>
      <c r="M31" s="112">
        <v>3.3000000000000002E-2</v>
      </c>
      <c r="O31" s="13" t="s">
        <v>169</v>
      </c>
      <c r="R31" s="5">
        <v>2026</v>
      </c>
      <c r="S31" s="266">
        <v>6</v>
      </c>
      <c r="T31" s="269" cm="1">
        <f t="array" ref="T31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1" s="269" cm="1">
        <f t="array" ref="U31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1" s="269" cm="1">
        <f t="array" ref="V31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1" s="269">
        <f>순이익표[[#This Row],[순이익]]-(순이익표[[#This Row],[순이익]]/10)</f>
        <v>0</v>
      </c>
      <c r="X31" s="268" t="str">
        <f t="shared" si="0"/>
        <v/>
      </c>
      <c r="Y31" s="268" t="str">
        <f t="shared" si="1"/>
        <v/>
      </c>
      <c r="Z31" s="268" t="str">
        <f t="shared" si="2"/>
        <v/>
      </c>
      <c r="AA31" s="269" cm="1">
        <f t="array" ref="AA31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1" s="268" t="str">
        <f t="shared" si="3"/>
        <v/>
      </c>
      <c r="AD31" s="4" t="s">
        <v>168</v>
      </c>
      <c r="AE31" s="55" t="s">
        <v>167</v>
      </c>
    </row>
    <row r="32" spans="1:31" ht="14.1" customHeight="1">
      <c r="A32" s="15"/>
      <c r="B32" s="14"/>
      <c r="C32" s="302"/>
      <c r="D32" s="302"/>
      <c r="E32" s="302"/>
      <c r="F32" s="302"/>
      <c r="H32" s="13" t="s">
        <v>166</v>
      </c>
      <c r="I32" s="13">
        <v>7</v>
      </c>
      <c r="J32" s="112">
        <v>0</v>
      </c>
      <c r="K32" s="112">
        <v>0</v>
      </c>
      <c r="L32" s="112">
        <v>0</v>
      </c>
      <c r="M32" s="112">
        <v>0</v>
      </c>
      <c r="O32" s="13" t="s">
        <v>165</v>
      </c>
      <c r="R32" s="5">
        <v>2026</v>
      </c>
      <c r="S32" s="266">
        <v>7</v>
      </c>
      <c r="T32" s="269" cm="1">
        <f t="array" ref="T32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2" s="269" cm="1">
        <f t="array" ref="U32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2" s="269" cm="1">
        <f t="array" ref="V32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2" s="269">
        <f>순이익표[[#This Row],[순이익]]-(순이익표[[#This Row],[순이익]]/10)</f>
        <v>0</v>
      </c>
      <c r="X32" s="268" t="str">
        <f t="shared" si="0"/>
        <v/>
      </c>
      <c r="Y32" s="268" t="str">
        <f t="shared" si="1"/>
        <v/>
      </c>
      <c r="Z32" s="268" t="str">
        <f t="shared" si="2"/>
        <v/>
      </c>
      <c r="AA32" s="269" cm="1">
        <f t="array" ref="AA32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2" s="268" t="str">
        <f t="shared" si="3"/>
        <v/>
      </c>
      <c r="AD32" s="4" t="s">
        <v>164</v>
      </c>
      <c r="AE32" s="55" t="s">
        <v>163</v>
      </c>
    </row>
    <row r="33" spans="1:31" ht="14.1" customHeight="1">
      <c r="A33" s="15"/>
      <c r="B33" s="14"/>
      <c r="C33" s="302"/>
      <c r="D33" s="302"/>
      <c r="E33" s="302"/>
      <c r="F33" s="302"/>
      <c r="H33" s="13" t="s">
        <v>162</v>
      </c>
      <c r="I33" s="13">
        <v>8</v>
      </c>
      <c r="J33" s="112">
        <v>0</v>
      </c>
      <c r="K33" s="112">
        <v>0</v>
      </c>
      <c r="L33" s="112">
        <v>0</v>
      </c>
      <c r="M33" s="112">
        <v>0</v>
      </c>
      <c r="O33" s="13" t="s">
        <v>161</v>
      </c>
      <c r="R33" s="5">
        <v>2026</v>
      </c>
      <c r="S33" s="266">
        <v>8</v>
      </c>
      <c r="T33" s="269" cm="1">
        <f t="array" ref="T33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3" s="269" cm="1">
        <f t="array" ref="U33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3" s="269" cm="1">
        <f t="array" ref="V33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3" s="269">
        <f>순이익표[[#This Row],[순이익]]-(순이익표[[#This Row],[순이익]]/10)</f>
        <v>0</v>
      </c>
      <c r="X33" s="268" t="str">
        <f t="shared" si="0"/>
        <v/>
      </c>
      <c r="Y33" s="268" t="str">
        <f t="shared" si="1"/>
        <v/>
      </c>
      <c r="Z33" s="268" t="str">
        <f t="shared" si="2"/>
        <v/>
      </c>
      <c r="AA33" s="269" cm="1">
        <f t="array" ref="AA33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3" s="268" t="str">
        <f t="shared" si="3"/>
        <v/>
      </c>
      <c r="AD33" s="4" t="s">
        <v>160</v>
      </c>
      <c r="AE33" s="55" t="s">
        <v>159</v>
      </c>
    </row>
    <row r="34" spans="1:31" ht="14.1" customHeight="1">
      <c r="A34" s="15"/>
      <c r="B34" s="14"/>
      <c r="C34" s="302"/>
      <c r="D34" s="302"/>
      <c r="E34" s="302"/>
      <c r="F34" s="302"/>
      <c r="H34" s="13" t="s">
        <v>158</v>
      </c>
      <c r="I34" s="13">
        <v>9</v>
      </c>
      <c r="J34" s="112">
        <f>J26</f>
        <v>3.9800000000000002E-2</v>
      </c>
      <c r="K34" s="112">
        <f>K26</f>
        <v>5.0250000000000003E-2</v>
      </c>
      <c r="L34" s="112">
        <f>L26</f>
        <v>1.9699999999999999E-2</v>
      </c>
      <c r="M34" s="112">
        <f>M26</f>
        <v>2.9700000000000001E-2</v>
      </c>
      <c r="R34" s="5">
        <v>2026</v>
      </c>
      <c r="S34" s="266">
        <v>9</v>
      </c>
      <c r="T34" s="269" cm="1">
        <f t="array" ref="T34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4" s="269" cm="1">
        <f t="array" ref="U34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4" s="269" cm="1">
        <f t="array" ref="V34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4" s="269">
        <f>순이익표[[#This Row],[순이익]]-(순이익표[[#This Row],[순이익]]/10)</f>
        <v>0</v>
      </c>
      <c r="X34" s="268" t="str">
        <f t="shared" si="0"/>
        <v/>
      </c>
      <c r="Y34" s="268" t="str">
        <f t="shared" si="1"/>
        <v/>
      </c>
      <c r="Z34" s="268" t="str">
        <f t="shared" si="2"/>
        <v/>
      </c>
      <c r="AA34" s="269" cm="1">
        <f t="array" ref="AA34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4" s="268" t="str">
        <f t="shared" si="3"/>
        <v/>
      </c>
      <c r="AD34" s="4" t="s">
        <v>157</v>
      </c>
      <c r="AE34" s="55" t="s">
        <v>156</v>
      </c>
    </row>
    <row r="35" spans="1:31" ht="14.1" customHeight="1">
      <c r="A35" s="15"/>
      <c r="B35" s="14"/>
      <c r="C35" s="302"/>
      <c r="D35" s="302"/>
      <c r="E35" s="302"/>
      <c r="F35" s="302"/>
      <c r="H35" s="13" t="s">
        <v>155</v>
      </c>
      <c r="I35" s="13">
        <v>9</v>
      </c>
      <c r="J35" s="112">
        <v>0</v>
      </c>
      <c r="K35" s="112">
        <v>0</v>
      </c>
      <c r="L35" s="112">
        <v>0</v>
      </c>
      <c r="M35" s="112">
        <v>0</v>
      </c>
      <c r="R35" s="5">
        <v>2026</v>
      </c>
      <c r="S35" s="266">
        <v>10</v>
      </c>
      <c r="T35" s="269" cm="1">
        <f t="array" ref="T35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5" s="269" cm="1">
        <f t="array" ref="U35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5" s="269" cm="1">
        <f t="array" ref="V35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5" s="269">
        <f>순이익표[[#This Row],[순이익]]-(순이익표[[#This Row],[순이익]]/10)</f>
        <v>0</v>
      </c>
      <c r="X35" s="268" t="str">
        <f t="shared" si="0"/>
        <v/>
      </c>
      <c r="Y35" s="268" t="str">
        <f t="shared" si="1"/>
        <v/>
      </c>
      <c r="Z35" s="268" t="str">
        <f t="shared" si="2"/>
        <v/>
      </c>
      <c r="AA35" s="269" cm="1">
        <f t="array" ref="AA35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5" s="268" t="str">
        <f t="shared" si="3"/>
        <v/>
      </c>
      <c r="AD35" s="4" t="s">
        <v>154</v>
      </c>
      <c r="AE35" s="55" t="s">
        <v>153</v>
      </c>
    </row>
    <row r="36" spans="1:31" ht="14.1" customHeight="1">
      <c r="A36" s="12" t="s">
        <v>152</v>
      </c>
      <c r="B36" s="11" t="s">
        <v>151</v>
      </c>
      <c r="C36" s="309" t="s">
        <v>150</v>
      </c>
      <c r="D36" s="310"/>
      <c r="E36" s="310"/>
      <c r="F36" s="310"/>
      <c r="R36" s="5">
        <v>2026</v>
      </c>
      <c r="S36" s="266">
        <v>11</v>
      </c>
      <c r="T36" s="269" cm="1">
        <f t="array" ref="T36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6" s="269" cm="1">
        <f t="array" ref="U36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6" s="269" cm="1">
        <f t="array" ref="V36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6" s="269">
        <f>순이익표[[#This Row],[순이익]]-(순이익표[[#This Row],[순이익]]/10)</f>
        <v>0</v>
      </c>
      <c r="X36" s="268" t="str">
        <f t="shared" si="0"/>
        <v/>
      </c>
      <c r="Y36" s="268" t="str">
        <f t="shared" si="1"/>
        <v/>
      </c>
      <c r="Z36" s="268" t="str">
        <f t="shared" si="2"/>
        <v/>
      </c>
      <c r="AA36" s="269" cm="1">
        <f t="array" ref="AA36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6" s="268" t="str">
        <f t="shared" si="3"/>
        <v/>
      </c>
      <c r="AD36" s="4" t="s">
        <v>149</v>
      </c>
      <c r="AE36" s="55" t="s">
        <v>148</v>
      </c>
    </row>
    <row r="37" spans="1:31" ht="14.1" customHeight="1">
      <c r="A37" s="305" t="s">
        <v>147</v>
      </c>
      <c r="B37" s="306" t="s">
        <v>146</v>
      </c>
      <c r="C37" s="307" t="s">
        <v>145</v>
      </c>
      <c r="D37" s="308"/>
      <c r="E37" s="308"/>
      <c r="F37" s="308"/>
      <c r="R37" s="5">
        <v>2026</v>
      </c>
      <c r="S37" s="266">
        <v>12</v>
      </c>
      <c r="T37" s="269" cm="1">
        <f t="array" ref="T37">SUMPRODUCT(--(ISNUMBER(SEARCH(순이익표[[#This Row],[월]],MONTH(출고표[발송일])))),--(ISNUMBER(SEARCH(순이익표[[#This Row],[년]],YEAR(출고표[발송일])))),출고표[총판매금액],--(ISNUMBER(SEARCH(순이익표[[#Headers],[비닐스토리]],출고표[쇼핑몰구분]))))</f>
        <v>0</v>
      </c>
      <c r="U37" s="269" cm="1">
        <f t="array" ref="U37">SUMPRODUCT(--(ISNUMBER(SEARCH(순이익표[[#This Row],[월]],MONTH(출고표[발송일])))),--(ISNUMBER(SEARCH(순이익표[[#This Row],[년]],YEAR(출고표[발송일])))),출고표[거래처지급액],--(ISNUMBER(SEARCH(순이익표[[#Headers],[비닐스토리]],출고표[쇼핑몰구분]))))</f>
        <v>0</v>
      </c>
      <c r="V37" s="269" cm="1">
        <f t="array" ref="V37">SUMPRODUCT(--(ISNUMBER(SEARCH(순이익표[[#This Row],[월]],MONTH(출고표[발송일])))),--(ISNUMBER(SEARCH(순이익표[[#This Row],[년]],YEAR(출고표[발송일])))),출고표[순이익],--(ISNUMBER(SEARCH(순이익표[[#Headers],[비닐스토리]],출고표[쇼핑몰구분]))))</f>
        <v>0</v>
      </c>
      <c r="W37" s="269">
        <f>순이익표[[#This Row],[순이익]]-(순이익표[[#This Row],[순이익]]/10)</f>
        <v>0</v>
      </c>
      <c r="X37" s="268" t="str">
        <f t="shared" si="0"/>
        <v/>
      </c>
      <c r="Y37" s="268" t="str">
        <f t="shared" si="1"/>
        <v/>
      </c>
      <c r="Z37" s="268" t="str">
        <f t="shared" si="2"/>
        <v/>
      </c>
      <c r="AA37" s="269" cm="1">
        <f t="array" ref="AA37">SUMPRODUCT(--(ISNUMBER(SEARCH(순이익표[[#This Row],[월]],MONTH(출고표[발송일])))),--(ISNUMBER(SEARCH(순이익표[[#This Row],[년]],YEAR(출고표[발송일])))),출고표[총판매금액],--(ISNUMBER(SEARCH(순이익표[[#Headers],[비닐팩토리]],출고표[쇼핑몰구분]))))</f>
        <v>0</v>
      </c>
      <c r="AB37" s="268" t="str">
        <f t="shared" si="3"/>
        <v/>
      </c>
      <c r="AD37" s="4" t="s">
        <v>144</v>
      </c>
      <c r="AE37" s="55" t="s">
        <v>143</v>
      </c>
    </row>
    <row r="38" spans="1:31" ht="14.1" customHeight="1">
      <c r="A38" s="305"/>
      <c r="B38" s="306"/>
      <c r="C38" s="307"/>
      <c r="D38" s="308"/>
      <c r="E38" s="308"/>
      <c r="F38" s="308"/>
      <c r="O38" s="1" t="str">
        <f>CONCATENATE("v",B9)</f>
        <v>v8.0.3</v>
      </c>
      <c r="AD38" s="4" t="s">
        <v>142</v>
      </c>
      <c r="AE38" s="55" t="s">
        <v>141</v>
      </c>
    </row>
    <row r="39" spans="1:31" ht="14.1" customHeight="1">
      <c r="A39" s="305"/>
      <c r="B39" s="306"/>
      <c r="C39" s="307"/>
      <c r="D39" s="308"/>
      <c r="E39" s="308"/>
      <c r="F39" s="308"/>
      <c r="AD39" s="4" t="s">
        <v>140</v>
      </c>
      <c r="AE39" s="55" t="s">
        <v>139</v>
      </c>
    </row>
    <row r="40" spans="1:31" ht="14.1" customHeight="1">
      <c r="A40" s="305"/>
      <c r="B40" s="306"/>
      <c r="C40" s="307"/>
      <c r="D40" s="308"/>
      <c r="E40" s="308"/>
      <c r="F40" s="308"/>
      <c r="AD40" s="4" t="s">
        <v>138</v>
      </c>
      <c r="AE40" s="55" t="s">
        <v>137</v>
      </c>
    </row>
    <row r="41" spans="1:31" ht="14.1" customHeight="1">
      <c r="A41" s="303" t="s">
        <v>136</v>
      </c>
      <c r="B41" s="304"/>
      <c r="C41" s="304"/>
      <c r="D41" s="304"/>
      <c r="E41" s="304"/>
      <c r="F41" s="304"/>
      <c r="J41" s="10"/>
      <c r="AD41" s="4" t="s">
        <v>135</v>
      </c>
      <c r="AE41" s="55" t="s">
        <v>134</v>
      </c>
    </row>
    <row r="42" spans="1:31" ht="14.1" customHeight="1">
      <c r="A42" s="303"/>
      <c r="B42" s="304"/>
      <c r="C42" s="304"/>
      <c r="D42" s="304"/>
      <c r="E42" s="304"/>
      <c r="F42" s="304"/>
      <c r="AD42" s="4" t="s">
        <v>133</v>
      </c>
      <c r="AE42" s="55" t="s">
        <v>132</v>
      </c>
    </row>
    <row r="43" spans="1:31" ht="14.1" customHeight="1">
      <c r="H43" s="9" t="s">
        <v>131</v>
      </c>
      <c r="J43" s="5" t="s">
        <v>130</v>
      </c>
      <c r="M43" s="111" t="s">
        <v>829</v>
      </c>
      <c r="AD43" s="4" t="s">
        <v>129</v>
      </c>
      <c r="AE43" s="55" t="s">
        <v>128</v>
      </c>
    </row>
    <row r="44" spans="1:31" ht="14.1" customHeight="1">
      <c r="H44" s="7" t="s">
        <v>127</v>
      </c>
      <c r="J44" s="5" t="s">
        <v>126</v>
      </c>
      <c r="M44" s="111">
        <v>80</v>
      </c>
      <c r="AD44" s="4" t="s">
        <v>125</v>
      </c>
      <c r="AE44" s="55" t="s">
        <v>124</v>
      </c>
    </row>
    <row r="45" spans="1:31" ht="14.1" customHeight="1">
      <c r="H45" s="7" t="s">
        <v>123</v>
      </c>
      <c r="J45" s="5" t="s">
        <v>122</v>
      </c>
      <c r="AD45" s="4" t="s">
        <v>121</v>
      </c>
      <c r="AE45" s="55" t="s">
        <v>120</v>
      </c>
    </row>
    <row r="46" spans="1:31" ht="14.1" customHeight="1">
      <c r="H46" s="8" t="s">
        <v>119</v>
      </c>
      <c r="AD46" s="4" t="s">
        <v>118</v>
      </c>
      <c r="AE46" s="55" t="s">
        <v>117</v>
      </c>
    </row>
    <row r="47" spans="1:31" ht="14.1" customHeight="1">
      <c r="H47" s="7" t="s">
        <v>116</v>
      </c>
      <c r="AD47" s="4" t="s">
        <v>115</v>
      </c>
      <c r="AE47" s="55" t="s">
        <v>114</v>
      </c>
    </row>
    <row r="48" spans="1:31" ht="14.1" customHeight="1">
      <c r="H48" s="6" t="s">
        <v>113</v>
      </c>
      <c r="AD48" s="4" t="s">
        <v>112</v>
      </c>
      <c r="AE48" s="55" t="s">
        <v>111</v>
      </c>
    </row>
    <row r="49" spans="30:31" ht="14.1" customHeight="1">
      <c r="AD49" s="4" t="s">
        <v>110</v>
      </c>
      <c r="AE49" s="55" t="s">
        <v>109</v>
      </c>
    </row>
    <row r="50" spans="30:31" ht="14.1" customHeight="1">
      <c r="AD50" s="4" t="s">
        <v>108</v>
      </c>
      <c r="AE50" s="55" t="s">
        <v>107</v>
      </c>
    </row>
    <row r="51" spans="30:31" ht="14.1" customHeight="1">
      <c r="AD51" s="4" t="s">
        <v>106</v>
      </c>
      <c r="AE51" s="55" t="s">
        <v>105</v>
      </c>
    </row>
    <row r="52" spans="30:31" ht="14.1" customHeight="1">
      <c r="AD52" s="4" t="s">
        <v>104</v>
      </c>
      <c r="AE52" s="55" t="s">
        <v>103</v>
      </c>
    </row>
    <row r="53" spans="30:31" ht="14.1" customHeight="1">
      <c r="AD53" s="4" t="s">
        <v>102</v>
      </c>
      <c r="AE53" s="55" t="s">
        <v>101</v>
      </c>
    </row>
    <row r="54" spans="30:31" ht="14.1" customHeight="1">
      <c r="AD54" s="4" t="s">
        <v>100</v>
      </c>
      <c r="AE54" s="55" t="s">
        <v>99</v>
      </c>
    </row>
    <row r="55" spans="30:31" ht="14.1" customHeight="1">
      <c r="AD55" s="4" t="s">
        <v>98</v>
      </c>
      <c r="AE55" s="55" t="s">
        <v>97</v>
      </c>
    </row>
    <row r="56" spans="30:31" ht="14.1" customHeight="1">
      <c r="AD56" s="4" t="s">
        <v>96</v>
      </c>
      <c r="AE56" s="55" t="s">
        <v>95</v>
      </c>
    </row>
    <row r="57" spans="30:31" ht="14.1" customHeight="1">
      <c r="AD57" s="4" t="s">
        <v>94</v>
      </c>
      <c r="AE57" s="55" t="s">
        <v>93</v>
      </c>
    </row>
    <row r="58" spans="30:31" ht="14.1" customHeight="1">
      <c r="AD58" s="4" t="s">
        <v>92</v>
      </c>
      <c r="AE58" s="55" t="s">
        <v>91</v>
      </c>
    </row>
    <row r="59" spans="30:31" ht="14.1" customHeight="1">
      <c r="AD59" s="4" t="s">
        <v>90</v>
      </c>
      <c r="AE59" s="55" t="s">
        <v>89</v>
      </c>
    </row>
    <row r="60" spans="30:31" ht="14.1" customHeight="1">
      <c r="AD60" s="4" t="s">
        <v>88</v>
      </c>
      <c r="AE60" s="55" t="s">
        <v>87</v>
      </c>
    </row>
    <row r="61" spans="30:31" ht="14.1" customHeight="1">
      <c r="AD61" s="4" t="s">
        <v>86</v>
      </c>
      <c r="AE61" s="55" t="s">
        <v>85</v>
      </c>
    </row>
    <row r="62" spans="30:31" ht="14.1" customHeight="1">
      <c r="AD62" s="4" t="s">
        <v>84</v>
      </c>
      <c r="AE62" s="55" t="s">
        <v>83</v>
      </c>
    </row>
    <row r="63" spans="30:31" ht="14.1" customHeight="1">
      <c r="AD63" s="4" t="s">
        <v>82</v>
      </c>
      <c r="AE63" s="55" t="s">
        <v>81</v>
      </c>
    </row>
    <row r="64" spans="30:31" ht="14.1" customHeight="1">
      <c r="AD64" s="4" t="s">
        <v>80</v>
      </c>
      <c r="AE64" s="55" t="s">
        <v>79</v>
      </c>
    </row>
    <row r="65" spans="30:31" ht="14.1" customHeight="1">
      <c r="AD65" s="4" t="s">
        <v>78</v>
      </c>
      <c r="AE65" s="55" t="s">
        <v>77</v>
      </c>
    </row>
    <row r="66" spans="30:31" ht="14.1" customHeight="1">
      <c r="AD66" s="4" t="s">
        <v>76</v>
      </c>
      <c r="AE66" s="55" t="s">
        <v>75</v>
      </c>
    </row>
    <row r="67" spans="30:31" ht="14.1" customHeight="1">
      <c r="AD67" s="4" t="s">
        <v>74</v>
      </c>
      <c r="AE67" s="55" t="s">
        <v>73</v>
      </c>
    </row>
    <row r="68" spans="30:31" ht="14.1" customHeight="1">
      <c r="AD68" s="4" t="s">
        <v>72</v>
      </c>
      <c r="AE68" s="55" t="s">
        <v>71</v>
      </c>
    </row>
    <row r="69" spans="30:31" ht="14.1" customHeight="1">
      <c r="AD69" s="4" t="s">
        <v>70</v>
      </c>
      <c r="AE69" s="55" t="s">
        <v>69</v>
      </c>
    </row>
    <row r="70" spans="30:31" ht="14.1" customHeight="1">
      <c r="AD70" s="4" t="s">
        <v>68</v>
      </c>
      <c r="AE70" s="55" t="s">
        <v>67</v>
      </c>
    </row>
    <row r="71" spans="30:31" ht="14.1" customHeight="1">
      <c r="AD71" s="4" t="s">
        <v>66</v>
      </c>
      <c r="AE71" s="55" t="s">
        <v>65</v>
      </c>
    </row>
    <row r="72" spans="30:31" ht="14.1" customHeight="1">
      <c r="AD72" s="4" t="s">
        <v>64</v>
      </c>
      <c r="AE72" s="55" t="s">
        <v>63</v>
      </c>
    </row>
    <row r="73" spans="30:31" ht="14.1" customHeight="1">
      <c r="AD73" s="4" t="s">
        <v>62</v>
      </c>
      <c r="AE73" s="55" t="s">
        <v>61</v>
      </c>
    </row>
    <row r="74" spans="30:31" ht="14.1" customHeight="1">
      <c r="AD74" s="4" t="s">
        <v>60</v>
      </c>
      <c r="AE74" s="55" t="s">
        <v>59</v>
      </c>
    </row>
    <row r="75" spans="30:31" ht="14.1" customHeight="1">
      <c r="AD75" s="4" t="s">
        <v>58</v>
      </c>
      <c r="AE75" s="55" t="s">
        <v>57</v>
      </c>
    </row>
    <row r="76" spans="30:31" ht="14.1" customHeight="1">
      <c r="AD76" s="4" t="s">
        <v>56</v>
      </c>
      <c r="AE76" s="55" t="s">
        <v>55</v>
      </c>
    </row>
    <row r="77" spans="30:31" ht="14.1" customHeight="1">
      <c r="AD77" s="4" t="s">
        <v>54</v>
      </c>
      <c r="AE77" s="55" t="s">
        <v>53</v>
      </c>
    </row>
    <row r="78" spans="30:31" ht="14.1" customHeight="1">
      <c r="AD78" s="4" t="s">
        <v>52</v>
      </c>
      <c r="AE78" s="55" t="s">
        <v>51</v>
      </c>
    </row>
    <row r="79" spans="30:31" ht="14.1" customHeight="1">
      <c r="AD79" s="4" t="s">
        <v>50</v>
      </c>
      <c r="AE79" s="55" t="s">
        <v>49</v>
      </c>
    </row>
    <row r="80" spans="30:31" ht="14.1" customHeight="1">
      <c r="AD80" s="4" t="s">
        <v>48</v>
      </c>
      <c r="AE80" s="55" t="s">
        <v>47</v>
      </c>
    </row>
    <row r="81" spans="30:31" ht="14.1" customHeight="1">
      <c r="AD81" s="4" t="s">
        <v>46</v>
      </c>
      <c r="AE81" s="55" t="s">
        <v>45</v>
      </c>
    </row>
    <row r="82" spans="30:31" ht="14.1" customHeight="1">
      <c r="AD82" s="4" t="s">
        <v>44</v>
      </c>
      <c r="AE82" s="55" t="s">
        <v>43</v>
      </c>
    </row>
    <row r="83" spans="30:31" ht="14.1" customHeight="1">
      <c r="AD83" s="4" t="s">
        <v>42</v>
      </c>
      <c r="AE83" s="55" t="s">
        <v>41</v>
      </c>
    </row>
    <row r="84" spans="30:31" ht="14.1" customHeight="1">
      <c r="AD84" s="4" t="s">
        <v>40</v>
      </c>
      <c r="AE84" s="55" t="s">
        <v>39</v>
      </c>
    </row>
    <row r="85" spans="30:31" ht="14.1" customHeight="1">
      <c r="AD85" s="4" t="s">
        <v>38</v>
      </c>
      <c r="AE85" s="55" t="s">
        <v>37</v>
      </c>
    </row>
    <row r="86" spans="30:31" ht="14.1" customHeight="1">
      <c r="AD86" s="4" t="s">
        <v>36</v>
      </c>
      <c r="AE86" s="55" t="s">
        <v>35</v>
      </c>
    </row>
    <row r="87" spans="30:31" ht="14.1" customHeight="1">
      <c r="AD87" s="4" t="s">
        <v>34</v>
      </c>
      <c r="AE87" s="55" t="s">
        <v>33</v>
      </c>
    </row>
    <row r="88" spans="30:31" ht="14.1" customHeight="1">
      <c r="AD88" s="4" t="s">
        <v>32</v>
      </c>
      <c r="AE88" s="55" t="s">
        <v>31</v>
      </c>
    </row>
    <row r="89" spans="30:31" ht="14.1" customHeight="1">
      <c r="AD89" s="4" t="s">
        <v>30</v>
      </c>
      <c r="AE89" s="55" t="s">
        <v>29</v>
      </c>
    </row>
    <row r="90" spans="30:31" ht="14.1" customHeight="1">
      <c r="AD90" s="4" t="s">
        <v>28</v>
      </c>
      <c r="AE90" s="55" t="s">
        <v>27</v>
      </c>
    </row>
    <row r="91" spans="30:31" ht="14.1" customHeight="1">
      <c r="AD91" s="4" t="s">
        <v>26</v>
      </c>
      <c r="AE91" s="55" t="s">
        <v>25</v>
      </c>
    </row>
    <row r="92" spans="30:31" ht="14.1" customHeight="1">
      <c r="AD92" s="4" t="s">
        <v>24</v>
      </c>
      <c r="AE92" s="55" t="s">
        <v>23</v>
      </c>
    </row>
    <row r="93" spans="30:31" ht="14.1" customHeight="1">
      <c r="AD93" s="4" t="s">
        <v>22</v>
      </c>
      <c r="AE93" s="55" t="s">
        <v>21</v>
      </c>
    </row>
    <row r="94" spans="30:31" ht="14.1" customHeight="1">
      <c r="AD94" s="4" t="s">
        <v>20</v>
      </c>
      <c r="AE94" s="55" t="s">
        <v>19</v>
      </c>
    </row>
    <row r="95" spans="30:31" ht="14.1" customHeight="1">
      <c r="AD95" s="4" t="s">
        <v>18</v>
      </c>
      <c r="AE95" s="55" t="s">
        <v>17</v>
      </c>
    </row>
    <row r="96" spans="30:31" ht="14.1" customHeight="1">
      <c r="AD96" s="4" t="s">
        <v>16</v>
      </c>
      <c r="AE96" s="55" t="s">
        <v>15</v>
      </c>
    </row>
    <row r="97" spans="30:31" ht="14.1" customHeight="1">
      <c r="AD97" s="4" t="s">
        <v>14</v>
      </c>
      <c r="AE97" s="55" t="s">
        <v>13</v>
      </c>
    </row>
    <row r="98" spans="30:31" ht="14.1" customHeight="1">
      <c r="AD98" s="4" t="s">
        <v>12</v>
      </c>
      <c r="AE98" s="55" t="s">
        <v>11</v>
      </c>
    </row>
    <row r="99" spans="30:31" ht="14.1" customHeight="1">
      <c r="AD99" s="4" t="s">
        <v>10</v>
      </c>
      <c r="AE99" s="55" t="s">
        <v>9</v>
      </c>
    </row>
    <row r="100" spans="30:31" ht="14.1" customHeight="1">
      <c r="AD100" s="4" t="s">
        <v>8</v>
      </c>
      <c r="AE100" s="55" t="s">
        <v>7</v>
      </c>
    </row>
    <row r="101" spans="30:31" ht="14.1" customHeight="1">
      <c r="AD101" s="4" t="s">
        <v>6</v>
      </c>
      <c r="AE101" s="55"/>
    </row>
    <row r="102" spans="30:31" ht="14.1" customHeight="1">
      <c r="AD102" s="4" t="s">
        <v>5</v>
      </c>
      <c r="AE102" s="55"/>
    </row>
    <row r="103" spans="30:31" ht="14.1" customHeight="1">
      <c r="AD103" s="4" t="s">
        <v>4</v>
      </c>
      <c r="AE103" s="55"/>
    </row>
    <row r="104" spans="30:31" ht="14.1" customHeight="1">
      <c r="AD104" s="4" t="s">
        <v>3</v>
      </c>
      <c r="AE104" s="55" t="s">
        <v>2</v>
      </c>
    </row>
    <row r="105" spans="30:31" ht="14.1" customHeight="1">
      <c r="AD105" s="4" t="s">
        <v>1</v>
      </c>
      <c r="AE105" s="57" t="s">
        <v>0</v>
      </c>
    </row>
    <row r="116" spans="34:53" ht="18" customHeight="1">
      <c r="AH116" s="232"/>
      <c r="AI116" s="233"/>
      <c r="AJ116" s="233"/>
      <c r="AK116" s="233"/>
      <c r="AL116" s="233"/>
      <c r="AM116" s="233"/>
      <c r="AN116" s="232"/>
      <c r="AO116" s="232"/>
      <c r="AP116" s="233"/>
      <c r="AQ116" s="233"/>
      <c r="AR116" s="233"/>
      <c r="AS116" s="233"/>
      <c r="AT116" s="233"/>
      <c r="AU116" s="233"/>
      <c r="AV116" s="233"/>
      <c r="AW116" s="191"/>
      <c r="AX116" s="191"/>
      <c r="AY116" s="191"/>
      <c r="AZ116" s="234"/>
      <c r="BA116" s="234"/>
    </row>
    <row r="117" spans="34:53" ht="18" customHeight="1">
      <c r="AH117" s="232"/>
      <c r="AI117" s="314" t="s">
        <v>901</v>
      </c>
      <c r="AJ117" s="314"/>
      <c r="AK117" s="314"/>
      <c r="AL117" s="233"/>
      <c r="AM117" s="235" t="s">
        <v>902</v>
      </c>
      <c r="AN117" s="236" t="s">
        <v>903</v>
      </c>
      <c r="AO117" s="236" t="s">
        <v>904</v>
      </c>
      <c r="AP117" s="233"/>
      <c r="AQ117" s="233"/>
      <c r="AR117" s="233"/>
      <c r="AS117" s="314" t="s">
        <v>905</v>
      </c>
      <c r="AT117" s="314"/>
      <c r="AU117" s="314"/>
      <c r="AV117" s="314"/>
      <c r="AW117" s="235" t="s">
        <v>902</v>
      </c>
      <c r="AX117" s="236" t="s">
        <v>903</v>
      </c>
      <c r="AY117" s="236" t="s">
        <v>904</v>
      </c>
      <c r="AZ117" s="234"/>
      <c r="BA117" s="234"/>
    </row>
    <row r="118" spans="34:53" ht="18" customHeight="1">
      <c r="AH118" s="232"/>
      <c r="AI118" s="314"/>
      <c r="AJ118" s="314"/>
      <c r="AK118" s="314"/>
      <c r="AL118" s="233"/>
      <c r="AM118" s="237">
        <f>SUM(S필터!$AW:$AW)</f>
        <v>1342973</v>
      </c>
      <c r="AN118" s="237">
        <f>SUM(S필터!$Z:$Z)</f>
        <v>245200</v>
      </c>
      <c r="AO118" s="237">
        <f>SUM(S필터!$AB:$AB)</f>
        <v>0</v>
      </c>
      <c r="AP118" s="233"/>
      <c r="AQ118" s="233"/>
      <c r="AR118" s="233"/>
      <c r="AS118" s="314"/>
      <c r="AT118" s="314"/>
      <c r="AU118" s="314"/>
      <c r="AV118" s="314"/>
      <c r="AW118" s="237">
        <f>SUM(F필터!$AW:$AW)</f>
        <v>976036</v>
      </c>
      <c r="AX118" s="237">
        <f>SUM(F필터!$Z:$Z)</f>
        <v>156400</v>
      </c>
      <c r="AY118" s="237">
        <f>SUM(F필터!$AB:$AB)</f>
        <v>0</v>
      </c>
      <c r="AZ118" s="234"/>
      <c r="BA118" s="234"/>
    </row>
    <row r="119" spans="34:53" ht="18" customHeight="1">
      <c r="AH119" s="232"/>
      <c r="AI119" s="238"/>
      <c r="AJ119" s="239"/>
      <c r="AK119" s="233"/>
      <c r="AL119" s="240">
        <f>SUMIF(S필터!E:E,$AL$123,S필터!AH:AH)</f>
        <v>997720</v>
      </c>
      <c r="AM119" s="241">
        <f>SUM(S필터!AK:AK)-IF($AL$119&gt;=1000000,50000,0)</f>
        <v>533467</v>
      </c>
      <c r="AN119" s="191"/>
      <c r="AO119" s="191"/>
      <c r="AP119" s="233"/>
      <c r="AQ119" s="233"/>
      <c r="AR119" s="233"/>
      <c r="AS119" s="238"/>
      <c r="AT119" s="239"/>
      <c r="AU119" s="233"/>
      <c r="AV119" s="240">
        <f>SUMIF(F필터!E:E,$AV$123,F필터!AH:AH)</f>
        <v>904440</v>
      </c>
      <c r="AW119" s="233"/>
      <c r="AX119" s="242"/>
      <c r="AY119" s="243"/>
      <c r="AZ119" s="234"/>
      <c r="BA119" s="234"/>
    </row>
    <row r="120" spans="34:53" ht="18" customHeight="1">
      <c r="AH120" s="232"/>
      <c r="AI120" s="244" t="s">
        <v>906</v>
      </c>
      <c r="AJ120" s="245"/>
      <c r="AK120" s="239" t="s">
        <v>907</v>
      </c>
      <c r="AL120" s="246"/>
      <c r="AM120" s="233" t="s">
        <v>908</v>
      </c>
      <c r="AN120" s="242" t="s">
        <v>909</v>
      </c>
      <c r="AO120" s="246"/>
      <c r="AP120" s="242"/>
      <c r="AQ120" s="243"/>
      <c r="AR120" s="233"/>
      <c r="AS120" s="244" t="s">
        <v>906</v>
      </c>
      <c r="AT120" s="245"/>
      <c r="AU120" s="239"/>
      <c r="AV120" s="246"/>
      <c r="AW120" s="240"/>
      <c r="AX120" s="242"/>
      <c r="AY120" s="246"/>
      <c r="AZ120" s="234"/>
      <c r="BA120" s="234"/>
    </row>
    <row r="121" spans="34:53" ht="27" customHeight="1">
      <c r="AH121" s="232"/>
      <c r="AI121" s="315">
        <f>SUM(S필터!AH:AH)</f>
        <v>2274180</v>
      </c>
      <c r="AJ121" s="315"/>
      <c r="AK121" s="315">
        <f>SUM(S필터!AI:AI)+IF($AO$122&lt;=100000,100000,$AO$122)</f>
        <v>1676233</v>
      </c>
      <c r="AL121" s="315"/>
      <c r="AM121" s="247">
        <f>IFERROR(AVERAGE(S필터!$AL:$AL),"")</f>
        <v>0.23033191489361718</v>
      </c>
      <c r="AN121" s="316">
        <f>$AM$119-IF($AO$122&lt;=100000,100000,$AO$122)</f>
        <v>433467</v>
      </c>
      <c r="AO121" s="316"/>
      <c r="AP121" s="233"/>
      <c r="AQ121" s="233"/>
      <c r="AR121" s="233"/>
      <c r="AS121" s="315">
        <f>SUM(F필터!AH:AH)-IF($AV$119&gt;=1000000,50000,0)</f>
        <v>1562110</v>
      </c>
      <c r="AT121" s="315"/>
      <c r="AU121" s="317"/>
      <c r="AV121" s="317"/>
      <c r="AW121" s="247" t="s">
        <v>910</v>
      </c>
      <c r="AX121" s="313"/>
      <c r="AY121" s="313"/>
      <c r="AZ121" s="234"/>
      <c r="BA121" s="234"/>
    </row>
    <row r="122" spans="34:53" ht="18" customHeight="1">
      <c r="AH122" s="232"/>
      <c r="AI122" s="233"/>
      <c r="AJ122" s="233"/>
      <c r="AK122" s="312" t="s">
        <v>2102</v>
      </c>
      <c r="AL122" s="312"/>
      <c r="AM122" s="233"/>
      <c r="AN122" s="248" t="s">
        <v>911</v>
      </c>
      <c r="AO122" s="243">
        <f>ROUND($AM$119*0.1,0)</f>
        <v>53347</v>
      </c>
      <c r="AP122" s="233"/>
      <c r="AQ122" s="233"/>
      <c r="AR122" s="233"/>
      <c r="AS122" s="233"/>
      <c r="AT122" s="233"/>
      <c r="AU122" s="233"/>
      <c r="AV122" s="233"/>
      <c r="AW122" s="233"/>
      <c r="AX122" s="249"/>
      <c r="AY122" s="249"/>
      <c r="AZ122" s="234"/>
      <c r="BA122" s="234"/>
    </row>
    <row r="123" spans="34:53" ht="18" customHeight="1">
      <c r="AH123" s="232"/>
      <c r="AI123" s="250" t="s">
        <v>912</v>
      </c>
      <c r="AJ123" s="233"/>
      <c r="AK123" s="251" t="s">
        <v>913</v>
      </c>
      <c r="AL123" s="252" t="s">
        <v>187</v>
      </c>
      <c r="AM123" s="252" t="s">
        <v>158</v>
      </c>
      <c r="AN123" s="253" t="s">
        <v>174</v>
      </c>
      <c r="AO123" s="253" t="s">
        <v>170</v>
      </c>
      <c r="AP123" s="252" t="s">
        <v>177</v>
      </c>
      <c r="AQ123" s="233"/>
      <c r="AR123" s="233"/>
      <c r="AS123" s="250" t="s">
        <v>912</v>
      </c>
      <c r="AT123" s="233"/>
      <c r="AU123" s="251" t="s">
        <v>913</v>
      </c>
      <c r="AV123" s="252" t="s">
        <v>187</v>
      </c>
      <c r="AW123" s="252" t="s">
        <v>158</v>
      </c>
      <c r="AX123" s="253" t="s">
        <v>182</v>
      </c>
      <c r="AY123" s="253"/>
      <c r="AZ123" s="254"/>
      <c r="BA123" s="234"/>
    </row>
    <row r="124" spans="34:53" ht="18" customHeight="1">
      <c r="AH124" s="232"/>
      <c r="AI124" s="255" t="str">
        <f>"Total "&amp;SUM(S필터!O:O)&amp;"  sales this month"</f>
        <v>Total 585  sales this month</v>
      </c>
      <c r="AJ124" s="239"/>
      <c r="AK124" s="256" t="str">
        <f>COUNTIF(S필터!V:V,"반품")+COUNTIF(S필터!V:V,"반품1")+COUNTIF(S필터!V:V,"반품2")+COUNTIF(S필터!V:V,"교환")&amp;" Claims"</f>
        <v>0 Claims</v>
      </c>
      <c r="AL124" s="257">
        <f>COUNTIF(S필터!E:E,AL$123)</f>
        <v>49</v>
      </c>
      <c r="AM124" s="257">
        <f>COUNTIF(S필터!E:E,AM$123)</f>
        <v>43</v>
      </c>
      <c r="AN124" s="257">
        <f>COUNTIF(S필터!E:E,AN$123)</f>
        <v>2</v>
      </c>
      <c r="AO124" s="257">
        <f>COUNTIF(S필터!E:E,AO$123)</f>
        <v>0</v>
      </c>
      <c r="AP124" s="257">
        <f>COUNTIF(S필터!E:E,AP$123)</f>
        <v>0</v>
      </c>
      <c r="AQ124" s="233"/>
      <c r="AR124" s="233"/>
      <c r="AS124" s="255" t="str">
        <f>"Total "&amp;SUM(F필터!O:O)&amp;"  sales this month"</f>
        <v>Total 132  sales this month</v>
      </c>
      <c r="AT124" s="239"/>
      <c r="AU124" s="256" t="str">
        <f>COUNTIF(F필터!V:V,"반품")+COUNTIF(F필터!V:V,"반품1")+COUNTIF(F필터!V:V,"반품2")+COUNTIF(F필터!V:V,"교환")&amp;" Claims"</f>
        <v>0 Claims</v>
      </c>
      <c r="AV124" s="257">
        <f>COUNTIF(F필터!E:E,$AV$123)</f>
        <v>14</v>
      </c>
      <c r="AW124" s="257">
        <f>COUNTIF(F필터!E:E,$AW$123)</f>
        <v>27</v>
      </c>
      <c r="AX124" s="257">
        <f>COUNTIF(F필터!E:E,$AX$123)</f>
        <v>25</v>
      </c>
      <c r="AY124" s="191"/>
      <c r="AZ124" s="258"/>
      <c r="BA124" s="234"/>
    </row>
    <row r="125" spans="34:53" ht="18" customHeight="1">
      <c r="AH125" s="232"/>
      <c r="AI125" s="233"/>
      <c r="AJ125" s="233"/>
      <c r="AK125" s="233"/>
      <c r="AL125" s="233"/>
      <c r="AM125" s="259"/>
      <c r="AN125" s="260"/>
      <c r="AO125" s="232"/>
      <c r="AP125" s="233"/>
      <c r="AQ125" s="233"/>
      <c r="AR125" s="233"/>
      <c r="AS125" s="233"/>
      <c r="AT125" s="233"/>
      <c r="AU125" s="233"/>
      <c r="AV125" s="233"/>
      <c r="AW125" s="259"/>
      <c r="AX125" s="232"/>
      <c r="AY125" s="232"/>
      <c r="AZ125" s="234"/>
      <c r="BA125" s="234"/>
    </row>
  </sheetData>
  <mergeCells count="22">
    <mergeCell ref="AK122:AL122"/>
    <mergeCell ref="AX121:AY121"/>
    <mergeCell ref="AI117:AK118"/>
    <mergeCell ref="AS117:AV118"/>
    <mergeCell ref="AI121:AJ121"/>
    <mergeCell ref="AK121:AL121"/>
    <mergeCell ref="AN121:AO121"/>
    <mergeCell ref="AS121:AT121"/>
    <mergeCell ref="AU121:AV121"/>
    <mergeCell ref="K24:M24"/>
    <mergeCell ref="A27:D27"/>
    <mergeCell ref="A28:D28"/>
    <mergeCell ref="A29:D29"/>
    <mergeCell ref="A25:C25"/>
    <mergeCell ref="A31:B31"/>
    <mergeCell ref="A26:C26"/>
    <mergeCell ref="C31:F35"/>
    <mergeCell ref="A41:F42"/>
    <mergeCell ref="A37:A40"/>
    <mergeCell ref="B37:B40"/>
    <mergeCell ref="C37:F40"/>
    <mergeCell ref="C36:F36"/>
  </mergeCells>
  <phoneticPr fontId="4" type="noConversion"/>
  <conditionalFormatting sqref="AJ120 AL120 AO120">
    <cfRule type="cellIs" dxfId="71" priority="3" operator="greaterThanOrEqual">
      <formula>0</formula>
    </cfRule>
    <cfRule type="cellIs" dxfId="70" priority="4" operator="lessThan">
      <formula>0</formula>
    </cfRule>
  </conditionalFormatting>
  <conditionalFormatting sqref="AT120 AV120 AY120">
    <cfRule type="cellIs" dxfId="69" priority="1" operator="greaterThanOrEqual">
      <formula>0</formula>
    </cfRule>
    <cfRule type="cellIs" dxfId="68" priority="2" operator="lessThan">
      <formula>0</formula>
    </cfRule>
  </conditionalFormatting>
  <hyperlinks>
    <hyperlink ref="K24:M24" r:id="rId1" display="마진율 계산기 수수료 안내" xr:uid="{1228AABF-6635-4833-B8FE-E62CEDCD0A40}"/>
  </hyperlinks>
  <pageMargins left="0.7" right="0.7" top="0.75" bottom="0.75" header="0.3" footer="0.3"/>
  <drawing r:id="rId2"/>
  <tableParts count="1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customUI/_rels/customUI14.xml.rels><?xml version="1.0" encoding="UTF-8" standalone="yes"?>
<Relationships xmlns="http://schemas.openxmlformats.org/package/2006/relationships"><Relationship Id="medal" Type="http://schemas.openxmlformats.org/officeDocument/2006/relationships/image" Target="images/medal.png"/><Relationship Id="erase" Type="http://schemas.openxmlformats.org/officeDocument/2006/relationships/image" Target="images/erase.png"/><Relationship Id="transfer" Type="http://schemas.openxmlformats.org/officeDocument/2006/relationships/image" Target="images/transfer.png"/><Relationship Id="user-profile" Type="http://schemas.openxmlformats.org/officeDocument/2006/relationships/image" Target="images/user-profile.png"/><Relationship Id="home" Type="http://schemas.openxmlformats.org/officeDocument/2006/relationships/image" Target="images/home.png"/><Relationship Id="ft" Type="http://schemas.openxmlformats.org/officeDocument/2006/relationships/image" Target="images/ft.png"/><Relationship Id="announcement" Type="http://schemas.openxmlformats.org/officeDocument/2006/relationships/image" Target="images/announcement.png"/><Relationship Id="story" Type="http://schemas.openxmlformats.org/officeDocument/2006/relationships/image" Target="images/story.png"/><Relationship Id="sheet" Type="http://schemas.openxmlformats.org/officeDocument/2006/relationships/image" Target="images/sheet.png"/><Relationship Id="reload" Type="http://schemas.openxmlformats.org/officeDocument/2006/relationships/image" Target="images/reload.png"/><Relationship Id="spreadsheet" Type="http://schemas.openxmlformats.org/officeDocument/2006/relationships/image" Target="images/spreadsheet.png"/></Relationships>
</file>

<file path=customUI/customUI14.xml><?xml version="1.0" encoding="utf-8"?>
<customUI xmlns="http://schemas.microsoft.com/office/2009/07/customui">
  <ribbon startFromScratch="false">
    <tabs>
      <tab id="CustomTab" insertBeforeMso="TabHome" label="Setools ™">
        <group id="홈" label="홈">
          <button id="Button0-0" image="home" size="large" label="Home" screentip="홈로 이동" onAction="gohomeSheet"/>
          <button id="Button0-1" image="reload" size="large" label="모두 새로 고침" screentip="모두 새로 고침" onAction="reloadAll"/>
        </group>
        <group id="DataModifyCopy" label="Sheet">
          <button id="Button5-1" image="erase" size="large" label="입력시트 정리" screentip="입력시트 정리" onAction="goEditInput"/>
          <button id="Button5-2" image="transfer" size="large" label="출고DB/고객DB에 변환 저장하기" screentip="출고DB/고객DB에 변환 저장하기" onAction="DataOutSave"/>
        </group>
        <group id="DataDBCopy" label="DB">
          <button id="Button8-1" image="spreadsheet" size="large" label="출고DB-엑세스저장" screentip="출고DB-엑세스저장" onAction="DataOutSFTableSave"/>
          <button id="Button8-2" image="spreadsheet" size="large" label="고객DB-엑세스저장" screentip="고객DB-엑세스저장" onAction="DataOutUTableSave"/>
        </group>
        <group id="info" label="V8.0">
          <button id="Button6-1" image="medal" size="large" label="info" screentip="버전 정보를 봅니다" onAction="license8"/>
        </group>
        <group id="RX63A280" image="graduation-cap" label="v2.0">
          <button id="Button6-2" image="announcement" label="참고사항" screentip="정보를 봅니다" onAction="NavigateGallery_OnAction"/>
          <checkBox id="MyCheckBox" label="열 변경" onAction="ToggleColumn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05009D-1A3B-4003-A9EC-64FFA615CE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</vt:i4>
      </vt:variant>
    </vt:vector>
  </HeadingPairs>
  <TitlesOfParts>
    <vt:vector size="13" baseType="lpstr">
      <vt:lpstr>대시보드</vt:lpstr>
      <vt:lpstr>검색</vt:lpstr>
      <vt:lpstr>입력</vt:lpstr>
      <vt:lpstr>출고표</vt:lpstr>
      <vt:lpstr>F출고표</vt:lpstr>
      <vt:lpstr>S출고표</vt:lpstr>
      <vt:lpstr>출고DB</vt:lpstr>
      <vt:lpstr>S필터</vt:lpstr>
      <vt:lpstr>F필터</vt:lpstr>
      <vt:lpstr>고객DB</vt:lpstr>
      <vt:lpstr>병합</vt:lpstr>
      <vt:lpstr>Settings</vt:lpstr>
      <vt:lpstr>WBPath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ingyu Kang</dc:creator>
  <cp:lastModifiedBy>C4739</cp:lastModifiedBy>
  <cp:lastPrinted>2024-06-25T08:59:41Z</cp:lastPrinted>
  <dcterms:created xsi:type="dcterms:W3CDTF">2024-06-13T06:26:12Z</dcterms:created>
  <dcterms:modified xsi:type="dcterms:W3CDTF">2024-06-28T01:47:28Z</dcterms:modified>
</cp:coreProperties>
</file>