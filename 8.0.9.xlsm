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medal.png" ContentType="image/.PNG"/>
  <Override PartName="/customUI/images/transfer.png" ContentType="image/.PNG"/>
  <Override PartName="/customUI/images/user-profile.png" ContentType="image/.PNG"/>
  <Override PartName="/customUI/images/home.png" ContentType="image/.PNG"/>
  <Override PartName="/customUI/images/ft.png" ContentType="image/.PNG"/>
  <Override PartName="/customUI/images/announcement.png" ContentType="image/.PNG"/>
  <Override PartName="/customUI/images/story.png" ContentType="image/.PNG"/>
  <Override PartName="/customUI/images/sheet.png" ContentType="image/.PNG"/>
  <Override PartName="/customUI/images/reload.png" ContentType="image/.PNG"/>
  <Override PartName="/customUI/images/spreadsheet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50cfa06848346d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N:\개인\@ 진행중 프로젝트(~ing)\@ 엑셀\v8.0\"/>
    </mc:Choice>
  </mc:AlternateContent>
  <xr:revisionPtr revIDLastSave="0" documentId="13_ncr:1_{07B47A51-2165-4258-BAD4-6252114139F6}" xr6:coauthVersionLast="47" xr6:coauthVersionMax="47" xr10:uidLastSave="{00000000-0000-0000-0000-000000000000}"/>
  <bookViews>
    <workbookView xWindow="-120" yWindow="-120" windowWidth="29040" windowHeight="15720" xr2:uid="{49D00415-D05C-4445-AB37-72E814C13298}"/>
  </bookViews>
  <sheets>
    <sheet name="대시보드" sheetId="4" r:id="rId1"/>
    <sheet name="입력" sheetId="8" r:id="rId2"/>
    <sheet name="검수S" sheetId="10" r:id="rId3"/>
    <sheet name="S검수" sheetId="7" r:id="rId4"/>
    <sheet name="S출고표" sheetId="5" state="hidden" r:id="rId5"/>
    <sheet name="F출고표" sheetId="6" state="hidden" r:id="rId6"/>
    <sheet name="출고DB" sheetId="1" r:id="rId7"/>
    <sheet name="고객DB" sheetId="3" r:id="rId8"/>
    <sheet name="Settings" sheetId="9" r:id="rId9"/>
  </sheets>
  <functionGroups builtInGroupCount="19"/>
  <definedNames>
    <definedName name="DBPath">#REF!</definedName>
    <definedName name="DefaultPath">Settings!$B$15</definedName>
    <definedName name="ExternalData_1" localSheetId="5" hidden="1">F출고표!$A$1:$AV$3</definedName>
    <definedName name="ExternalData_1" localSheetId="3" hidden="1">S검수!$A$1:$Y$3</definedName>
    <definedName name="ExternalData_1" localSheetId="4" hidden="1">S출고표!$A$1:$AV$3</definedName>
    <definedName name="ExternalData_2" localSheetId="1" hidden="1">입력!$K$1:$AN$7</definedName>
    <definedName name="WB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8" l="1" a="1"/>
  <c r="F2" i="8" s="1"/>
  <c r="E2" i="8" a="1"/>
  <c r="E2" i="8" s="1"/>
  <c r="D2" i="8" a="1"/>
  <c r="D2" i="8" s="1"/>
  <c r="C2" i="8"/>
  <c r="A2" i="8" l="1" a="1"/>
  <c r="A2" i="8" s="1"/>
  <c r="Z2" i="7"/>
  <c r="A7" i="10" s="1" a="1"/>
  <c r="A7" i="10" s="1"/>
  <c r="Z3" i="7"/>
  <c r="F1" i="10"/>
  <c r="D1" i="10"/>
  <c r="B13" i="9" a="1"/>
  <c r="B13" i="9" s="1"/>
  <c r="B15" i="9" s="1"/>
  <c r="K26" i="9"/>
  <c r="J26" i="9"/>
  <c r="M2" i="3"/>
  <c r="AV2" i="1"/>
  <c r="AV3" i="1"/>
  <c r="AV4" i="1"/>
  <c r="AV5" i="1"/>
  <c r="AR2" i="1"/>
  <c r="AR3" i="1"/>
  <c r="AR4" i="1"/>
  <c r="AR5" i="1"/>
  <c r="AQ2" i="1"/>
  <c r="AQ3" i="1"/>
  <c r="AQ4" i="1"/>
  <c r="AQ5" i="1"/>
  <c r="AP2" i="1"/>
  <c r="AP3" i="1"/>
  <c r="AP4" i="1"/>
  <c r="AP5" i="1"/>
  <c r="M3" i="3"/>
  <c r="M4" i="3"/>
  <c r="M5" i="3"/>
  <c r="AS5" i="1" l="1"/>
  <c r="AU5" i="1" s="1"/>
  <c r="AS4" i="1"/>
  <c r="AU4" i="1" s="1"/>
  <c r="AS3" i="1"/>
  <c r="AU3" i="1" s="1"/>
  <c r="AS2" i="1"/>
  <c r="AU2" i="1" s="1"/>
  <c r="B21" i="9"/>
  <c r="AT2" i="1"/>
  <c r="AT5" i="1" l="1"/>
  <c r="AT4" i="1"/>
  <c r="AT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E73D4A-E2D1-4DA4-8931-85371FE0082D}" keepAlive="1" name="쿼리 - F출고표" description="통합 문서의 'F출고표' 쿼리에 대한 연결입니다." type="5" refreshedVersion="8" background="1" saveData="1">
    <dbPr connection="Provider=Microsoft.Mashup.OleDb.1;Data Source=$Workbook$;Location=F출고표;Extended Properties=&quot;&quot;" command="SELECT * FROM [F출고표]"/>
  </connection>
  <connection id="2" xr16:uid="{AFAC997E-C901-423C-B783-0AC23846259C}" keepAlive="1" name="쿼리 - S출고표" description="통합 문서의 'S출고표' 쿼리에 대한 연결입니다." type="5" refreshedVersion="8" background="1" saveData="1">
    <dbPr connection="Provider=Microsoft.Mashup.OleDb.1;Data Source=$Workbook$;Location=S출고표;Extended Properties=&quot;&quot;" command="SELECT * FROM [S출고표]"/>
  </connection>
  <connection id="3" xr16:uid="{62F71F6C-3569-4455-8FD6-88A4144E8169}" keepAlive="1" name="쿼리 - S출고표검수" description="통합 문서의 'S출고표검수' 쿼리에 대한 연결입니다." type="5" refreshedVersion="8" background="1" saveData="1">
    <dbPr connection="Provider=Microsoft.Mashup.OleDb.1;Data Source=$Workbook$;Location=S출고표검수;Extended Properties=&quot;&quot;" command="SELECT * FROM [S출고표검수]"/>
  </connection>
  <connection id="4" xr16:uid="{D4562E7C-87B9-49D5-A26B-4CCEEEAA0F49}" keepAlive="1" name="쿼리 - TOGLE" description="통합 문서의 'TOGLE' 쿼리에 대한 연결입니다." type="5" refreshedVersion="8" background="1" saveData="1">
    <dbPr connection="Provider=Microsoft.Mashup.OleDb.1;Data Source=$Workbook$;Location=TOGLE;Extended Properties=&quot;&quot;" command="SELECT * FROM [TOGLE]"/>
  </connection>
  <connection id="5" xr16:uid="{64BECAE7-4E5B-4780-A349-8EA812E83F8B}" keepAlive="1" name="쿼리 - 매개 변수1" description="통합 문서의 '매개 변수1' 쿼리에 대한 연결입니다." type="5" refreshedVersion="0" background="1">
    <dbPr connection="Provider=Microsoft.Mashup.OleDb.1;Data Source=$Workbook$;Location=&quot;매개 변수1&quot;;Extended Properties=&quot;&quot;" command="SELECT * FROM [매개 변수1]"/>
  </connection>
  <connection id="6" xr16:uid="{90441E28-DA40-40A1-9681-B23C726FF17D}" keepAlive="1" name="쿼리 - 샘플 파일" description="통합 문서의 '샘플 파일' 쿼리에 대한 연결입니다." type="5" refreshedVersion="0" background="1">
    <dbPr connection="Provider=Microsoft.Mashup.OleDb.1;Data Source=$Workbook$;Location=&quot;샘플 파일&quot;;Extended Properties=&quot;&quot;" command="SELECT * FROM [샘플 파일]"/>
  </connection>
  <connection id="7" xr16:uid="{EF27AB47-EBBE-4177-8F86-74B1FA9D7798}" keepAlive="1" name="쿼리 - 샘플 파일 변환" description="통합 문서의 '샘플 파일 변환' 쿼리에 대한 연결입니다." type="5" refreshedVersion="0" background="1">
    <dbPr connection="Provider=Microsoft.Mashup.OleDb.1;Data Source=$Workbook$;Location=&quot;샘플 파일 변환&quot;;Extended Properties=&quot;&quot;" command="SELECT * FROM [샘플 파일 변환]"/>
  </connection>
  <connection id="8" xr16:uid="{F50C8A24-7DC0-4E4C-880B-F9375C60A138}" keepAlive="1" name="쿼리 - 파일 변환" description="통합 문서의 '파일 변환' 쿼리에 대한 연결입니다." type="5" refreshedVersion="0" background="1">
    <dbPr connection="Provider=Microsoft.Mashup.OleDb.1;Data Source=$Workbook$;Location=&quot;파일 변환&quot;;Extended Properties=&quot;&quot;" command="SELECT * FROM [파일 변환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<sst xmlns="http://schemas.openxmlformats.org/spreadsheetml/2006/main" count="872" uniqueCount="598">
  <si>
    <t>ID</t>
    <phoneticPr fontId="4" type="noConversion"/>
  </si>
  <si>
    <t>쇼핑몰구분</t>
    <phoneticPr fontId="4" type="noConversion"/>
  </si>
  <si>
    <t>구입일자</t>
    <phoneticPr fontId="4" type="noConversion"/>
  </si>
  <si>
    <t>상품주문번호</t>
  </si>
  <si>
    <t>판매채널</t>
  </si>
  <si>
    <t>구매자명</t>
  </si>
  <si>
    <t>구매자ID</t>
  </si>
  <si>
    <t>구매자연락처</t>
    <phoneticPr fontId="4" type="noConversion"/>
  </si>
  <si>
    <t>택배사</t>
  </si>
  <si>
    <t>배송완료일</t>
    <phoneticPr fontId="4" type="noConversion"/>
  </si>
  <si>
    <t>상품명</t>
  </si>
  <si>
    <t>옵션정보</t>
  </si>
  <si>
    <t>수량</t>
  </si>
  <si>
    <t>수취인명</t>
  </si>
  <si>
    <t>수취인연락처1</t>
  </si>
  <si>
    <t>수취인연락처2</t>
  </si>
  <si>
    <t>배송지</t>
  </si>
  <si>
    <t>배송메세지</t>
  </si>
  <si>
    <t>판매자메모</t>
    <phoneticPr fontId="4" type="noConversion"/>
  </si>
  <si>
    <t>클레임</t>
    <phoneticPr fontId="4" type="noConversion"/>
  </si>
  <si>
    <t>결제액</t>
    <phoneticPr fontId="4" type="noConversion"/>
  </si>
  <si>
    <t>배송비</t>
    <phoneticPr fontId="4" type="noConversion"/>
  </si>
  <si>
    <t>업체배송비</t>
    <phoneticPr fontId="4" type="noConversion"/>
  </si>
  <si>
    <t>박스가격</t>
    <phoneticPr fontId="4" type="noConversion"/>
  </si>
  <si>
    <t>추가제작비용</t>
    <phoneticPr fontId="4" type="noConversion"/>
  </si>
  <si>
    <t>종류</t>
    <phoneticPr fontId="4" type="noConversion"/>
  </si>
  <si>
    <t>재구매</t>
    <phoneticPr fontId="4" type="noConversion"/>
  </si>
  <si>
    <t>제품공급가</t>
    <phoneticPr fontId="4" type="noConversion"/>
  </si>
  <si>
    <t>거래처지급액</t>
    <phoneticPr fontId="4" type="noConversion"/>
  </si>
  <si>
    <t>수수료</t>
    <phoneticPr fontId="4" type="noConversion"/>
  </si>
  <si>
    <t>순이익</t>
    <phoneticPr fontId="4" type="noConversion"/>
  </si>
  <si>
    <t>마진율</t>
    <phoneticPr fontId="4" type="noConversion"/>
  </si>
  <si>
    <t>검사</t>
    <phoneticPr fontId="4" type="noConversion"/>
  </si>
  <si>
    <t>시트버전</t>
    <phoneticPr fontId="4" type="noConversion"/>
  </si>
  <si>
    <t>묶음</t>
    <phoneticPr fontId="4" type="noConversion"/>
  </si>
  <si>
    <t>발송일</t>
    <phoneticPr fontId="3" type="noConversion"/>
  </si>
  <si>
    <t>제주/도서추가배송비</t>
    <phoneticPr fontId="3" type="noConversion"/>
  </si>
  <si>
    <t>판매자부담할인액</t>
    <phoneticPr fontId="4" type="noConversion"/>
  </si>
  <si>
    <t>1개판매금액</t>
    <phoneticPr fontId="4" type="noConversion"/>
  </si>
  <si>
    <t>총판매금액</t>
    <phoneticPr fontId="4" type="noConversion"/>
  </si>
  <si>
    <t>총판매금액(검)</t>
    <phoneticPr fontId="4" type="noConversion"/>
  </si>
  <si>
    <t>거래처지급액(검)</t>
    <phoneticPr fontId="4" type="noConversion"/>
  </si>
  <si>
    <t>수수료(검)</t>
    <phoneticPr fontId="4" type="noConversion"/>
  </si>
  <si>
    <t>순이익(검)</t>
    <phoneticPr fontId="4" type="noConversion"/>
  </si>
  <si>
    <t>마진율(검)</t>
    <phoneticPr fontId="4" type="noConversion"/>
  </si>
  <si>
    <t>검사(검)</t>
    <phoneticPr fontId="4" type="noConversion"/>
  </si>
  <si>
    <t>ProductShipment</t>
    <phoneticPr fontId="3" type="noConversion"/>
  </si>
  <si>
    <t>recipient</t>
    <phoneticPr fontId="3" type="noConversion"/>
  </si>
  <si>
    <t>vDB_se8_2023.accdb</t>
    <phoneticPr fontId="3" type="noConversion"/>
  </si>
  <si>
    <t>이름</t>
    <phoneticPr fontId="4" type="noConversion"/>
  </si>
  <si>
    <t>가격ID</t>
    <phoneticPr fontId="4" type="noConversion"/>
  </si>
  <si>
    <t>스마트스토어</t>
    <phoneticPr fontId="4" type="noConversion"/>
  </si>
  <si>
    <t>쿠팡</t>
    <phoneticPr fontId="4" type="noConversion"/>
  </si>
  <si>
    <t>대표</t>
    <phoneticPr fontId="4" type="noConversion"/>
  </si>
  <si>
    <t>제작</t>
    <phoneticPr fontId="4" type="noConversion"/>
  </si>
  <si>
    <t>올웨이즈</t>
    <phoneticPr fontId="4" type="noConversion"/>
  </si>
  <si>
    <t>위메프</t>
    <phoneticPr fontId="4" type="noConversion"/>
  </si>
  <si>
    <t>오프라인</t>
    <phoneticPr fontId="4" type="noConversion"/>
  </si>
  <si>
    <t>2022년 네이버</t>
    <phoneticPr fontId="4" type="noConversion"/>
  </si>
  <si>
    <t> 영역</t>
  </si>
  <si>
    <t> 수수료율 (VAT 포함)</t>
  </si>
  <si>
    <t>수수료 상세 </t>
  </si>
  <si>
    <t> 네이버쇼핑</t>
    <phoneticPr fontId="4" type="noConversion"/>
  </si>
  <si>
    <t> 2%</t>
  </si>
  <si>
    <t> 스마트스토어 상품을 네이버쇼핑 서비스에 노출하도록 연동하여  네이버쇼핑에 노출된 상품의 구매가 이루어졌을 경우 2% 과금</t>
    <phoneticPr fontId="4" type="noConversion"/>
  </si>
  <si>
    <t> ※ 반품/교환 배송비에 대해서는 매출연동 수수료는 과금되지 않음
 ※ 스토어 장바구니 할인 쿠폰 사용 시 쿠폰 적용 전 금액에서 2% 과금 </t>
    <phoneticPr fontId="4" type="noConversion"/>
  </si>
  <si>
    <r>
      <t xml:space="preserve">신용/체크카드 - </t>
    </r>
    <r>
      <rPr>
        <sz val="9"/>
        <color rgb="FF777777"/>
        <rFont val="나눔고딕"/>
        <family val="3"/>
        <charset val="129"/>
      </rPr>
      <t>일반 : 3.74%, 영세 : 2.20%, 중소1: 2.75%, 중소2 : 2.86%, 중소3 : 3.08%</t>
    </r>
    <phoneticPr fontId="4" type="noConversion"/>
  </si>
  <si>
    <r>
      <t xml:space="preserve">계좌이체 : </t>
    </r>
    <r>
      <rPr>
        <sz val="9"/>
        <color rgb="FF777777"/>
        <rFont val="나눔고딕"/>
        <family val="3"/>
        <charset val="129"/>
      </rPr>
      <t>1.65%</t>
    </r>
    <phoneticPr fontId="4" type="noConversion"/>
  </si>
  <si>
    <r>
      <t xml:space="preserve">무통장입금: </t>
    </r>
    <r>
      <rPr>
        <sz val="9"/>
        <color rgb="FF777777"/>
        <rFont val="나눔고딕"/>
        <family val="3"/>
        <charset val="129"/>
      </rPr>
      <t>1%(가상계좌, 최대 275원)</t>
    </r>
    <phoneticPr fontId="4" type="noConversion"/>
  </si>
  <si>
    <r>
      <t xml:space="preserve">휴대폰 결제 : </t>
    </r>
    <r>
      <rPr>
        <sz val="9"/>
        <color rgb="FF777777"/>
        <rFont val="나눔고딕"/>
        <family val="3"/>
        <charset val="129"/>
      </rPr>
      <t>3.85%</t>
    </r>
    <phoneticPr fontId="4" type="noConversion"/>
  </si>
  <si>
    <t>비닐팩토리</t>
    <phoneticPr fontId="4" type="noConversion"/>
  </si>
  <si>
    <r>
      <t xml:space="preserve">네이버페이 보조결제 : </t>
    </r>
    <r>
      <rPr>
        <sz val="9"/>
        <color rgb="FF777777"/>
        <rFont val="나눔고딕"/>
        <family val="3"/>
        <charset val="129"/>
      </rPr>
      <t>3.74%(포인트·머니/후불결제)</t>
    </r>
    <phoneticPr fontId="4" type="noConversion"/>
  </si>
  <si>
    <t>투명</t>
    <phoneticPr fontId="4" type="noConversion"/>
  </si>
  <si>
    <t>유백</t>
    <phoneticPr fontId="4" type="noConversion"/>
  </si>
  <si>
    <t>청백</t>
    <phoneticPr fontId="4" type="noConversion"/>
  </si>
  <si>
    <t>검정</t>
    <phoneticPr fontId="4" type="noConversion"/>
  </si>
  <si>
    <t>빨강</t>
    <phoneticPr fontId="4" type="noConversion"/>
  </si>
  <si>
    <t>노랑</t>
    <phoneticPr fontId="4" type="noConversion"/>
  </si>
  <si>
    <t>연두</t>
    <phoneticPr fontId="4" type="noConversion"/>
  </si>
  <si>
    <t>녹색</t>
    <phoneticPr fontId="4" type="noConversion"/>
  </si>
  <si>
    <t>청색</t>
    <phoneticPr fontId="4" type="noConversion"/>
  </si>
  <si>
    <t>오렌지</t>
    <phoneticPr fontId="4" type="noConversion"/>
  </si>
  <si>
    <t>보라</t>
    <phoneticPr fontId="4" type="noConversion"/>
  </si>
  <si>
    <t>클레임CS</t>
    <phoneticPr fontId="4" type="noConversion"/>
  </si>
  <si>
    <t>반품</t>
    <phoneticPr fontId="4" type="noConversion"/>
  </si>
  <si>
    <t>교환</t>
    <phoneticPr fontId="4" type="noConversion"/>
  </si>
  <si>
    <t>없음</t>
    <phoneticPr fontId="4" type="noConversion"/>
  </si>
  <si>
    <t>비닐스토리</t>
    <phoneticPr fontId="4" type="noConversion"/>
  </si>
  <si>
    <t>명칭</t>
    <phoneticPr fontId="4" type="noConversion"/>
  </si>
  <si>
    <t>금액</t>
    <phoneticPr fontId="4" type="noConversion"/>
  </si>
  <si>
    <t>극소</t>
    <phoneticPr fontId="4" type="noConversion"/>
  </si>
  <si>
    <t>소</t>
    <phoneticPr fontId="4" type="noConversion"/>
  </si>
  <si>
    <t>중</t>
    <phoneticPr fontId="4" type="noConversion"/>
  </si>
  <si>
    <t>대1</t>
    <phoneticPr fontId="4" type="noConversion"/>
  </si>
  <si>
    <t>대2</t>
    <phoneticPr fontId="4" type="noConversion"/>
  </si>
  <si>
    <t>이형</t>
    <phoneticPr fontId="4" type="noConversion"/>
  </si>
  <si>
    <t>무료</t>
    <phoneticPr fontId="4" type="noConversion"/>
  </si>
  <si>
    <t>기타</t>
    <phoneticPr fontId="4" type="noConversion"/>
  </si>
  <si>
    <t>PE중</t>
    <phoneticPr fontId="4" type="noConversion"/>
  </si>
  <si>
    <t>유료</t>
    <phoneticPr fontId="4" type="noConversion"/>
  </si>
  <si>
    <t>유료2</t>
    <phoneticPr fontId="4" type="noConversion"/>
  </si>
  <si>
    <t>시트이름</t>
    <phoneticPr fontId="4" type="noConversion"/>
  </si>
  <si>
    <t>테이블이름</t>
    <phoneticPr fontId="4" type="noConversion"/>
  </si>
  <si>
    <t>ptDB46</t>
    <phoneticPr fontId="4" type="noConversion"/>
  </si>
  <si>
    <t>seDB47</t>
    <phoneticPr fontId="4" type="noConversion"/>
  </si>
  <si>
    <t>pDB</t>
    <phoneticPr fontId="3" type="noConversion"/>
  </si>
  <si>
    <t>재원단가</t>
    <phoneticPr fontId="4" type="noConversion"/>
  </si>
  <si>
    <t>세은단가</t>
    <phoneticPr fontId="4" type="noConversion"/>
  </si>
  <si>
    <t>단가모음</t>
    <phoneticPr fontId="3" type="noConversion"/>
  </si>
  <si>
    <t>년</t>
    <phoneticPr fontId="3" type="noConversion"/>
  </si>
  <si>
    <t>월</t>
    <phoneticPr fontId="3" type="noConversion"/>
  </si>
  <si>
    <t>비닐스토리</t>
    <phoneticPr fontId="3" type="noConversion"/>
  </si>
  <si>
    <t>거래처지급액</t>
    <phoneticPr fontId="3" type="noConversion"/>
  </si>
  <si>
    <t>순이익</t>
    <phoneticPr fontId="3" type="noConversion"/>
  </si>
  <si>
    <t>순수순이익</t>
    <phoneticPr fontId="3" type="noConversion"/>
  </si>
  <si>
    <t>스_매출</t>
    <phoneticPr fontId="3" type="noConversion"/>
  </si>
  <si>
    <t>스_매출2</t>
    <phoneticPr fontId="3" type="noConversion"/>
  </si>
  <si>
    <t>스_매출3</t>
    <phoneticPr fontId="3" type="noConversion"/>
  </si>
  <si>
    <t>비닐팩토리</t>
    <phoneticPr fontId="3" type="noConversion"/>
  </si>
  <si>
    <t>팩매출</t>
    <phoneticPr fontId="3" type="noConversion"/>
  </si>
  <si>
    <t>ID</t>
  </si>
  <si>
    <t>판매채널</t>
    <phoneticPr fontId="4" type="noConversion"/>
  </si>
  <si>
    <t>구매자ID</t>
    <phoneticPr fontId="4" type="noConversion"/>
  </si>
  <si>
    <t>수취인명</t>
    <phoneticPr fontId="4" type="noConversion"/>
  </si>
  <si>
    <t>연락처1</t>
  </si>
  <si>
    <t>연락처2</t>
  </si>
  <si>
    <t>메모</t>
    <phoneticPr fontId="4" type="noConversion"/>
  </si>
  <si>
    <t>누계</t>
    <phoneticPr fontId="3" type="noConversion"/>
  </si>
  <si>
    <t>SE.206</t>
  </si>
  <si>
    <t>떡롤 45*330</t>
  </si>
  <si>
    <t>제품코드</t>
    <phoneticPr fontId="4" type="noConversion"/>
  </si>
  <si>
    <t>SE.1</t>
    <phoneticPr fontId="4" type="noConversion"/>
  </si>
  <si>
    <t>SE.2</t>
    <phoneticPr fontId="4" type="noConversion"/>
  </si>
  <si>
    <t>중 70P</t>
  </si>
  <si>
    <t>SE.3</t>
  </si>
  <si>
    <t>중 60P</t>
  </si>
  <si>
    <t>SE.4</t>
  </si>
  <si>
    <t>중 100P</t>
  </si>
  <si>
    <t>SE.5</t>
  </si>
  <si>
    <t>대A</t>
    <phoneticPr fontId="4" type="noConversion"/>
  </si>
  <si>
    <t>SE.6</t>
  </si>
  <si>
    <t>대B 60P</t>
  </si>
  <si>
    <t>SE.7</t>
  </si>
  <si>
    <t>대B 100P</t>
    <phoneticPr fontId="4" type="noConversion"/>
  </si>
  <si>
    <t>SE.8</t>
  </si>
  <si>
    <t>대위</t>
    <phoneticPr fontId="4" type="noConversion"/>
  </si>
  <si>
    <t>SE.9</t>
  </si>
  <si>
    <t>관반</t>
    <phoneticPr fontId="4" type="noConversion"/>
  </si>
  <si>
    <t>SE.10</t>
  </si>
  <si>
    <t>관반 100p</t>
  </si>
  <si>
    <t>SE.11</t>
    <phoneticPr fontId="4" type="noConversion"/>
  </si>
  <si>
    <t>SE.12</t>
    <phoneticPr fontId="4" type="noConversion"/>
  </si>
  <si>
    <t>SE.13</t>
  </si>
  <si>
    <t>특대C</t>
    <phoneticPr fontId="4" type="noConversion"/>
  </si>
  <si>
    <t>SE.14</t>
  </si>
  <si>
    <t>특대B</t>
    <phoneticPr fontId="4" type="noConversion"/>
  </si>
  <si>
    <t>SE.15</t>
  </si>
  <si>
    <t>특대A</t>
    <phoneticPr fontId="4" type="noConversion"/>
  </si>
  <si>
    <t>SE.16</t>
  </si>
  <si>
    <t>30특대</t>
    <phoneticPr fontId="4" type="noConversion"/>
  </si>
  <si>
    <t>SE.17</t>
  </si>
  <si>
    <t>왕대B</t>
    <phoneticPr fontId="4" type="noConversion"/>
  </si>
  <si>
    <t>SE.18</t>
  </si>
  <si>
    <t>왕대A</t>
    <phoneticPr fontId="4" type="noConversion"/>
  </si>
  <si>
    <t>SE.19</t>
  </si>
  <si>
    <t>왕대과일</t>
    <phoneticPr fontId="4" type="noConversion"/>
  </si>
  <si>
    <t>SE.20</t>
  </si>
  <si>
    <t>왕특C</t>
    <phoneticPr fontId="4" type="noConversion"/>
  </si>
  <si>
    <t>SE.21</t>
  </si>
  <si>
    <t>왕특B</t>
    <phoneticPr fontId="4" type="noConversion"/>
  </si>
  <si>
    <t>SE.22</t>
  </si>
  <si>
    <t xml:space="preserve">왕특A </t>
    <phoneticPr fontId="4" type="noConversion"/>
  </si>
  <si>
    <t>SE.23</t>
  </si>
  <si>
    <t>왕왕특</t>
    <phoneticPr fontId="4" type="noConversion"/>
  </si>
  <si>
    <t>SE.24</t>
  </si>
  <si>
    <t>멸치봉투</t>
    <phoneticPr fontId="4" type="noConversion"/>
  </si>
  <si>
    <t>SE.25</t>
  </si>
  <si>
    <t>베게보</t>
    <phoneticPr fontId="4" type="noConversion"/>
  </si>
  <si>
    <t>SE.26</t>
  </si>
  <si>
    <t>이불소</t>
    <phoneticPr fontId="4" type="noConversion"/>
  </si>
  <si>
    <t>SE.27</t>
  </si>
  <si>
    <t>이불중</t>
    <phoneticPr fontId="4" type="noConversion"/>
  </si>
  <si>
    <t>SE.28</t>
  </si>
  <si>
    <t>이불대</t>
    <phoneticPr fontId="4" type="noConversion"/>
  </si>
  <si>
    <t>SE.29</t>
  </si>
  <si>
    <t>빅사이즈</t>
    <phoneticPr fontId="4" type="noConversion"/>
  </si>
  <si>
    <t>SE.30</t>
  </si>
  <si>
    <t>과일 16*38</t>
  </si>
  <si>
    <t>SE.31</t>
  </si>
  <si>
    <t>과일 18*38</t>
  </si>
  <si>
    <t>SE.32</t>
  </si>
  <si>
    <t>과일 18*47</t>
  </si>
  <si>
    <t>SE.33</t>
  </si>
  <si>
    <t>과일 20*50</t>
  </si>
  <si>
    <t>SE.36</t>
  </si>
  <si>
    <t>과일 27*55</t>
  </si>
  <si>
    <t>SE.37</t>
  </si>
  <si>
    <t>파봉지</t>
    <phoneticPr fontId="4" type="noConversion"/>
  </si>
  <si>
    <t>SE.39</t>
  </si>
  <si>
    <t>족발 31*50</t>
  </si>
  <si>
    <t>SE.40</t>
  </si>
  <si>
    <t>통닭</t>
    <phoneticPr fontId="4" type="noConversion"/>
  </si>
  <si>
    <t>SE.41</t>
  </si>
  <si>
    <t>족발 30*40</t>
  </si>
  <si>
    <t>SE.42</t>
  </si>
  <si>
    <t>족발 35*45</t>
  </si>
  <si>
    <t>SE.43</t>
  </si>
  <si>
    <t>족발 37*55</t>
  </si>
  <si>
    <t>SE.101</t>
  </si>
  <si>
    <t>소폭 10*26</t>
  </si>
  <si>
    <t>SE.102</t>
  </si>
  <si>
    <t>소폭 12*26</t>
  </si>
  <si>
    <t>SE.103</t>
  </si>
  <si>
    <t>소폭 15*32</t>
  </si>
  <si>
    <t>SE.104</t>
  </si>
  <si>
    <t>소폭 18*36</t>
  </si>
  <si>
    <t>SE.105</t>
  </si>
  <si>
    <t>소폭 20*38</t>
  </si>
  <si>
    <t>SE.106</t>
  </si>
  <si>
    <t>소폭 24*38</t>
  </si>
  <si>
    <t>SE.107</t>
  </si>
  <si>
    <t>소폭 30*51</t>
  </si>
  <si>
    <t>SE.108</t>
  </si>
  <si>
    <t>고추 45*75</t>
    <phoneticPr fontId="4" type="noConversion"/>
  </si>
  <si>
    <t>SE.109</t>
  </si>
  <si>
    <t>고추 48*80</t>
    <phoneticPr fontId="4" type="noConversion"/>
  </si>
  <si>
    <t>SE.110</t>
  </si>
  <si>
    <t>고추 60*90</t>
    <phoneticPr fontId="4" type="noConversion"/>
  </si>
  <si>
    <t>SE.111</t>
  </si>
  <si>
    <t>고추 70*110</t>
    <phoneticPr fontId="4" type="noConversion"/>
  </si>
  <si>
    <t>SE.112</t>
  </si>
  <si>
    <t>고추 75*130</t>
    <phoneticPr fontId="4" type="noConversion"/>
  </si>
  <si>
    <t>SE.113</t>
  </si>
  <si>
    <t>고추 80*120</t>
    <phoneticPr fontId="4" type="noConversion"/>
  </si>
  <si>
    <t>SE.114</t>
  </si>
  <si>
    <t>고추 90*130</t>
    <phoneticPr fontId="4" type="noConversion"/>
  </si>
  <si>
    <t>SE.115</t>
  </si>
  <si>
    <t>고추 100*150</t>
    <phoneticPr fontId="4" type="noConversion"/>
  </si>
  <si>
    <t>SE.116</t>
  </si>
  <si>
    <t>고추 120*170</t>
    <phoneticPr fontId="4" type="noConversion"/>
  </si>
  <si>
    <t>SE.117</t>
  </si>
  <si>
    <t>조리개</t>
    <phoneticPr fontId="4" type="noConversion"/>
  </si>
  <si>
    <t>SE.118</t>
  </si>
  <si>
    <t>막지 40*60</t>
  </si>
  <si>
    <t>SE.119</t>
  </si>
  <si>
    <t>막지 48*70</t>
  </si>
  <si>
    <t>SE.120</t>
  </si>
  <si>
    <t>막지 53*73</t>
  </si>
  <si>
    <t>SE.121</t>
  </si>
  <si>
    <t>막지 63*90</t>
  </si>
  <si>
    <t>SE.122</t>
  </si>
  <si>
    <t>막지 75*100</t>
  </si>
  <si>
    <t>SE.123</t>
  </si>
  <si>
    <t>막지 90*110</t>
  </si>
  <si>
    <t>SE.124</t>
  </si>
  <si>
    <t>막지 90*120</t>
  </si>
  <si>
    <t>SE.125</t>
  </si>
  <si>
    <t>속지 20*30</t>
  </si>
  <si>
    <t>SE.126</t>
  </si>
  <si>
    <t>속지 24*36</t>
  </si>
  <si>
    <t>SE.127</t>
  </si>
  <si>
    <t>속지 28*40</t>
  </si>
  <si>
    <t>SE.128</t>
  </si>
  <si>
    <t>속지 30*40</t>
  </si>
  <si>
    <t>SE.129</t>
  </si>
  <si>
    <t>속지 32*45</t>
  </si>
  <si>
    <t>SE.130</t>
  </si>
  <si>
    <t>속지 35*50</t>
  </si>
  <si>
    <t>SE.131</t>
  </si>
  <si>
    <t>우엉</t>
    <phoneticPr fontId="4" type="noConversion"/>
  </si>
  <si>
    <t>SE.132</t>
  </si>
  <si>
    <t>진공팩23</t>
  </si>
  <si>
    <t>SE.133</t>
  </si>
  <si>
    <t>진공팩25</t>
  </si>
  <si>
    <t>SE.134</t>
  </si>
  <si>
    <t>진공팩28</t>
  </si>
  <si>
    <t>SE.135</t>
  </si>
  <si>
    <t>진공팩32</t>
  </si>
  <si>
    <t>SE.136</t>
  </si>
  <si>
    <t>진공팩35</t>
  </si>
  <si>
    <t>SE.137</t>
  </si>
  <si>
    <t>끈속지 25*35</t>
  </si>
  <si>
    <t>SE.138</t>
  </si>
  <si>
    <t>끈속지 30*45</t>
  </si>
  <si>
    <t>SE.139</t>
  </si>
  <si>
    <t>끈속지 35*50</t>
  </si>
  <si>
    <t>SE.140</t>
  </si>
  <si>
    <t>끈속지 40*60</t>
    <phoneticPr fontId="4" type="noConversion"/>
  </si>
  <si>
    <t>SE.201</t>
  </si>
  <si>
    <t>떡롤 20*400</t>
  </si>
  <si>
    <t>SE.202</t>
  </si>
  <si>
    <t>떡롤 22*400</t>
  </si>
  <si>
    <t>SE.203</t>
  </si>
  <si>
    <t>떡롤 24*400</t>
  </si>
  <si>
    <t>SE.204</t>
  </si>
  <si>
    <t>떡롤 30*400</t>
  </si>
  <si>
    <t>SE.205</t>
  </si>
  <si>
    <t>떡롤 35*400</t>
  </si>
  <si>
    <t>SE.207</t>
  </si>
  <si>
    <t>SE.301</t>
  </si>
  <si>
    <t>떡외겹 15*20</t>
  </si>
  <si>
    <t>SE.302</t>
  </si>
  <si>
    <t>떡외겹 20*30</t>
  </si>
  <si>
    <t>SE.303</t>
  </si>
  <si>
    <t>떡외겹 25*25</t>
  </si>
  <si>
    <t>SE.304</t>
  </si>
  <si>
    <t>떡외겹 30*38</t>
  </si>
  <si>
    <t>SE.305</t>
  </si>
  <si>
    <t>떡외겹 39*40</t>
  </si>
  <si>
    <t>SE.306</t>
  </si>
  <si>
    <t>떡외겹 20*20</t>
  </si>
  <si>
    <t>SE.307</t>
  </si>
  <si>
    <t>떡외겹 30*30</t>
  </si>
  <si>
    <t>SE.401</t>
  </si>
  <si>
    <t>옷비닐</t>
    <phoneticPr fontId="4" type="noConversion"/>
  </si>
  <si>
    <t>SE.402</t>
  </si>
  <si>
    <t>롤백 25*35</t>
  </si>
  <si>
    <t>SE.403</t>
  </si>
  <si>
    <t>롤백 30*40</t>
    <phoneticPr fontId="4" type="noConversion"/>
  </si>
  <si>
    <t>SE.404</t>
  </si>
  <si>
    <t>롤백 35*50</t>
  </si>
  <si>
    <t>SE.405</t>
  </si>
  <si>
    <t>식탁보</t>
    <phoneticPr fontId="4" type="noConversion"/>
  </si>
  <si>
    <t>SE.406</t>
  </si>
  <si>
    <t>SE.407</t>
  </si>
  <si>
    <t>SE.408</t>
  </si>
  <si>
    <t>SE.999</t>
    <phoneticPr fontId="4" type="noConversion"/>
  </si>
  <si>
    <t>-</t>
    <phoneticPr fontId="4" type="noConversion"/>
  </si>
  <si>
    <t>2023010267662551</t>
    <phoneticPr fontId="3" type="noConversion"/>
  </si>
  <si>
    <t>스마트스토어</t>
    <phoneticPr fontId="3" type="noConversion"/>
  </si>
  <si>
    <t>강경숙</t>
    <phoneticPr fontId="3" type="noConversion"/>
  </si>
  <si>
    <t>kkanggs74</t>
    <phoneticPr fontId="3" type="noConversion"/>
  </si>
  <si>
    <t>CJ대한통운</t>
    <phoneticPr fontId="3" type="noConversion"/>
  </si>
  <si>
    <t>653499871196</t>
    <phoneticPr fontId="3" type="noConversion"/>
  </si>
  <si>
    <t>010-9034-9537</t>
    <phoneticPr fontId="3" type="noConversion"/>
  </si>
  <si>
    <t>인천광역시 남동구 논현고잔로 208-1 (논현동, 어진마을한화꿈에그린6단지 상가)_x000D_
1층 104호 수작떡공방</t>
    <phoneticPr fontId="3" type="noConversion"/>
  </si>
  <si>
    <t>SE.206</t>
    <phoneticPr fontId="3" type="noConversion"/>
  </si>
  <si>
    <t>투명</t>
    <phoneticPr fontId="3" type="noConversion"/>
  </si>
  <si>
    <t>ptDB46</t>
    <phoneticPr fontId="3" type="noConversion"/>
  </si>
  <si>
    <t>test1</t>
    <phoneticPr fontId="3" type="noConversion"/>
  </si>
  <si>
    <t>010-1234-1234</t>
    <phoneticPr fontId="3" type="noConversion"/>
  </si>
  <si>
    <t>경기도 하남시</t>
    <phoneticPr fontId="3" type="noConversion"/>
  </si>
  <si>
    <t>CS메모</t>
    <phoneticPr fontId="4" type="noConversion"/>
  </si>
  <si>
    <t>송장번호</t>
    <phoneticPr fontId="4" type="noConversion"/>
  </si>
  <si>
    <t>비닐스토리</t>
  </si>
  <si>
    <t>스마트스토어</t>
  </si>
  <si>
    <t>CJ대한통운</t>
  </si>
  <si>
    <t>투명</t>
  </si>
  <si>
    <t>ptDB46</t>
  </si>
  <si>
    <t>2023010282358391</t>
  </si>
  <si>
    <t>강성우</t>
  </si>
  <si>
    <t>haeindf</t>
  </si>
  <si>
    <t>653528635095</t>
  </si>
  <si>
    <t>010-5318-9010</t>
  </si>
  <si>
    <t>서울특별시 은평구 증산로3길 5-7 (증산동)_x000D_
1층 데이너스튜디오</t>
  </si>
  <si>
    <t>25000163577498</t>
  </si>
  <si>
    <t>쿠팡</t>
  </si>
  <si>
    <t>박혜영</t>
  </si>
  <si>
    <t>010-****-3618</t>
  </si>
  <si>
    <t>653499871174</t>
  </si>
  <si>
    <t>Na</t>
  </si>
  <si>
    <t>0503-8774-9680</t>
  </si>
  <si>
    <t>서울특별시 강서구 강서로8길 206 204</t>
  </si>
  <si>
    <t>문 앞</t>
  </si>
  <si>
    <t>검정</t>
  </si>
  <si>
    <t>21000164696696</t>
  </si>
  <si>
    <t>홍원표</t>
  </si>
  <si>
    <t>010-****-0932</t>
  </si>
  <si>
    <t>653499871185</t>
  </si>
  <si>
    <t>0502-4674-9208</t>
  </si>
  <si>
    <t>인천광역시 연수구 학나래로45번길 39 4층 401호</t>
  </si>
  <si>
    <t>쇼핑몰구분</t>
  </si>
  <si>
    <t>구매자연락처</t>
  </si>
  <si>
    <t>구입일자</t>
  </si>
  <si>
    <t>발송일</t>
  </si>
  <si>
    <t>송장번호</t>
  </si>
  <si>
    <t>배송완료일</t>
  </si>
  <si>
    <t>결제액</t>
  </si>
  <si>
    <t>판매자부담할인액</t>
  </si>
  <si>
    <t>배송비</t>
  </si>
  <si>
    <t>제주/도서추가배송비</t>
  </si>
  <si>
    <t>업체배송비</t>
  </si>
  <si>
    <t>박스가격</t>
  </si>
  <si>
    <t>추가제작비용</t>
  </si>
  <si>
    <t>1개판매금액</t>
  </si>
  <si>
    <t>제품공급가</t>
  </si>
  <si>
    <t>총판매금액</t>
  </si>
  <si>
    <t>거래처지급액</t>
  </si>
  <si>
    <t>수수료</t>
  </si>
  <si>
    <t>순이익</t>
  </si>
  <si>
    <t>마진율</t>
  </si>
  <si>
    <t>검사</t>
  </si>
  <si>
    <t>판매자메모</t>
  </si>
  <si>
    <t>클레임</t>
  </si>
  <si>
    <t>종류</t>
  </si>
  <si>
    <t>재구매</t>
  </si>
  <si>
    <t>시트버전</t>
  </si>
  <si>
    <t>묶음</t>
  </si>
  <si>
    <t>총판매금액(검)</t>
  </si>
  <si>
    <t>거래처지급액(검)</t>
  </si>
  <si>
    <t>수수료(검)</t>
  </si>
  <si>
    <t>순이익(검)</t>
  </si>
  <si>
    <t>마진율(검)</t>
  </si>
  <si>
    <t>검사(검)</t>
  </si>
  <si>
    <t>누계</t>
  </si>
  <si>
    <t/>
  </si>
  <si>
    <t>2023010267662551</t>
  </si>
  <si>
    <t>강경숙</t>
  </si>
  <si>
    <t>kkanggs74</t>
  </si>
  <si>
    <t>653499871196</t>
  </si>
  <si>
    <t>010-9034-9537</t>
  </si>
  <si>
    <t>인천광역시 남동구 논현고잔로 208-1 (논현동, 어진마을한화꿈에그린6단지 상가)_x000D_
1층 104호 수작떡공방</t>
  </si>
  <si>
    <t>비닐팩토리</t>
  </si>
  <si>
    <t>왕특C</t>
  </si>
  <si>
    <t>DB\</t>
    <phoneticPr fontId="3" type="noConversion"/>
  </si>
  <si>
    <t>etc</t>
    <phoneticPr fontId="4" type="noConversion"/>
  </si>
  <si>
    <t>참고</t>
    <phoneticPr fontId="23" type="noConversion"/>
  </si>
  <si>
    <t>상품명</t>
    <phoneticPr fontId="23" type="noConversion"/>
  </si>
  <si>
    <t>참고상품명</t>
    <phoneticPr fontId="23" type="noConversion"/>
  </si>
  <si>
    <t>옵션</t>
    <phoneticPr fontId="23" type="noConversion"/>
  </si>
  <si>
    <t>수량</t>
    <phoneticPr fontId="23" type="noConversion"/>
  </si>
  <si>
    <t>업체배송비</t>
    <phoneticPr fontId="23" type="noConversion"/>
  </si>
  <si>
    <t>박스가격</t>
    <phoneticPr fontId="23" type="noConversion"/>
  </si>
  <si>
    <t>제작</t>
    <phoneticPr fontId="23" type="noConversion"/>
  </si>
  <si>
    <t>클레임</t>
    <phoneticPr fontId="23" type="noConversion"/>
  </si>
  <si>
    <t>cs메모</t>
    <phoneticPr fontId="23" type="noConversion"/>
  </si>
  <si>
    <t>상품이름</t>
  </si>
  <si>
    <t>옵션</t>
  </si>
  <si>
    <t>박스 크기</t>
  </si>
  <si>
    <t>(쿠)상품주문번호</t>
  </si>
  <si>
    <t>(네)상품주문번호</t>
  </si>
  <si>
    <t>주문자이메일&amp;ID</t>
  </si>
  <si>
    <t>출고일(발송일)</t>
  </si>
  <si>
    <t>수취인전화번호1</t>
  </si>
  <si>
    <t>수취인전화번호2</t>
  </si>
  <si>
    <t>상품결제금액</t>
  </si>
  <si>
    <t>상품금액</t>
  </si>
  <si>
    <t>주문금액</t>
  </si>
  <si>
    <t>정산 예정 금액</t>
  </si>
  <si>
    <t>쇼핑몰 수수료</t>
  </si>
  <si>
    <t>기본 배송비</t>
  </si>
  <si>
    <t>도서산간 추가배송비</t>
  </si>
  <si>
    <t>묶음배송번호</t>
  </si>
  <si>
    <t>극소</t>
  </si>
  <si>
    <t>스마트 스토어</t>
  </si>
  <si>
    <t>떡비닐 1롤 45cmX330M 투명 롤마끼 떡깔개 일타 떡집 타갬비닐 떡포장 SE206</t>
  </si>
  <si>
    <t>소</t>
  </si>
  <si>
    <t>SE101 소폭 10X26 100p</t>
  </si>
  <si>
    <t>1개</t>
  </si>
  <si>
    <t>직접 받고 부재 시 문 앞</t>
  </si>
  <si>
    <t>ITEM</t>
    <phoneticPr fontId="23" type="noConversion"/>
  </si>
  <si>
    <t>VALUE1</t>
    <phoneticPr fontId="23" type="noConversion"/>
  </si>
  <si>
    <t>VALUE2</t>
    <phoneticPr fontId="23" type="noConversion"/>
  </si>
  <si>
    <t>VALUE3</t>
  </si>
  <si>
    <t>INSERTED_DATE</t>
    <phoneticPr fontId="23" type="noConversion"/>
  </si>
  <si>
    <t>UPDATED_DATE</t>
    <phoneticPr fontId="23" type="noConversion"/>
  </si>
  <si>
    <t>COMPANY</t>
    <phoneticPr fontId="23" type="noConversion"/>
  </si>
  <si>
    <t>theK</t>
    <phoneticPr fontId="23" type="noConversion"/>
  </si>
  <si>
    <t>AUTHOR_NAME</t>
    <phoneticPr fontId="23" type="noConversion"/>
  </si>
  <si>
    <t>AUTHOR_EMAIL</t>
    <phoneticPr fontId="23" type="noConversion"/>
  </si>
  <si>
    <t>rain1976x@naver.com</t>
    <phoneticPr fontId="23" type="noConversion"/>
  </si>
  <si>
    <t>PROGRAM_NAME</t>
    <phoneticPr fontId="23" type="noConversion"/>
  </si>
  <si>
    <t>PROGRAM_SITE</t>
    <phoneticPr fontId="23" type="noConversion"/>
  </si>
  <si>
    <t>PROGRAM_SITE_DISP</t>
    <phoneticPr fontId="23" type="noConversion"/>
  </si>
  <si>
    <t>VERSION</t>
    <phoneticPr fontId="23" type="noConversion"/>
  </si>
  <si>
    <t>RELEASE_DATE</t>
    <phoneticPr fontId="23" type="noConversion"/>
  </si>
  <si>
    <t>LICENSE</t>
    <phoneticPr fontId="23" type="noConversion"/>
  </si>
  <si>
    <t>GPLv3</t>
    <phoneticPr fontId="23" type="noConversion"/>
  </si>
  <si>
    <t>OPTIONS_GENERAL</t>
    <phoneticPr fontId="27" type="noConversion"/>
  </si>
  <si>
    <t>Name:chkCheckForUpdatesOnStartup</t>
  </si>
  <si>
    <t>vinylman 8</t>
    <phoneticPr fontId="23" type="noConversion"/>
  </si>
  <si>
    <t>DEFAULT_FOLDER_PATH</t>
    <phoneticPr fontId="3" type="noConversion"/>
  </si>
  <si>
    <t>CUSTOM_FOLDER_PATH</t>
    <phoneticPr fontId="3" type="noConversion"/>
  </si>
  <si>
    <t>DB_NAME</t>
    <phoneticPr fontId="3" type="noConversion"/>
  </si>
  <si>
    <t>FORWARDING_DB</t>
    <phoneticPr fontId="3" type="noConversion"/>
  </si>
  <si>
    <t>CUSTOMER_DB</t>
    <phoneticPr fontId="3" type="noConversion"/>
  </si>
  <si>
    <t>DB_FOLDER_PATH</t>
    <phoneticPr fontId="3" type="noConversion"/>
  </si>
  <si>
    <t>FOLDER_MIDDLE_NAME</t>
    <phoneticPr fontId="3" type="noConversion"/>
  </si>
  <si>
    <t>SELECTED_FOLDER</t>
    <phoneticPr fontId="3" type="noConversion"/>
  </si>
  <si>
    <t>http://rain.dothome.co.kr/</t>
    <phoneticPr fontId="23" type="noConversion"/>
  </si>
  <si>
    <t>떡롤 45*330</t>
    <phoneticPr fontId="3" type="noConversion"/>
  </si>
  <si>
    <t>2023010282358391</t>
    <phoneticPr fontId="3" type="noConversion"/>
  </si>
  <si>
    <t>강성우</t>
    <phoneticPr fontId="3" type="noConversion"/>
  </si>
  <si>
    <t>haeindf</t>
    <phoneticPr fontId="3" type="noConversion"/>
  </si>
  <si>
    <t>653528635095</t>
    <phoneticPr fontId="3" type="noConversion"/>
  </si>
  <si>
    <t>010-5318-9010</t>
    <phoneticPr fontId="3" type="noConversion"/>
  </si>
  <si>
    <t>서울특별시 은평구 증산로3길 5-7 (증산동)_x000D_
1층 데이너스튜디오</t>
    <phoneticPr fontId="3" type="noConversion"/>
  </si>
  <si>
    <t>SE.123</t>
    <phoneticPr fontId="3" type="noConversion"/>
  </si>
  <si>
    <t>막지 90*110</t>
    <phoneticPr fontId="3" type="noConversion"/>
  </si>
  <si>
    <t>25000163577498</t>
    <phoneticPr fontId="3" type="noConversion"/>
  </si>
  <si>
    <t>쿠팡</t>
    <phoneticPr fontId="3" type="noConversion"/>
  </si>
  <si>
    <t>박혜영</t>
    <phoneticPr fontId="3" type="noConversion"/>
  </si>
  <si>
    <t>010-****-3618</t>
    <phoneticPr fontId="3" type="noConversion"/>
  </si>
  <si>
    <t>653499871174</t>
    <phoneticPr fontId="3" type="noConversion"/>
  </si>
  <si>
    <t>Na</t>
    <phoneticPr fontId="3" type="noConversion"/>
  </si>
  <si>
    <t>0503-8774-9680</t>
    <phoneticPr fontId="3" type="noConversion"/>
  </si>
  <si>
    <t>서울특별시 강서구 강서로8길 206 204</t>
    <phoneticPr fontId="3" type="noConversion"/>
  </si>
  <si>
    <t>문 앞</t>
    <phoneticPr fontId="3" type="noConversion"/>
  </si>
  <si>
    <t>SE.20</t>
    <phoneticPr fontId="3" type="noConversion"/>
  </si>
  <si>
    <t>검정</t>
    <phoneticPr fontId="3" type="noConversion"/>
  </si>
  <si>
    <t>왕특C</t>
    <phoneticPr fontId="3" type="noConversion"/>
  </si>
  <si>
    <t>21000164696696</t>
    <phoneticPr fontId="3" type="noConversion"/>
  </si>
  <si>
    <t>홍원표</t>
    <phoneticPr fontId="3" type="noConversion"/>
  </si>
  <si>
    <t>010-****-0932</t>
    <phoneticPr fontId="3" type="noConversion"/>
  </si>
  <si>
    <t>653499871185</t>
    <phoneticPr fontId="3" type="noConversion"/>
  </si>
  <si>
    <t>0502-4674-9208</t>
    <phoneticPr fontId="3" type="noConversion"/>
  </si>
  <si>
    <t>인천광역시 연수구 학나래로45번길 39 4층 401호</t>
    <phoneticPr fontId="3" type="noConversion"/>
  </si>
  <si>
    <t>SE.105</t>
    <phoneticPr fontId="3" type="noConversion"/>
  </si>
  <si>
    <t>소폭 20*38</t>
    <phoneticPr fontId="3" type="noConversion"/>
  </si>
  <si>
    <t>김민지</t>
    <phoneticPr fontId="3" type="noConversion"/>
  </si>
  <si>
    <t>90jun15</t>
    <phoneticPr fontId="3" type="noConversion"/>
  </si>
  <si>
    <t>010-2310-1531</t>
    <phoneticPr fontId="3" type="noConversion"/>
  </si>
  <si>
    <t>경상남도 남해군 남해읍 화전로38번길 9 (남해읍, 남해한방족발)</t>
    <phoneticPr fontId="3" type="noConversion"/>
  </si>
  <si>
    <t>안은주</t>
    <phoneticPr fontId="3" type="noConversion"/>
  </si>
  <si>
    <t>hi_love_87</t>
    <phoneticPr fontId="3" type="noConversion"/>
  </si>
  <si>
    <t>010-5190-9950</t>
    <phoneticPr fontId="3" type="noConversion"/>
  </si>
  <si>
    <t>문앞에 놔주세요~</t>
    <phoneticPr fontId="3" type="noConversion"/>
  </si>
  <si>
    <t>경기도 화성시 봉담읍 동화리 휴먼시아5단지아파트_x000D_
507동 1304호</t>
    <phoneticPr fontId="3" type="noConversion"/>
  </si>
  <si>
    <t>박천희</t>
    <phoneticPr fontId="3" type="noConversion"/>
  </si>
  <si>
    <t>drf81681</t>
    <phoneticPr fontId="3" type="noConversion"/>
  </si>
  <si>
    <t>010-2785-8495</t>
    <phoneticPr fontId="3" type="noConversion"/>
  </si>
  <si>
    <t>02-3427-1680</t>
    <phoneticPr fontId="3" type="noConversion"/>
  </si>
  <si>
    <t>빠른배송 부탁드립니다</t>
    <phoneticPr fontId="3" type="noConversion"/>
  </si>
  <si>
    <t>경기도 하남시 감초로 205-24 (초이동_x000D_
(주)두리푸드시스템</t>
    <phoneticPr fontId="3" type="noConversion"/>
  </si>
  <si>
    <t xml:space="preserve"> 팩토리택배수수료</t>
    <phoneticPr fontId="4" type="noConversion"/>
  </si>
  <si>
    <t>기타</t>
    <phoneticPr fontId="3" type="noConversion"/>
  </si>
  <si>
    <t>스토리택배수수료</t>
    <phoneticPr fontId="4" type="noConversion"/>
  </si>
  <si>
    <t>팩토리수수료</t>
    <phoneticPr fontId="4" type="noConversion"/>
  </si>
  <si>
    <t>스토리수수료</t>
    <phoneticPr fontId="4" type="noConversion"/>
  </si>
  <si>
    <t>SE.1000</t>
    <phoneticPr fontId="3" type="noConversion"/>
  </si>
  <si>
    <t>대표</t>
    <phoneticPr fontId="3" type="noConversion"/>
  </si>
  <si>
    <t>제작</t>
    <phoneticPr fontId="3" type="noConversion"/>
  </si>
  <si>
    <t>옵션명</t>
    <phoneticPr fontId="4" type="noConversion"/>
  </si>
  <si>
    <r>
      <rPr>
        <sz val="10"/>
        <rFont val="맑은 고딕"/>
        <family val="2"/>
        <charset val="129"/>
      </rPr>
      <t>매입</t>
    </r>
    <r>
      <rPr>
        <sz val="10"/>
        <rFont val="Calibri"/>
        <family val="2"/>
      </rPr>
      <t>/</t>
    </r>
    <r>
      <rPr>
        <sz val="10"/>
        <rFont val="맑은 고딕"/>
        <family val="2"/>
        <charset val="129"/>
      </rPr>
      <t>매출</t>
    </r>
    <r>
      <rPr>
        <sz val="10"/>
        <rFont val="Calibri"/>
        <family val="2"/>
      </rPr>
      <t xml:space="preserve"> </t>
    </r>
    <r>
      <rPr>
        <sz val="10"/>
        <rFont val="맑은 고딕"/>
        <family val="2"/>
        <charset val="129"/>
      </rPr>
      <t>간편관리</t>
    </r>
    <r>
      <rPr>
        <sz val="10"/>
        <rFont val="Calibri"/>
        <family val="2"/>
        <charset val="129"/>
      </rPr>
      <t xml:space="preserve"> </t>
    </r>
    <r>
      <rPr>
        <sz val="10"/>
        <rFont val="Arial Unicode MS"/>
        <family val="2"/>
        <charset val="129"/>
      </rPr>
      <t>프로그램</t>
    </r>
    <phoneticPr fontId="27" type="noConversion"/>
  </si>
  <si>
    <t>8.0.3</t>
    <phoneticPr fontId="27" type="noConversion"/>
  </si>
  <si>
    <t>검사</t>
    <phoneticPr fontId="3" type="noConversion"/>
  </si>
  <si>
    <t>Check</t>
  </si>
  <si>
    <t>검수필터</t>
    <phoneticPr fontId="3" type="noConversion"/>
  </si>
  <si>
    <t>정렬순서</t>
    <phoneticPr fontId="3" type="noConversion"/>
  </si>
  <si>
    <t>오름차순</t>
    <phoneticPr fontId="3" type="noConversion"/>
  </si>
  <si>
    <t>내림차순</t>
    <phoneticPr fontId="3" type="noConversion"/>
  </si>
  <si>
    <t>가온푸드시스템</t>
  </si>
  <si>
    <t>떡비닐(외겹) 15X20 3000p 투명 SE301</t>
  </si>
  <si>
    <t>540069191990</t>
  </si>
  <si>
    <t>2023112491993221</t>
  </si>
  <si>
    <t>2023112448996851</t>
  </si>
  <si>
    <t>박금태</t>
  </si>
  <si>
    <t>irss****</t>
  </si>
  <si>
    <t>010-3682-7272</t>
  </si>
  <si>
    <t>062-573-6518</t>
  </si>
  <si>
    <t>광주광역시 광산구 수완동 363-9 3층건물 2층</t>
  </si>
  <si>
    <t>2023112468767927</t>
  </si>
  <si>
    <t>김동우</t>
  </si>
  <si>
    <t>SE201 떡비닐 20cmX400 투명</t>
  </si>
  <si>
    <t>540069191975</t>
  </si>
  <si>
    <t>2023112489942671</t>
  </si>
  <si>
    <t>2023112445641801</t>
  </si>
  <si>
    <t>kdw4****</t>
  </si>
  <si>
    <t>010-3508-4821</t>
  </si>
  <si>
    <t>경상북도 경산시 하양읍 하양로 58 (하양읍) 1층 오이시</t>
  </si>
  <si>
    <t>2023112468404027</t>
  </si>
  <si>
    <t>고성민</t>
  </si>
  <si>
    <t>중</t>
  </si>
  <si>
    <t>540069428984</t>
  </si>
  <si>
    <t>2023112373589131</t>
  </si>
  <si>
    <t>2023112319795481</t>
  </si>
  <si>
    <t>이시은</t>
  </si>
  <si>
    <t>desi****</t>
  </si>
  <si>
    <t>010-5273-5184</t>
  </si>
  <si>
    <t>010-9061-0524</t>
  </si>
  <si>
    <t>서울특별시 송파구 오금로31가길 20 (방이동, 대림가락) 1층 프로퍼커피바2호점</t>
  </si>
  <si>
    <t>2023112365515415</t>
  </si>
  <si>
    <t>양혜영</t>
  </si>
  <si>
    <t>540069090453</t>
  </si>
  <si>
    <t>28100020712658</t>
  </si>
  <si>
    <t>yh*****@na</t>
  </si>
  <si>
    <t>0502-5282-8421</t>
  </si>
  <si>
    <t>경상남도 김해시 대청동 71-1 네오프라자115-1 안흥찐빵</t>
  </si>
  <si>
    <t>5734084587</t>
  </si>
  <si>
    <t>신은주</t>
  </si>
  <si>
    <t>SE204호 (떡비닐 1롤) 30cmX400M</t>
  </si>
  <si>
    <t>SE204 (떡비닐 1롤) 30cmX400M</t>
  </si>
  <si>
    <t>540069090394</t>
  </si>
  <si>
    <t>14100020765123</t>
  </si>
  <si>
    <t>유을순</t>
  </si>
  <si>
    <t>ic*****@na</t>
  </si>
  <si>
    <t>0502-5218-0786</t>
  </si>
  <si>
    <t>경기도 성남시 수정구 복정동 산42 동서울대학 국제교류센터3층 학산관앞 130304</t>
  </si>
  <si>
    <t>5734238608</t>
  </si>
  <si>
    <t>이도연</t>
  </si>
  <si>
    <t>540069090582</t>
  </si>
  <si>
    <t>28100020723483</t>
  </si>
  <si>
    <t>do*****@gm</t>
  </si>
  <si>
    <t>0504-4922-1647</t>
  </si>
  <si>
    <t>충청남도 천안시 동남구 청수10길 44 301호 ( 삼룡동 )</t>
  </si>
  <si>
    <t>5734438221</t>
  </si>
  <si>
    <t>판매자 상품 코드</t>
  </si>
  <si>
    <t>세은 010-8498-0064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</si>
</sst>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yy/mm/dd\ \(aaa\)"/>
    <numFmt numFmtId="177" formatCode="General;;"/>
    <numFmt numFmtId="178" formatCode="0.0%"/>
    <numFmt numFmtId="179" formatCode="0.000%"/>
    <numFmt numFmtId="180" formatCode="#,##0_);[Red]\(#,##0\)"/>
    <numFmt numFmtId="181" formatCode="#,##0_ "/>
    <numFmt numFmtId="182" formatCode="0_);[Red]\(0\)"/>
  </numFmts>
  <fonts count="39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0"/>
      <name val="맑은 고딕"/>
      <family val="2"/>
      <charset val="129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2"/>
      <color rgb="FF000000"/>
      <name val="나눔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rgb="FF666666"/>
      <name val="나눔고딕"/>
      <family val="3"/>
      <charset val="129"/>
    </font>
    <font>
      <sz val="9"/>
      <color rgb="FF414141"/>
      <name val="나눔고딕"/>
      <family val="3"/>
      <charset val="129"/>
    </font>
    <font>
      <sz val="9"/>
      <color rgb="FF777777"/>
      <name val="나눔고딕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trike/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0"/>
      <name val="Calibri"/>
      <family val="2"/>
    </font>
    <font>
      <sz val="10"/>
      <name val="맑은 고딕"/>
      <family val="2"/>
      <charset val="129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 tint="0.499984740745262"/>
      <name val="Calibri"/>
      <family val="2"/>
    </font>
    <font>
      <sz val="10"/>
      <color theme="1" tint="0.499984740745262"/>
      <name val="Calibri"/>
      <family val="2"/>
    </font>
    <font>
      <sz val="11"/>
      <name val="Calibri"/>
      <family val="2"/>
    </font>
    <font>
      <sz val="10"/>
      <name val="맑은 고딕"/>
      <family val="3"/>
      <charset val="129"/>
    </font>
    <font>
      <sz val="10"/>
      <name val="Calibri"/>
      <family val="2"/>
      <charset val="129"/>
    </font>
    <font>
      <sz val="10"/>
      <name val="Arial Unicode MS"/>
      <family val="2"/>
      <charset val="129"/>
    </font>
    <font>
      <b/>
      <sz val="11"/>
      <color theme="0"/>
      <name val="맑은 고딕"/>
      <family val="2"/>
      <charset val="129"/>
    </font>
    <font>
      <sz val="11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E96D8D"/>
        <bgColor indexed="64"/>
      </patternFill>
    </fill>
    <fill>
      <patternFill patternType="solid">
        <fgColor rgb="FF6941C6"/>
        <bgColor indexed="64"/>
      </patternFill>
    </fill>
    <fill>
      <patternFill patternType="solid">
        <fgColor rgb="FFC81D4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C47"/>
        <bgColor indexed="64"/>
      </patternFill>
    </fill>
    <fill>
      <patternFill patternType="solid">
        <fgColor rgb="FFE622D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ABF7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35467"/>
        <bgColor indexed="64"/>
      </patternFill>
    </fill>
    <fill>
      <patternFill patternType="solid">
        <fgColor theme="9"/>
        <bgColor theme="9"/>
      </patternFill>
    </fill>
    <fill>
      <gradientFill type="path">
        <stop position="0">
          <color rgb="FFFF5632"/>
        </stop>
        <stop position="1">
          <color rgb="FFFD6501"/>
        </stop>
      </gradientFill>
    </fill>
  </fills>
  <borders count="20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thin">
        <color theme="6" tint="0.39997558519241921"/>
      </left>
      <right style="thin">
        <color theme="4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rgb="FFC7C7C7"/>
      </left>
      <right style="hair">
        <color rgb="FFC7C7C7"/>
      </right>
      <top style="hair">
        <color rgb="FFC7C7C7"/>
      </top>
      <bottom style="hair">
        <color rgb="FFC7C7C7"/>
      </bottom>
      <diagonal/>
    </border>
    <border>
      <left style="hair">
        <color rgb="FFC7C7C7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0" fontId="5" fillId="5" borderId="0" xfId="5" applyFont="1" applyFill="1" applyBorder="1" applyAlignment="1">
      <alignment horizontal="center" vertical="center"/>
    </xf>
    <xf numFmtId="49" fontId="5" fillId="5" borderId="0" xfId="5" applyNumberFormat="1" applyFont="1" applyFill="1" applyBorder="1" applyAlignment="1">
      <alignment horizontal="center" vertical="center"/>
    </xf>
    <xf numFmtId="177" fontId="5" fillId="5" borderId="0" xfId="5" applyNumberFormat="1" applyFont="1" applyFill="1" applyBorder="1" applyAlignment="1">
      <alignment horizontal="center" vertical="center"/>
    </xf>
    <xf numFmtId="10" fontId="5" fillId="6" borderId="0" xfId="2" applyNumberFormat="1" applyFont="1" applyFill="1" applyAlignment="1">
      <alignment horizontal="center" vertical="center"/>
    </xf>
    <xf numFmtId="41" fontId="5" fillId="6" borderId="0" xfId="4" applyNumberFormat="1" applyFont="1" applyFill="1" applyAlignment="1">
      <alignment horizontal="center" vertical="center"/>
    </xf>
    <xf numFmtId="0" fontId="6" fillId="0" borderId="0" xfId="0" applyFont="1">
      <alignment vertical="center"/>
    </xf>
    <xf numFmtId="49" fontId="5" fillId="8" borderId="0" xfId="5" applyNumberFormat="1" applyFont="1" applyFill="1" applyBorder="1" applyAlignment="1">
      <alignment horizontal="center" vertical="center"/>
    </xf>
    <xf numFmtId="176" fontId="5" fillId="8" borderId="0" xfId="5" applyNumberFormat="1" applyFont="1" applyFill="1" applyBorder="1" applyAlignment="1">
      <alignment horizontal="center" vertical="center"/>
    </xf>
    <xf numFmtId="176" fontId="5" fillId="9" borderId="0" xfId="5" applyNumberFormat="1" applyFont="1" applyFill="1" applyBorder="1" applyAlignment="1">
      <alignment horizontal="center" vertical="center"/>
    </xf>
    <xf numFmtId="0" fontId="5" fillId="9" borderId="0" xfId="5" applyFont="1" applyFill="1" applyBorder="1" applyAlignment="1">
      <alignment horizontal="center" vertical="center"/>
    </xf>
    <xf numFmtId="49" fontId="5" fillId="9" borderId="0" xfId="5" applyNumberFormat="1" applyFont="1" applyFill="1" applyBorder="1" applyAlignment="1">
      <alignment horizontal="center" vertical="center"/>
    </xf>
    <xf numFmtId="41" fontId="5" fillId="6" borderId="0" xfId="3" applyNumberFormat="1" applyFont="1" applyFill="1" applyBorder="1" applyAlignment="1">
      <alignment horizontal="center" vertical="center"/>
    </xf>
    <xf numFmtId="0" fontId="5" fillId="6" borderId="0" xfId="5" applyFont="1" applyFill="1" applyAlignment="1">
      <alignment horizontal="center" vertical="center"/>
    </xf>
    <xf numFmtId="41" fontId="5" fillId="6" borderId="0" xfId="5" applyNumberFormat="1" applyFont="1" applyFill="1" applyBorder="1" applyAlignment="1">
      <alignment horizontal="center" vertical="center"/>
    </xf>
    <xf numFmtId="0" fontId="5" fillId="7" borderId="0" xfId="5" applyFont="1" applyFill="1" applyBorder="1" applyAlignment="1">
      <alignment horizontal="center" vertical="center"/>
    </xf>
    <xf numFmtId="176" fontId="5" fillId="7" borderId="0" xfId="5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79" fontId="8" fillId="0" borderId="3" xfId="2" applyNumberFormat="1" applyFont="1" applyFill="1" applyBorder="1" applyAlignment="1">
      <alignment horizontal="center" vertical="center"/>
    </xf>
    <xf numFmtId="179" fontId="8" fillId="0" borderId="0" xfId="2" applyNumberFormat="1" applyFont="1" applyFill="1" applyBorder="1" applyAlignment="1">
      <alignment horizontal="center" vertical="center"/>
    </xf>
    <xf numFmtId="179" fontId="8" fillId="0" borderId="0" xfId="2" applyNumberFormat="1" applyFont="1" applyFill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79" fontId="8" fillId="0" borderId="4" xfId="2" applyNumberFormat="1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8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1" fontId="5" fillId="5" borderId="0" xfId="5" applyNumberFormat="1" applyFont="1" applyFill="1" applyBorder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10" fontId="18" fillId="0" borderId="0" xfId="0" applyNumberFormat="1" applyFont="1" applyAlignment="1">
      <alignment horizontal="center" vertical="center"/>
    </xf>
    <xf numFmtId="41" fontId="18" fillId="0" borderId="1" xfId="0" applyNumberFormat="1" applyFont="1" applyBorder="1" applyAlignment="1">
      <alignment horizontal="center" vertical="center"/>
    </xf>
    <xf numFmtId="41" fontId="5" fillId="15" borderId="1" xfId="4" applyNumberFormat="1" applyFont="1" applyFill="1" applyBorder="1" applyAlignment="1">
      <alignment horizontal="center" vertical="center"/>
    </xf>
    <xf numFmtId="41" fontId="5" fillId="15" borderId="0" xfId="4" applyNumberFormat="1" applyFont="1" applyFill="1" applyAlignment="1">
      <alignment horizontal="center" vertical="center"/>
    </xf>
    <xf numFmtId="41" fontId="5" fillId="15" borderId="0" xfId="4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41" fontId="19" fillId="0" borderId="2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41" fontId="5" fillId="6" borderId="0" xfId="1" applyFont="1" applyFill="1" applyBorder="1" applyAlignment="1">
      <alignment horizontal="center" vertical="center"/>
    </xf>
    <xf numFmtId="41" fontId="5" fillId="2" borderId="0" xfId="1" applyFont="1" applyFill="1" applyBorder="1" applyAlignment="1">
      <alignment horizontal="center" vertical="center"/>
    </xf>
    <xf numFmtId="41" fontId="5" fillId="7" borderId="0" xfId="1" applyFont="1" applyFill="1" applyAlignment="1">
      <alignment horizontal="center" vertical="center"/>
    </xf>
    <xf numFmtId="41" fontId="5" fillId="5" borderId="0" xfId="1" applyFont="1" applyFill="1" applyAlignment="1">
      <alignment horizontal="center" vertical="center"/>
    </xf>
    <xf numFmtId="41" fontId="5" fillId="5" borderId="0" xfId="1" applyFont="1" applyFill="1" applyBorder="1" applyAlignment="1">
      <alignment horizontal="center" vertical="center"/>
    </xf>
    <xf numFmtId="41" fontId="20" fillId="0" borderId="0" xfId="4" applyNumberFormat="1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6" borderId="0" xfId="0" applyFill="1" applyAlignment="1">
      <alignment horizontal="center" vertical="center"/>
    </xf>
    <xf numFmtId="181" fontId="0" fillId="16" borderId="0" xfId="0" applyNumberFormat="1" applyFill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22" fillId="17" borderId="0" xfId="0" applyFont="1" applyFill="1" applyAlignment="1">
      <alignment horizontal="center" vertical="center"/>
    </xf>
    <xf numFmtId="0" fontId="24" fillId="18" borderId="10" xfId="0" applyFont="1" applyFill="1" applyBorder="1" applyAlignment="1">
      <alignment horizontal="center" vertical="center"/>
    </xf>
    <xf numFmtId="0" fontId="22" fillId="19" borderId="0" xfId="0" applyFont="1" applyFill="1" applyAlignment="1">
      <alignment horizontal="center" vertical="center"/>
    </xf>
    <xf numFmtId="0" fontId="24" fillId="18" borderId="11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5" fillId="0" borderId="12" xfId="0" applyFont="1" applyBorder="1" applyAlignment="1">
      <alignment horizontal="left" vertical="top"/>
    </xf>
    <xf numFmtId="0" fontId="25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14" fontId="25" fillId="0" borderId="0" xfId="0" applyNumberFormat="1" applyFont="1" applyAlignment="1">
      <alignment horizontal="left" vertical="top"/>
    </xf>
    <xf numFmtId="0" fontId="25" fillId="0" borderId="12" xfId="0" applyFont="1" applyBorder="1" applyAlignment="1">
      <alignment vertical="top"/>
    </xf>
    <xf numFmtId="0" fontId="28" fillId="0" borderId="0" xfId="0" applyFont="1">
      <alignment vertical="center"/>
    </xf>
    <xf numFmtId="0" fontId="28" fillId="0" borderId="13" xfId="0" applyFont="1" applyBorder="1">
      <alignment vertical="center"/>
    </xf>
    <xf numFmtId="0" fontId="29" fillId="0" borderId="13" xfId="0" applyFont="1" applyBorder="1">
      <alignment vertical="center"/>
    </xf>
    <xf numFmtId="0" fontId="29" fillId="0" borderId="0" xfId="0" applyFont="1">
      <alignment vertical="center"/>
    </xf>
    <xf numFmtId="0" fontId="30" fillId="0" borderId="13" xfId="0" applyFont="1" applyBorder="1">
      <alignment vertical="center"/>
    </xf>
    <xf numFmtId="0" fontId="31" fillId="0" borderId="0" xfId="0" applyFont="1">
      <alignment vertical="center"/>
    </xf>
    <xf numFmtId="0" fontId="30" fillId="0" borderId="0" xfId="0" applyFont="1">
      <alignment vertical="center"/>
    </xf>
    <xf numFmtId="0" fontId="25" fillId="0" borderId="0" xfId="0" applyFont="1">
      <alignment vertical="center"/>
    </xf>
    <xf numFmtId="0" fontId="32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0" fontId="7" fillId="0" borderId="2" xfId="2" applyNumberFormat="1" applyFont="1" applyFill="1" applyBorder="1" applyAlignment="1">
      <alignment horizontal="center" vertical="center"/>
    </xf>
    <xf numFmtId="178" fontId="7" fillId="0" borderId="2" xfId="2" applyNumberFormat="1" applyFont="1" applyFill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9" fillId="12" borderId="14" xfId="0" applyFont="1" applyFill="1" applyBorder="1" applyAlignment="1">
      <alignment horizontal="center" vertical="center" wrapText="1"/>
    </xf>
    <xf numFmtId="0" fontId="10" fillId="12" borderId="1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49" fontId="25" fillId="0" borderId="0" xfId="0" quotePrefix="1" applyNumberFormat="1" applyFont="1" applyAlignment="1">
      <alignment horizontal="left" vertical="top"/>
    </xf>
    <xf numFmtId="0" fontId="36" fillId="20" borderId="16" xfId="0" applyFont="1" applyFill="1" applyBorder="1" applyAlignment="1">
      <alignment horizontal="center" vertical="center"/>
    </xf>
    <xf numFmtId="0" fontId="36" fillId="20" borderId="17" xfId="0" applyFont="1" applyFill="1" applyBorder="1" applyAlignment="1">
      <alignment horizontal="center" vertical="center"/>
    </xf>
    <xf numFmtId="0" fontId="36" fillId="16" borderId="17" xfId="0" applyFont="1" applyFill="1" applyBorder="1" applyAlignment="1">
      <alignment horizontal="center" vertical="center"/>
    </xf>
    <xf numFmtId="181" fontId="36" fillId="16" borderId="17" xfId="0" applyNumberFormat="1" applyFont="1" applyFill="1" applyBorder="1" applyAlignment="1">
      <alignment horizontal="center" vertical="center"/>
    </xf>
    <xf numFmtId="41" fontId="36" fillId="20" borderId="17" xfId="0" applyNumberFormat="1" applyFont="1" applyFill="1" applyBorder="1" applyAlignment="1">
      <alignment horizontal="center" vertical="center"/>
    </xf>
    <xf numFmtId="10" fontId="36" fillId="20" borderId="17" xfId="0" applyNumberFormat="1" applyFont="1" applyFill="1" applyBorder="1" applyAlignment="1">
      <alignment horizontal="center" vertical="center"/>
    </xf>
    <xf numFmtId="0" fontId="36" fillId="20" borderId="18" xfId="0" applyFont="1" applyFill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181" fontId="37" fillId="0" borderId="17" xfId="0" applyNumberFormat="1" applyFont="1" applyBorder="1" applyAlignment="1">
      <alignment horizontal="center" vertical="center"/>
    </xf>
    <xf numFmtId="0" fontId="37" fillId="0" borderId="19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38" fillId="0" borderId="0" xfId="0" applyFont="1">
      <alignment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1" borderId="0" xfId="0" applyFill="1" applyAlignment="1">
      <alignment horizontal="center" vertical="center"/>
    </xf>
    <xf numFmtId="0" fontId="8" fillId="12" borderId="15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11" fillId="13" borderId="14" xfId="0" applyFont="1" applyFill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 wrapText="1"/>
    </xf>
    <xf numFmtId="0" fontId="11" fillId="13" borderId="0" xfId="0" applyFont="1" applyFill="1" applyAlignment="1">
      <alignment horizontal="center" vertical="center" wrapText="1"/>
    </xf>
    <xf numFmtId="0" fontId="10" fillId="12" borderId="15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</cellXfs>
  <cellStyles count="6">
    <cellStyle name="강조색3" xfId="3" builtinId="37"/>
    <cellStyle name="강조색5" xfId="4" builtinId="45"/>
    <cellStyle name="강조색6" xfId="5" builtinId="49"/>
    <cellStyle name="백분율" xfId="2" builtinId="5"/>
    <cellStyle name="쉼표 [0]" xfId="1" builtinId="6"/>
    <cellStyle name="표준" xfId="0" builtinId="0"/>
  </cellStyles>
  <dxfs count="2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outline val="0"/>
        <shadow val="0"/>
        <u val="none"/>
        <vertAlign val="baseline"/>
        <sz val="10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left style="hair">
          <color theme="1" tint="0.499984740745262"/>
        </left>
      </border>
    </dxf>
    <dxf>
      <font>
        <b val="0"/>
        <outline val="0"/>
        <shadow val="0"/>
        <u val="none"/>
        <vertAlign val="baseline"/>
        <sz val="10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2" formatCode="0_);[Red]\(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1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9" formatCode="0.0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9" formatCode="0.0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9" formatCode="0.0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9" formatCode="0.0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border outline="0"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right style="medium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numFmt numFmtId="33" formatCode="_-* #,##0_-;\-* #,##0_-;_-* &quot;-&quot;_-;_-@_-"/>
      <fill>
        <patternFill patternType="solid">
          <fgColor indexed="64"/>
          <bgColor rgb="FF6941C6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181" formatCode="#,##0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numFmt numFmtId="33" formatCode="_-* #,##0_-;\-* #,##0_-;_-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#,##0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B050"/>
      <color rgb="FF2ABF77"/>
      <color rgb="FFFD6501"/>
      <color rgb="FFFF5632"/>
      <color rgb="FFD9E1F2"/>
      <color rgb="FFFA9093"/>
      <color rgb="FFF8696B"/>
      <color rgb="FFF49F70"/>
      <color rgb="FFE622D8"/>
      <color rgb="FF203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C$1" fmlaRange="Settings!$H$44:$H$48" noThreeD="1" sel="1" val="0"/>
</file>

<file path=xl/ctrlProps/ctrlProp2.xml><?xml version="1.0" encoding="utf-8"?>
<formControlPr xmlns="http://schemas.microsoft.com/office/spreadsheetml/2009/9/main" objectType="Drop" dropStyle="combo" dx="22" fmlaLink="$E$1" fmlaRange="Settings!$J$44:$J$45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1</xdr:row>
      <xdr:rowOff>0</xdr:rowOff>
    </xdr:from>
    <xdr:to>
      <xdr:col>3</xdr:col>
      <xdr:colOff>809624</xdr:colOff>
      <xdr:row>4</xdr:row>
      <xdr:rowOff>152400</xdr:rowOff>
    </xdr:to>
    <xdr:pic>
      <xdr:nvPicPr>
        <xdr:cNvPr id="3" name="그림 2" descr="만화 영화이(가) 표시된 사진&#10;&#10;자동 생성된 설명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" y="209550"/>
          <a:ext cx="1971675" cy="838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9526</xdr:colOff>
      <xdr:row>1</xdr:row>
      <xdr:rowOff>19051</xdr:rowOff>
    </xdr:from>
    <xdr:to>
      <xdr:col>7</xdr:col>
      <xdr:colOff>690754</xdr:colOff>
      <xdr:row>3</xdr:row>
      <xdr:rowOff>191835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838326" y="228601"/>
          <a:ext cx="5891403" cy="7252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2</xdr:row>
          <xdr:rowOff>57150</xdr:rowOff>
        </xdr:from>
        <xdr:to>
          <xdr:col>7</xdr:col>
          <xdr:colOff>142875</xdr:colOff>
          <xdr:row>2</xdr:row>
          <xdr:rowOff>295275</xdr:rowOff>
        </xdr:to>
        <xdr:sp macro="" textlink="">
          <xdr:nvSpPr>
            <xdr:cNvPr id="6145" name="Text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</xdr:row>
          <xdr:rowOff>76200</xdr:rowOff>
        </xdr:from>
        <xdr:to>
          <xdr:col>9</xdr:col>
          <xdr:colOff>180975</xdr:colOff>
          <xdr:row>2</xdr:row>
          <xdr:rowOff>314325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2</xdr:row>
          <xdr:rowOff>66675</xdr:rowOff>
        </xdr:from>
        <xdr:to>
          <xdr:col>10</xdr:col>
          <xdr:colOff>476250</xdr:colOff>
          <xdr:row>2</xdr:row>
          <xdr:rowOff>304800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31</xdr:row>
      <xdr:rowOff>66675</xdr:rowOff>
    </xdr:from>
    <xdr:to>
      <xdr:col>2</xdr:col>
      <xdr:colOff>219076</xdr:colOff>
      <xdr:row>35</xdr:row>
      <xdr:rowOff>61644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5734050"/>
          <a:ext cx="4067176" cy="68076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B36CB1B-831C-4175-82CB-86D6F9F2EDA0}" autoFormatId="16" applyNumberFormats="0" applyBorderFormats="0" applyFontFormats="0" applyPatternFormats="0" applyAlignmentFormats="0" applyWidthHeightFormats="0">
  <queryTableRefresh nextId="33">
    <queryTableFields count="30">
      <queryTableField id="1" name="수취인명" tableColumnId="1"/>
      <queryTableField id="2" name="상품이름" tableColumnId="2"/>
      <queryTableField id="3" name="옵션" tableColumnId="3"/>
      <queryTableField id="4" name="수량" tableColumnId="4"/>
      <queryTableField id="5" name="박스 크기" tableColumnId="5"/>
      <queryTableField id="6" name="송장번호" tableColumnId="6"/>
      <queryTableField id="7" name="판매채널" tableColumnId="7"/>
      <queryTableField id="8" name="쇼핑몰구분" tableColumnId="8"/>
      <queryTableField id="9" name="구입일자" tableColumnId="9"/>
      <queryTableField id="10" name="(쿠)상품주문번호" tableColumnId="10"/>
      <queryTableField id="11" name="(네)상품주문번호" tableColumnId="11"/>
      <queryTableField id="12" name="구매자명" tableColumnId="12"/>
      <queryTableField id="13" name="주문자이메일&amp;ID" tableColumnId="13"/>
      <queryTableField id="14" name="구매자연락처" tableColumnId="14"/>
      <queryTableField id="15" name="출고일(발송일)" tableColumnId="15"/>
      <queryTableField id="16" name="택배사" tableColumnId="16"/>
      <queryTableField id="17" name="수취인전화번호1" tableColumnId="17"/>
      <queryTableField id="18" name="수취인전화번호2" tableColumnId="18"/>
      <queryTableField id="19" name="배송지" tableColumnId="19"/>
      <queryTableField id="20" name="배송메세지" tableColumnId="20"/>
      <queryTableField id="21" name="상품결제금액" tableColumnId="21"/>
      <queryTableField id="22" name="상품금액" tableColumnId="22"/>
      <queryTableField id="23" name="주문금액" tableColumnId="23"/>
      <queryTableField id="24" name="정산 예정 금액" tableColumnId="24"/>
      <queryTableField id="25" name="쇼핑몰 수수료" tableColumnId="25"/>
      <queryTableField id="26" name="기본 배송비" tableColumnId="26"/>
      <queryTableField id="27" name="도서산간 추가배송비" tableColumnId="27"/>
      <queryTableField id="28" name="배송완료일" tableColumnId="28"/>
      <queryTableField id="29" name="묶음배송번호" tableColumnId="29"/>
      <queryTableField id="30" name="판매자 상품 코드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6FA3EBB-6616-4E4B-8369-3058E16372D7}" autoFormatId="16" applyNumberFormats="0" applyBorderFormats="0" applyFontFormats="0" applyPatternFormats="0" applyAlignmentFormats="0" applyWidthHeightFormats="0">
  <queryTableRefresh nextId="28" unboundColumnsRight="1">
    <queryTableFields count="26">
      <queryTableField id="1" name="ID" tableColumnId="1"/>
      <queryTableField id="2" name="상품주문번호" tableColumnId="2"/>
      <queryTableField id="3" name="판매채널" tableColumnId="3"/>
      <queryTableField id="4" name="구매자명" tableColumnId="4"/>
      <queryTableField id="5" name="발송일" tableColumnId="5"/>
      <queryTableField id="6" name="수취인명" tableColumnId="6"/>
      <queryTableField id="7" name="거래처지급액" tableColumnId="7"/>
      <queryTableField id="9" name="송장번호" tableColumnId="9"/>
      <queryTableField id="10" name="상품명" tableColumnId="10"/>
      <queryTableField id="11" name="옵션정보" tableColumnId="11"/>
      <queryTableField id="12" name="수량" tableColumnId="12"/>
      <queryTableField id="13" name="결제액" tableColumnId="13"/>
      <queryTableField id="14" name="판매자부담할인액" tableColumnId="14"/>
      <queryTableField id="15" name="배송비" tableColumnId="15"/>
      <queryTableField id="16" name="제주/도서추가배송비" tableColumnId="16"/>
      <queryTableField id="17" name="업체배송비" tableColumnId="17"/>
      <queryTableField id="18" name="박스가격" tableColumnId="18"/>
      <queryTableField id="19" name="추가제작비용" tableColumnId="19"/>
      <queryTableField id="20" name="제품공급가" tableColumnId="20"/>
      <queryTableField id="21" name="총판매금액" tableColumnId="21"/>
      <queryTableField id="22" name="수수료" tableColumnId="22"/>
      <queryTableField id="23" name="순이익" tableColumnId="23"/>
      <queryTableField id="24" name="마진율" tableColumnId="24"/>
      <queryTableField id="25" name="클레임" tableColumnId="25"/>
      <queryTableField id="26" name="묶음" tableColumnId="26"/>
      <queryTableField id="27" dataBound="0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182E04B-A641-4DAC-83C4-C2D753171C87}" autoFormatId="16" applyNumberFormats="0" applyBorderFormats="0" applyFontFormats="0" applyPatternFormats="0" applyAlignmentFormats="0" applyWidthHeightFormats="0">
  <queryTableRefresh nextId="51">
    <queryTableFields count="48">
      <queryTableField id="49" name="ID" tableColumnId="49"/>
      <queryTableField id="2" name="쇼핑몰구분" tableColumnId="2"/>
      <queryTableField id="3" name="상품주문번호" tableColumnId="3"/>
      <queryTableField id="4" name="판매채널" tableColumnId="4"/>
      <queryTableField id="5" name="구매자명" tableColumnId="5"/>
      <queryTableField id="6" name="구매자ID" tableColumnId="6"/>
      <queryTableField id="7" name="구매자연락처" tableColumnId="7"/>
      <queryTableField id="8" name="구입일자" tableColumnId="8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3" name="수취인명" tableColumnId="13"/>
      <queryTableField id="14" name="수취인연락처1" tableColumnId="14"/>
      <queryTableField id="15" name="수취인연락처2" tableColumnId="15"/>
      <queryTableField id="16" name="배송지" tableColumnId="16"/>
      <queryTableField id="17" name="배송메세지" tableColumnId="17"/>
      <queryTableField id="18" name="상품명" tableColumnId="18"/>
      <queryTableField id="19" name="옵션정보" tableColumnId="19"/>
      <queryTableField id="20" name="수량" tableColumnId="20"/>
      <queryTableField id="21" name="결제액" tableColumnId="21"/>
      <queryTableField id="22" name="판매자부담할인액" tableColumnId="22"/>
      <queryTableField id="23" name="배송비" tableColumnId="23"/>
      <queryTableField id="24" name="제주/도서추가배송비" tableColumnId="24"/>
      <queryTableField id="25" name="업체배송비" tableColumnId="25"/>
      <queryTableField id="26" name="박스가격" tableColumnId="26"/>
      <queryTableField id="27" name="추가제작비용" tableColumnId="27"/>
      <queryTableField id="28" name="1개판매금액" tableColumnId="28"/>
      <queryTableField id="29" name="제품공급가" tableColumnId="29"/>
      <queryTableField id="30" name="총판매금액" tableColumnId="30"/>
      <queryTableField id="31" name="거래처지급액" tableColumnId="31"/>
      <queryTableField id="32" name="수수료" tableColumnId="32"/>
      <queryTableField id="33" name="순이익" tableColumnId="33"/>
      <queryTableField id="34" name="마진율" tableColumnId="34"/>
      <queryTableField id="35" name="검사" tableColumnId="35"/>
      <queryTableField id="36" name="판매자메모" tableColumnId="36"/>
      <queryTableField id="37" name="클레임" tableColumnId="37"/>
      <queryTableField id="38" name="종류" tableColumnId="38"/>
      <queryTableField id="39" name="재구매" tableColumnId="39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6D877D1-006A-4A13-A65D-66B02B9ADE12}" autoFormatId="16" applyNumberFormats="0" applyBorderFormats="0" applyFontFormats="0" applyPatternFormats="0" applyAlignmentFormats="0" applyWidthHeightFormats="0">
  <queryTableRefresh nextId="49">
    <queryTableFields count="48">
      <queryTableField id="1" name="ID" tableColumnId="1"/>
      <queryTableField id="2" name="쇼핑몰구분" tableColumnId="2"/>
      <queryTableField id="3" name="상품주문번호" tableColumnId="3"/>
      <queryTableField id="4" name="판매채널" tableColumnId="4"/>
      <queryTableField id="5" name="구매자명" tableColumnId="5"/>
      <queryTableField id="6" name="구매자ID" tableColumnId="6"/>
      <queryTableField id="7" name="구매자연락처" tableColumnId="7"/>
      <queryTableField id="8" name="구입일자" tableColumnId="8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3" name="수취인명" tableColumnId="13"/>
      <queryTableField id="14" name="수취인연락처1" tableColumnId="14"/>
      <queryTableField id="15" name="수취인연락처2" tableColumnId="15"/>
      <queryTableField id="16" name="배송지" tableColumnId="16"/>
      <queryTableField id="17" name="배송메세지" tableColumnId="17"/>
      <queryTableField id="18" name="상품명" tableColumnId="18"/>
      <queryTableField id="19" name="옵션정보" tableColumnId="19"/>
      <queryTableField id="20" name="수량" tableColumnId="20"/>
      <queryTableField id="21" name="결제액" tableColumnId="21"/>
      <queryTableField id="22" name="판매자부담할인액" tableColumnId="22"/>
      <queryTableField id="23" name="배송비" tableColumnId="23"/>
      <queryTableField id="24" name="제주/도서추가배송비" tableColumnId="24"/>
      <queryTableField id="25" name="업체배송비" tableColumnId="25"/>
      <queryTableField id="26" name="박스가격" tableColumnId="26"/>
      <queryTableField id="27" name="추가제작비용" tableColumnId="27"/>
      <queryTableField id="28" name="1개판매금액" tableColumnId="28"/>
      <queryTableField id="29" name="제품공급가" tableColumnId="29"/>
      <queryTableField id="30" name="총판매금액" tableColumnId="30"/>
      <queryTableField id="31" name="거래처지급액" tableColumnId="31"/>
      <queryTableField id="32" name="수수료" tableColumnId="32"/>
      <queryTableField id="33" name="순이익" tableColumnId="33"/>
      <queryTableField id="34" name="마진율" tableColumnId="34"/>
      <queryTableField id="35" name="검사" tableColumnId="35"/>
      <queryTableField id="36" name="판매자메모" tableColumnId="36"/>
      <queryTableField id="37" name="클레임" tableColumnId="37"/>
      <queryTableField id="38" name="종류" tableColumnId="38"/>
      <queryTableField id="39" name="재구매" tableColumnId="39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F83A4F2-7023-4400-A45F-E62387E8D0B4}" name="TOGLE" displayName="TOGLE" ref="K1:AN7" tableType="queryTable" totalsRowShown="0" headerRowDxfId="291" dataDxfId="290">
  <autoFilter ref="K1:AN7" xr:uid="{5F83A4F2-7023-4400-A45F-E62387E8D0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7CAB2325-5D33-497F-B4A8-242D5AE7BA5D}" uniqueName="1" name="수취인명" queryTableFieldId="1" dataDxfId="289"/>
    <tableColumn id="2" xr3:uid="{CFBD921B-591F-4507-8FA9-9098A7AB498A}" uniqueName="2" name="상품이름" queryTableFieldId="2" dataDxfId="288"/>
    <tableColumn id="3" xr3:uid="{350FF970-22C4-48D8-9ED9-6BA3E5B5A045}" uniqueName="3" name="옵션" queryTableFieldId="3" dataDxfId="287"/>
    <tableColumn id="4" xr3:uid="{D8C67FE3-417E-4B27-9FE4-0982765F0AE5}" uniqueName="4" name="수량" queryTableFieldId="4" dataDxfId="286"/>
    <tableColumn id="5" xr3:uid="{C2052B78-FF23-4723-B408-EE49F5A2822A}" uniqueName="5" name="박스 크기" queryTableFieldId="5" dataDxfId="285"/>
    <tableColumn id="6" xr3:uid="{EDD30C90-528B-4833-A3D1-4F588030E15F}" uniqueName="6" name="송장번호" queryTableFieldId="6" dataDxfId="284"/>
    <tableColumn id="7" xr3:uid="{842A194A-4D6A-4BF6-819B-C5A6966B967C}" uniqueName="7" name="판매채널" queryTableFieldId="7" dataDxfId="283"/>
    <tableColumn id="8" xr3:uid="{ED1C85BA-E23A-47E4-B888-1DA3205C4850}" uniqueName="8" name="쇼핑몰구분" queryTableFieldId="8" dataDxfId="282"/>
    <tableColumn id="9" xr3:uid="{6C846C14-CC39-4ABB-8F2F-C868C6BFCB4B}" uniqueName="9" name="구입일자" queryTableFieldId="9" dataDxfId="281"/>
    <tableColumn id="10" xr3:uid="{9471487D-3230-442E-8EB2-8D3B80F2EA2F}" uniqueName="10" name="(쿠)상품주문번호" queryTableFieldId="10" dataDxfId="280"/>
    <tableColumn id="11" xr3:uid="{194B492A-E405-42BC-ADE7-BF9DC37F8134}" uniqueName="11" name="(네)상품주문번호" queryTableFieldId="11" dataDxfId="279"/>
    <tableColumn id="12" xr3:uid="{979AF2AC-75C5-45FC-9B40-BE00C362EC0A}" uniqueName="12" name="구매자명" queryTableFieldId="12" dataDxfId="278"/>
    <tableColumn id="13" xr3:uid="{B6BC7DEE-42E5-45F9-A92D-A8B011FA1E92}" uniqueName="13" name="주문자이메일&amp;ID" queryTableFieldId="13" dataDxfId="277"/>
    <tableColumn id="14" xr3:uid="{37307D2E-B7A2-48EA-AFB2-DF82FD94F1C0}" uniqueName="14" name="구매자연락처" queryTableFieldId="14" dataDxfId="276"/>
    <tableColumn id="15" xr3:uid="{4CBF2607-95CC-4DD3-9D8F-3EF188BCA468}" uniqueName="15" name="출고일(발송일)" queryTableFieldId="15" dataDxfId="275"/>
    <tableColumn id="16" xr3:uid="{56B3AC6F-9851-4D16-94D3-D4EB1D8E59B5}" uniqueName="16" name="택배사" queryTableFieldId="16" dataDxfId="274"/>
    <tableColumn id="17" xr3:uid="{41EA1270-B612-41D3-BC40-49E948D7EE71}" uniqueName="17" name="수취인전화번호1" queryTableFieldId="17" dataDxfId="273"/>
    <tableColumn id="18" xr3:uid="{7C109005-EDC1-4D1E-BF51-4CE52A8E0836}" uniqueName="18" name="수취인전화번호2" queryTableFieldId="18" dataDxfId="272"/>
    <tableColumn id="19" xr3:uid="{94E38B1B-27B0-4C28-8362-C9B23F34AFC7}" uniqueName="19" name="배송지" queryTableFieldId="19" dataDxfId="271"/>
    <tableColumn id="20" xr3:uid="{1CA050C0-E723-4D20-8D12-DEAD416816CD}" uniqueName="20" name="배송메세지" queryTableFieldId="20" dataDxfId="270"/>
    <tableColumn id="21" xr3:uid="{6DBCAB94-1EA0-4D0C-A73B-2F13817D84BA}" uniqueName="21" name="상품결제금액" queryTableFieldId="21" dataDxfId="269"/>
    <tableColumn id="22" xr3:uid="{8F60280B-DACE-4247-B8BD-99DE13D33770}" uniqueName="22" name="상품금액" queryTableFieldId="22" dataDxfId="268"/>
    <tableColumn id="23" xr3:uid="{8ABBA584-51CD-4153-9D3A-AAE8022CE885}" uniqueName="23" name="주문금액" queryTableFieldId="23" dataDxfId="267"/>
    <tableColumn id="24" xr3:uid="{3E121480-910F-4BF0-9AD8-A3B86289F300}" uniqueName="24" name="정산 예정 금액" queryTableFieldId="24" dataDxfId="266"/>
    <tableColumn id="25" xr3:uid="{E8784B87-C9A1-40F4-9DB6-CFA239E5A10E}" uniqueName="25" name="쇼핑몰 수수료" queryTableFieldId="25" dataDxfId="265"/>
    <tableColumn id="26" xr3:uid="{716EA127-B94A-4422-94F8-E7C6B35A55BC}" uniqueName="26" name="기본 배송비" queryTableFieldId="26" dataDxfId="264"/>
    <tableColumn id="27" xr3:uid="{D5AADCFD-3E98-4038-B715-C26338BAD65C}" uniqueName="27" name="도서산간 추가배송비" queryTableFieldId="27" dataDxfId="263"/>
    <tableColumn id="28" xr3:uid="{7CE656FA-D454-41DB-A7D5-0CEA972A96D4}" uniqueName="28" name="배송완료일" queryTableFieldId="28" dataDxfId="262"/>
    <tableColumn id="29" xr3:uid="{D5FFCB8E-5DAA-456D-A950-BF56358B5838}" uniqueName="29" name="묶음배송번호" queryTableFieldId="29" dataDxfId="261"/>
    <tableColumn id="30" xr3:uid="{59DAD1BA-F50B-4ADD-8AC0-744459164C64}" uniqueName="30" name="판매자 상품 코드" queryTableFieldId="30" dataDxfId="2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C9FB686-1F59-44C9-B2A2-736222B4AB47}" name="S출고표검수" displayName="S출고표검수" ref="A1:Z3" tableType="queryTable" totalsRowShown="0" headerRowDxfId="259" dataDxfId="258">
  <autoFilter ref="A1:Z3" xr:uid="{1C9FB686-1F59-44C9-B2A2-736222B4AB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xr3:uid="{B56ADCF4-1467-42C0-AD57-4045B6FF021C}" uniqueName="1" name="ID" queryTableFieldId="1" dataDxfId="257"/>
    <tableColumn id="2" xr3:uid="{F4436CCD-28D4-4BD4-8C19-4139A437F48E}" uniqueName="2" name="상품주문번호" queryTableFieldId="2" dataDxfId="256"/>
    <tableColumn id="3" xr3:uid="{F48753CB-9ECB-49FF-9FA5-213F6CCEC531}" uniqueName="3" name="판매채널" queryTableFieldId="3" dataDxfId="255"/>
    <tableColumn id="4" xr3:uid="{92972657-88C8-4885-9BEF-E2CE145E9D39}" uniqueName="4" name="구매자명" queryTableFieldId="4" dataDxfId="254"/>
    <tableColumn id="5" xr3:uid="{A231575E-3F30-4CB2-9BC5-1D64F15AC1A9}" uniqueName="5" name="발송일" queryTableFieldId="5" dataDxfId="253"/>
    <tableColumn id="6" xr3:uid="{34E94F79-FB41-442D-801A-872DE82FC54F}" uniqueName="6" name="수취인명" queryTableFieldId="6" dataDxfId="252"/>
    <tableColumn id="7" xr3:uid="{FC520CA1-0528-4178-B3DF-8C8C2DAAC265}" uniqueName="7" name="거래처지급액" queryTableFieldId="7" dataDxfId="251"/>
    <tableColumn id="9" xr3:uid="{DD02E8AD-B369-4191-91D7-D1825A2EA293}" uniqueName="9" name="송장번호" queryTableFieldId="9" dataDxfId="250"/>
    <tableColumn id="10" xr3:uid="{7A4D56A7-9156-4A2D-89F4-2B79E2AEF2CD}" uniqueName="10" name="상품명" queryTableFieldId="10" dataDxfId="249"/>
    <tableColumn id="11" xr3:uid="{BAC94792-870B-492F-BCB8-A7F374789A83}" uniqueName="11" name="옵션정보" queryTableFieldId="11" dataDxfId="248"/>
    <tableColumn id="12" xr3:uid="{3087D60F-F17A-4B7C-B5D4-0193CCE92804}" uniqueName="12" name="수량" queryTableFieldId="12" dataDxfId="247"/>
    <tableColumn id="13" xr3:uid="{7AF4A905-B45E-4940-8766-F7A05B25CFBF}" uniqueName="13" name="결제액" queryTableFieldId="13" dataDxfId="246"/>
    <tableColumn id="14" xr3:uid="{5D70DD26-7A9A-4355-8844-370985B3F979}" uniqueName="14" name="판매자부담할인액" queryTableFieldId="14" dataDxfId="245"/>
    <tableColumn id="15" xr3:uid="{EE3EACC1-DC2E-4BE4-BC87-AFA14C825808}" uniqueName="15" name="배송비" queryTableFieldId="15" dataDxfId="244"/>
    <tableColumn id="16" xr3:uid="{43187DB5-13BB-458A-9431-405E44C98A8E}" uniqueName="16" name="제주/도서추가배송비" queryTableFieldId="16" dataDxfId="243"/>
    <tableColumn id="17" xr3:uid="{5DB2B459-C325-4432-9A6C-2338E99B1D88}" uniqueName="17" name="업체배송비" queryTableFieldId="17" dataDxfId="242"/>
    <tableColumn id="18" xr3:uid="{0615CDE5-7AC8-4D74-817E-D08997247B15}" uniqueName="18" name="박스가격" queryTableFieldId="18" dataDxfId="241"/>
    <tableColumn id="19" xr3:uid="{A1CBCFEB-1EEE-4A00-B253-ABCADF52304B}" uniqueName="19" name="추가제작비용" queryTableFieldId="19" dataDxfId="240"/>
    <tableColumn id="20" xr3:uid="{07558AF2-B6A1-4AF2-A070-82A5407F1BC1}" uniqueName="20" name="제품공급가" queryTableFieldId="20" dataDxfId="239"/>
    <tableColumn id="21" xr3:uid="{A7826D42-608C-429D-BDC8-563009C3E951}" uniqueName="21" name="총판매금액" queryTableFieldId="21" dataDxfId="238"/>
    <tableColumn id="22" xr3:uid="{4FB6231D-0EF3-4B80-B749-8FB9BB9ECF3D}" uniqueName="22" name="수수료" queryTableFieldId="22" dataDxfId="237"/>
    <tableColumn id="23" xr3:uid="{69058875-3F07-40B6-B21F-6BF1B4876DD5}" uniqueName="23" name="순이익" queryTableFieldId="23" dataDxfId="236"/>
    <tableColumn id="24" xr3:uid="{CF680925-C75E-4874-97F6-C86F487F8C6B}" uniqueName="24" name="마진율" queryTableFieldId="24" dataDxfId="235"/>
    <tableColumn id="25" xr3:uid="{B118F08B-17E6-4BBC-9702-6E21183641E7}" uniqueName="25" name="클레임" queryTableFieldId="25" dataDxfId="234"/>
    <tableColumn id="26" xr3:uid="{DACF5AF7-178C-4B5C-8DCD-4BCF16045183}" uniqueName="26" name="묶음" queryTableFieldId="26" dataDxfId="233"/>
    <tableColumn id="8" xr3:uid="{B4CD4F84-4212-4F2B-ADC5-29683DA18A33}" uniqueName="8" name="검사" queryTableFieldId="27" dataDxfId="232">
      <calculatedColumnFormula>_xlfn.CONCAT(S출고표검수[[#This Row],[상품주문번호]:[옵션정보]])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D29C1C-A3A5-4526-8CC1-432C794DFB81}" name="S출고표" displayName="S출고표" ref="A1:AV3" tableType="queryTable" totalsRowShown="0" headerRowDxfId="231" dataDxfId="230">
  <autoFilter ref="A1:AV3" xr:uid="{25D29C1C-A3A5-4526-8CC1-432C794DFB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49" xr3:uid="{84ACEF12-9323-4B3D-83A1-E708291D56FC}" uniqueName="49" name="ID" queryTableFieldId="49" dataDxfId="229"/>
    <tableColumn id="2" xr3:uid="{AECF7D89-F19A-445A-A6D7-57226734009D}" uniqueName="2" name="쇼핑몰구분" queryTableFieldId="2" dataDxfId="228"/>
    <tableColumn id="3" xr3:uid="{A94D5D57-60D2-42A9-8DD2-69E7D0FBEB86}" uniqueName="3" name="상품주문번호" queryTableFieldId="3" dataDxfId="227"/>
    <tableColumn id="4" xr3:uid="{1C73E314-5EF2-4CD0-BB5C-8DB3260A036A}" uniqueName="4" name="판매채널" queryTableFieldId="4" dataDxfId="226"/>
    <tableColumn id="5" xr3:uid="{EB9EC1B3-DC3E-4951-90B4-FA3EA6F9F475}" uniqueName="5" name="구매자명" queryTableFieldId="5" dataDxfId="225"/>
    <tableColumn id="6" xr3:uid="{FA52C71A-CC5D-476B-AE9D-83ADB07F59F8}" uniqueName="6" name="구매자ID" queryTableFieldId="6" dataDxfId="224"/>
    <tableColumn id="7" xr3:uid="{B8D2DC2F-C961-4F40-8E08-C6CA7591CA33}" uniqueName="7" name="구매자연락처" queryTableFieldId="7" dataDxfId="223"/>
    <tableColumn id="8" xr3:uid="{3252C09A-83F6-4C7B-8317-DFE89272C465}" uniqueName="8" name="구입일자" queryTableFieldId="8" dataDxfId="222"/>
    <tableColumn id="9" xr3:uid="{2A9B0ECB-2DD1-49F8-A921-87793B548601}" uniqueName="9" name="발송일" queryTableFieldId="9" dataDxfId="221"/>
    <tableColumn id="10" xr3:uid="{DBB96B22-69B3-456D-8AC0-03FC99ADB338}" uniqueName="10" name="택배사" queryTableFieldId="10" dataDxfId="220"/>
    <tableColumn id="11" xr3:uid="{38567088-6A7F-4146-922C-80121EE5C400}" uniqueName="11" name="송장번호" queryTableFieldId="11" dataDxfId="219"/>
    <tableColumn id="12" xr3:uid="{166DF367-9A6E-4487-B05E-012DE6172D2B}" uniqueName="12" name="배송완료일" queryTableFieldId="12" dataDxfId="218"/>
    <tableColumn id="13" xr3:uid="{ABC802EE-FFE9-43D6-B658-395C2779372A}" uniqueName="13" name="수취인명" queryTableFieldId="13" dataDxfId="217"/>
    <tableColumn id="14" xr3:uid="{FD72CF7C-BDA4-41C3-85E7-054D120586E7}" uniqueName="14" name="수취인연락처1" queryTableFieldId="14" dataDxfId="216"/>
    <tableColumn id="15" xr3:uid="{38790FE8-ACF8-4232-BB7F-DA17E8D3F6FF}" uniqueName="15" name="수취인연락처2" queryTableFieldId="15" dataDxfId="215"/>
    <tableColumn id="16" xr3:uid="{32D21A51-EA35-4D7E-BDCC-1452619DB0B3}" uniqueName="16" name="배송지" queryTableFieldId="16" dataDxfId="214"/>
    <tableColumn id="17" xr3:uid="{C1B9D514-176E-4AD3-9B0F-8EE8A103847F}" uniqueName="17" name="배송메세지" queryTableFieldId="17" dataDxfId="213"/>
    <tableColumn id="18" xr3:uid="{2C7FA90E-D7A7-4368-AC07-8A1EFB3CADBF}" uniqueName="18" name="상품명" queryTableFieldId="18" dataDxfId="212"/>
    <tableColumn id="19" xr3:uid="{47C66446-9DD0-445A-B688-CC825E1D4075}" uniqueName="19" name="옵션정보" queryTableFieldId="19" dataDxfId="211"/>
    <tableColumn id="20" xr3:uid="{9EE0FA7D-9E42-4F0D-9502-D7B2B7C53CF1}" uniqueName="20" name="수량" queryTableFieldId="20" dataDxfId="210"/>
    <tableColumn id="21" xr3:uid="{CC25E5F5-0F78-4DB3-88A5-6EF7604CA6C4}" uniqueName="21" name="결제액" queryTableFieldId="21" dataDxfId="209"/>
    <tableColumn id="22" xr3:uid="{48694CAB-18A9-45CE-9C5B-09F7BE42DEDB}" uniqueName="22" name="판매자부담할인액" queryTableFieldId="22" dataDxfId="208"/>
    <tableColumn id="23" xr3:uid="{781A0207-2E10-4A89-800B-C1B9C6A74FC6}" uniqueName="23" name="배송비" queryTableFieldId="23" dataDxfId="207"/>
    <tableColumn id="24" xr3:uid="{31B00F3B-AA26-477C-AE1E-3001F0274526}" uniqueName="24" name="제주/도서추가배송비" queryTableFieldId="24" dataDxfId="206"/>
    <tableColumn id="25" xr3:uid="{63484F9A-129D-48BC-926D-51CDEC2E54E6}" uniqueName="25" name="업체배송비" queryTableFieldId="25" dataDxfId="205"/>
    <tableColumn id="26" xr3:uid="{DDC6182D-AF66-4E81-8C10-64B48161462C}" uniqueName="26" name="박스가격" queryTableFieldId="26" dataDxfId="204"/>
    <tableColumn id="27" xr3:uid="{B980F15D-2D5D-41D3-AA45-4F4A10047808}" uniqueName="27" name="추가제작비용" queryTableFieldId="27" dataDxfId="203"/>
    <tableColumn id="28" xr3:uid="{42FB7D6A-A3B2-459E-9955-939C8032098E}" uniqueName="28" name="1개판매금액" queryTableFieldId="28" dataDxfId="202"/>
    <tableColumn id="29" xr3:uid="{E6B5377A-4137-487B-8BBC-AD629A5F69FB}" uniqueName="29" name="제품공급가" queryTableFieldId="29" dataDxfId="201"/>
    <tableColumn id="30" xr3:uid="{C426E175-1344-4249-A719-1E9CAA93E6B8}" uniqueName="30" name="총판매금액" queryTableFieldId="30" dataDxfId="200"/>
    <tableColumn id="31" xr3:uid="{192B18AE-E6BA-44EF-BF2C-014F9E7ED799}" uniqueName="31" name="거래처지급액" queryTableFieldId="31" dataDxfId="199"/>
    <tableColumn id="32" xr3:uid="{9597BCC3-3EE8-4B19-94FC-94E9E04EE6EE}" uniqueName="32" name="수수료" queryTableFieldId="32" dataDxfId="198"/>
    <tableColumn id="33" xr3:uid="{0ABB2DCB-B5BC-43D3-89DE-6B7FE0525E7E}" uniqueName="33" name="순이익" queryTableFieldId="33" dataDxfId="197"/>
    <tableColumn id="34" xr3:uid="{F3D68DC7-1C9A-49FA-B0CF-7B4372F97DD3}" uniqueName="34" name="마진율" queryTableFieldId="34" dataDxfId="196"/>
    <tableColumn id="35" xr3:uid="{F6AB946C-1598-4DBF-B054-9596F9C7CBA6}" uniqueName="35" name="검사" queryTableFieldId="35" dataDxfId="195"/>
    <tableColumn id="36" xr3:uid="{01ABC27F-3023-4399-A3CA-0C01CE480F5E}" uniqueName="36" name="판매자메모" queryTableFieldId="36" dataDxfId="194"/>
    <tableColumn id="37" xr3:uid="{67BE1DD9-9376-4321-BB95-A0C1E649F338}" uniqueName="37" name="클레임" queryTableFieldId="37" dataDxfId="193"/>
    <tableColumn id="38" xr3:uid="{5E0E223A-0D1C-4CBB-85EA-CC205C6A590F}" uniqueName="38" name="종류" queryTableFieldId="38" dataDxfId="192"/>
    <tableColumn id="39" xr3:uid="{9206FA28-BC2E-4BBC-AAD3-C2F8C0413ADC}" uniqueName="39" name="재구매" queryTableFieldId="39" dataDxfId="191"/>
    <tableColumn id="40" xr3:uid="{FA8DA7F0-4080-4EA9-B66F-852F7AF2A479}" uniqueName="40" name="시트버전" queryTableFieldId="40" dataDxfId="190"/>
    <tableColumn id="41" xr3:uid="{0DE8D60C-EC0E-43CE-B566-46E725CEFE6E}" uniqueName="41" name="묶음" queryTableFieldId="41" dataDxfId="189"/>
    <tableColumn id="42" xr3:uid="{584F151E-0910-4F28-B7DC-4FDB03AF2603}" uniqueName="42" name="총판매금액(검)" queryTableFieldId="42" dataDxfId="188"/>
    <tableColumn id="43" xr3:uid="{36711C27-3061-4275-8D0C-40F79A4609D9}" uniqueName="43" name="거래처지급액(검)" queryTableFieldId="43" dataDxfId="187"/>
    <tableColumn id="44" xr3:uid="{2A205A30-C118-4C8F-8E26-101A87160145}" uniqueName="44" name="수수료(검)" queryTableFieldId="44" dataDxfId="186"/>
    <tableColumn id="45" xr3:uid="{20AC90D5-0CE2-4C9C-A354-8C13EAC83B5E}" uniqueName="45" name="순이익(검)" queryTableFieldId="45" dataDxfId="185"/>
    <tableColumn id="46" xr3:uid="{6DEBA19D-E66A-4558-8284-2EC6AACE886D}" uniqueName="46" name="마진율(검)" queryTableFieldId="46" dataDxfId="184"/>
    <tableColumn id="47" xr3:uid="{3EB398EB-23B7-4853-92C1-274CB664F57D}" uniqueName="47" name="검사(검)" queryTableFieldId="47" dataDxfId="183"/>
    <tableColumn id="48" xr3:uid="{B620C492-2F16-45D2-AE53-A6D7F81AFBD8}" uniqueName="48" name="누계" queryTableFieldId="48" dataDxfId="18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62699C9-8598-450A-A845-61CD9F280B2C}" name="F출고표" displayName="F출고표" ref="A1:AV3" tableType="queryTable" totalsRowShown="0" dataDxfId="181">
  <autoFilter ref="A1:AV3" xr:uid="{362699C9-8598-450A-A845-61CD9F280B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C73B604-F5E0-4868-B807-42B1BCAF461D}" uniqueName="1" name="ID" queryTableFieldId="1" dataDxfId="180"/>
    <tableColumn id="2" xr3:uid="{39F64432-ADA7-4C5D-B1F2-8ABBCB16B4F8}" uniqueName="2" name="쇼핑몰구분" queryTableFieldId="2" dataDxfId="179"/>
    <tableColumn id="3" xr3:uid="{09BF1D8D-E94A-4F4D-8C50-B16EEAE9FB00}" uniqueName="3" name="상품주문번호" queryTableFieldId="3" dataDxfId="178"/>
    <tableColumn id="4" xr3:uid="{D934A20C-586E-4868-AF59-CCBCBCCF73C0}" uniqueName="4" name="판매채널" queryTableFieldId="4" dataDxfId="177"/>
    <tableColumn id="5" xr3:uid="{E7DE0157-FD22-41BA-810E-0FE3519807EA}" uniqueName="5" name="구매자명" queryTableFieldId="5" dataDxfId="176"/>
    <tableColumn id="6" xr3:uid="{BA16C09F-9298-46C0-94FF-CBDB3234B412}" uniqueName="6" name="구매자ID" queryTableFieldId="6" dataDxfId="175"/>
    <tableColumn id="7" xr3:uid="{9DD55B83-0235-41D4-AB8F-724F6F40959B}" uniqueName="7" name="구매자연락처" queryTableFieldId="7" dataDxfId="174"/>
    <tableColumn id="8" xr3:uid="{1F4A02CE-6CFF-4BFB-9165-41262CB36DF0}" uniqueName="8" name="구입일자" queryTableFieldId="8" dataDxfId="173"/>
    <tableColumn id="9" xr3:uid="{12C1897D-294D-45FC-AC5C-1F9C529E0201}" uniqueName="9" name="발송일" queryTableFieldId="9" dataDxfId="172"/>
    <tableColumn id="10" xr3:uid="{BDCDA984-7E56-44A8-98DE-29E53E219EAF}" uniqueName="10" name="택배사" queryTableFieldId="10" dataDxfId="171"/>
    <tableColumn id="11" xr3:uid="{6DC37D9B-F478-44D2-9145-CEAA461B76FA}" uniqueName="11" name="송장번호" queryTableFieldId="11" dataDxfId="170"/>
    <tableColumn id="12" xr3:uid="{4B51D9A3-AF29-47CD-BFCC-52958801D7D9}" uniqueName="12" name="배송완료일" queryTableFieldId="12" dataDxfId="169"/>
    <tableColumn id="13" xr3:uid="{6AE50652-F5FA-4082-AC2A-B8C0D4E81F2B}" uniqueName="13" name="수취인명" queryTableFieldId="13" dataDxfId="168"/>
    <tableColumn id="14" xr3:uid="{7713D81D-5A00-42D8-9968-D7D7E9F3A2A2}" uniqueName="14" name="수취인연락처1" queryTableFieldId="14" dataDxfId="167"/>
    <tableColumn id="15" xr3:uid="{FA6FE6F0-5B1C-4DDD-B0A0-A4046EAD0A5A}" uniqueName="15" name="수취인연락처2" queryTableFieldId="15" dataDxfId="166"/>
    <tableColumn id="16" xr3:uid="{951CE16B-DC2F-42CF-976C-C449698AA940}" uniqueName="16" name="배송지" queryTableFieldId="16" dataDxfId="165"/>
    <tableColumn id="17" xr3:uid="{1698ECA0-3BD8-41EC-A6BC-3E6D788FF896}" uniqueName="17" name="배송메세지" queryTableFieldId="17" dataDxfId="164"/>
    <tableColumn id="18" xr3:uid="{2CE62E04-2894-4C6F-A7D4-A86E599476B6}" uniqueName="18" name="상품명" queryTableFieldId="18" dataDxfId="163"/>
    <tableColumn id="19" xr3:uid="{041C861B-551B-4CE6-B401-55F6FF06D091}" uniqueName="19" name="옵션정보" queryTableFieldId="19" dataDxfId="162"/>
    <tableColumn id="20" xr3:uid="{90338281-8C52-4999-9A04-323CA75C37FB}" uniqueName="20" name="수량" queryTableFieldId="20" dataDxfId="161"/>
    <tableColumn id="21" xr3:uid="{C538AEE8-FA41-4851-92DC-E215DC2028DB}" uniqueName="21" name="결제액" queryTableFieldId="21" dataDxfId="160"/>
    <tableColumn id="22" xr3:uid="{703EA1C0-58B0-4792-85CA-EF38B39D8D6A}" uniqueName="22" name="판매자부담할인액" queryTableFieldId="22" dataDxfId="159"/>
    <tableColumn id="23" xr3:uid="{3B496E89-D799-4FB3-9AC6-106365B4B281}" uniqueName="23" name="배송비" queryTableFieldId="23" dataDxfId="158"/>
    <tableColumn id="24" xr3:uid="{9E88E2AA-9086-4A9D-A847-C959F0EE0F03}" uniqueName="24" name="제주/도서추가배송비" queryTableFieldId="24" dataDxfId="157"/>
    <tableColumn id="25" xr3:uid="{FB2BC280-E08F-4B49-BB0B-86FE8658C810}" uniqueName="25" name="업체배송비" queryTableFieldId="25" dataDxfId="156"/>
    <tableColumn id="26" xr3:uid="{F7F45265-059B-4A8E-9406-760638CEAC34}" uniqueName="26" name="박스가격" queryTableFieldId="26" dataDxfId="155"/>
    <tableColumn id="27" xr3:uid="{072F4561-54B3-4298-9F91-F0105C71F057}" uniqueName="27" name="추가제작비용" queryTableFieldId="27" dataDxfId="154"/>
    <tableColumn id="28" xr3:uid="{EF9AB59B-83F9-44A7-9D27-B102BEB20862}" uniqueName="28" name="1개판매금액" queryTableFieldId="28" dataDxfId="153"/>
    <tableColumn id="29" xr3:uid="{548587EB-8D60-4B98-9A9D-7F9031F1ACA9}" uniqueName="29" name="제품공급가" queryTableFieldId="29" dataDxfId="152"/>
    <tableColumn id="30" xr3:uid="{FA0B1180-9958-4759-AD1F-958A48394D58}" uniqueName="30" name="총판매금액" queryTableFieldId="30" dataDxfId="151"/>
    <tableColumn id="31" xr3:uid="{BBE708A5-E202-44EC-8A3D-D27377B77EAA}" uniqueName="31" name="거래처지급액" queryTableFieldId="31" dataDxfId="150"/>
    <tableColumn id="32" xr3:uid="{02501CF8-3E7D-42F4-AA1F-76FDD078D60C}" uniqueName="32" name="수수료" queryTableFieldId="32" dataDxfId="149"/>
    <tableColumn id="33" xr3:uid="{96E3B9BB-5C67-4583-BFCB-8681EDB9D181}" uniqueName="33" name="순이익" queryTableFieldId="33" dataDxfId="148"/>
    <tableColumn id="34" xr3:uid="{311EB2EE-9DE0-4561-964C-C560E2A77DC7}" uniqueName="34" name="마진율" queryTableFieldId="34" dataDxfId="147"/>
    <tableColumn id="35" xr3:uid="{9EA50142-B594-4466-B5E3-BB617D6CD4C8}" uniqueName="35" name="검사" queryTableFieldId="35" dataDxfId="146"/>
    <tableColumn id="36" xr3:uid="{9C5439F4-95E4-4A1D-872A-2E9517ADCF61}" uniqueName="36" name="판매자메모" queryTableFieldId="36" dataDxfId="145"/>
    <tableColumn id="37" xr3:uid="{E667EC3D-0B9E-4412-9B01-5904CB500101}" uniqueName="37" name="클레임" queryTableFieldId="37" dataDxfId="144"/>
    <tableColumn id="38" xr3:uid="{A42290A8-D201-4874-B1F3-1ABE15DF357A}" uniqueName="38" name="종류" queryTableFieldId="38" dataDxfId="143"/>
    <tableColumn id="39" xr3:uid="{7A923F03-6D81-44E3-8A2C-111E6C05E2BA}" uniqueName="39" name="재구매" queryTableFieldId="39" dataDxfId="142"/>
    <tableColumn id="40" xr3:uid="{81C5560F-5358-4255-84FB-B97FF303D2D5}" uniqueName="40" name="시트버전" queryTableFieldId="40" dataDxfId="141"/>
    <tableColumn id="41" xr3:uid="{02FDE18F-6CDF-4E2A-98C9-B38015644F23}" uniqueName="41" name="묶음" queryTableFieldId="41" dataDxfId="140"/>
    <tableColumn id="42" xr3:uid="{F9D1B3FE-6AE2-4DA3-A528-68CB786C3DD9}" uniqueName="42" name="총판매금액(검)" queryTableFieldId="42" dataDxfId="139"/>
    <tableColumn id="43" xr3:uid="{1B4B181D-779C-4551-AC03-D2C80BD3A251}" uniqueName="43" name="거래처지급액(검)" queryTableFieldId="43" dataDxfId="138"/>
    <tableColumn id="44" xr3:uid="{12827DFA-E346-4DE0-BC50-F808218C2F5F}" uniqueName="44" name="수수료(검)" queryTableFieldId="44" dataDxfId="137"/>
    <tableColumn id="45" xr3:uid="{B9D4BB8C-AB8C-44CC-BD32-A55179FB89A8}" uniqueName="45" name="순이익(검)" queryTableFieldId="45" dataDxfId="136"/>
    <tableColumn id="46" xr3:uid="{4E3485E5-BAF4-4444-9D8D-F22E8C6A856D}" uniqueName="46" name="마진율(검)" queryTableFieldId="46" dataDxfId="135"/>
    <tableColumn id="47" xr3:uid="{1BF787FC-ECC1-442C-8FFD-9BCDB3E301B1}" uniqueName="47" name="검사(검)" queryTableFieldId="47" dataDxfId="134"/>
    <tableColumn id="48" xr3:uid="{87BB843B-2580-4462-9AE8-1BAD204522B5}" uniqueName="48" name="누계" queryTableFieldId="48" dataDxfId="1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99864D1-B109-4D43-8EDD-C08E381FC696}" name="출고표" displayName="출고표" ref="A1:AV5" totalsRowShown="0" headerRowDxfId="124" dataDxfId="123" tableBorderDxfId="122" headerRowCellStyle="강조색5">
  <autoFilter ref="A1:AV5" xr:uid="{499864D1-B109-4D43-8EDD-C08E381FC6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A4D3AD5-B470-4020-B2D8-429D9A778B30}" name="ID" dataDxfId="121"/>
    <tableColumn id="2" xr3:uid="{7EF9914A-7598-4C32-9B35-A72C29C3748B}" name="쇼핑몰구분" dataDxfId="120"/>
    <tableColumn id="3" xr3:uid="{9C8B108D-291F-4C6D-8183-3B2D20428E5C}" name="상품주문번호" dataDxfId="119"/>
    <tableColumn id="4" xr3:uid="{3DA424FC-7897-4FC5-8083-1E4FDA39B485}" name="판매채널" dataDxfId="118"/>
    <tableColumn id="5" xr3:uid="{FA866435-F324-47AF-9EDE-1A59F28A33A4}" name="구매자명" dataDxfId="117"/>
    <tableColumn id="6" xr3:uid="{A2D909E7-1961-48AB-ABAC-E6E054BC2069}" name="구매자ID" dataDxfId="116"/>
    <tableColumn id="7" xr3:uid="{2821550D-B4B7-4F7E-B5E9-112CB56AC09B}" name="구매자연락처" dataDxfId="115"/>
    <tableColumn id="8" xr3:uid="{83FA33EA-5517-4AB7-8395-BC3772E39D7B}" name="구입일자" dataDxfId="114"/>
    <tableColumn id="9" xr3:uid="{90CFD471-6446-49ED-BFB9-90E3F59E2D80}" name="발송일" dataDxfId="113"/>
    <tableColumn id="10" xr3:uid="{85473EF7-E8E6-4030-A61B-C0729614F495}" name="택배사" dataDxfId="112"/>
    <tableColumn id="11" xr3:uid="{5E487F4A-D746-4D19-BE60-63E65268E186}" name="송장번호" dataDxfId="111"/>
    <tableColumn id="12" xr3:uid="{C3C3FDA5-981E-4C7E-BD7E-5843D2EFACEA}" name="배송완료일" dataDxfId="110"/>
    <tableColumn id="13" xr3:uid="{59B995A7-7F88-4DA6-BBD9-1F60D3888F43}" name="수취인명" dataDxfId="109"/>
    <tableColumn id="14" xr3:uid="{83B62BB8-9801-44DE-826A-987810A45747}" name="수취인연락처1" dataDxfId="108"/>
    <tableColumn id="15" xr3:uid="{17496A84-4655-4A9A-8261-09D9A32E7716}" name="수취인연락처2" dataDxfId="107"/>
    <tableColumn id="16" xr3:uid="{BB696DE8-F579-4BD8-8710-1449C849DCA2}" name="배송지" dataDxfId="106"/>
    <tableColumn id="17" xr3:uid="{20B9DDA0-DB38-4639-80FA-FBCA6A2469C1}" name="배송메세지" dataDxfId="105"/>
    <tableColumn id="18" xr3:uid="{CED291CC-AECE-4950-AA75-EDA6A6EAC262}" name="상품명" dataDxfId="104"/>
    <tableColumn id="19" xr3:uid="{83A9161B-80F7-4A5D-B6B8-15455A41D8EA}" name="옵션정보" dataDxfId="103"/>
    <tableColumn id="20" xr3:uid="{DC83A706-C042-4999-86A9-28113928855E}" name="수량" dataDxfId="102"/>
    <tableColumn id="21" xr3:uid="{D27DDAD3-8672-478F-891D-5C605A384E75}" name="결제액" dataDxfId="101"/>
    <tableColumn id="22" xr3:uid="{AE8EE42C-4677-4012-B1DD-4B0355D05765}" name="판매자부담할인액" dataDxfId="100"/>
    <tableColumn id="23" xr3:uid="{D0795740-607F-4484-9A08-F498C9BEEDDD}" name="배송비" dataDxfId="99"/>
    <tableColumn id="24" xr3:uid="{1DEEBFD5-9C42-43B5-B31E-8BBA474C1138}" name="제주/도서추가배송비" dataDxfId="98"/>
    <tableColumn id="25" xr3:uid="{B9C7F1ED-66A8-4238-9058-27D828E1B672}" name="업체배송비" dataDxfId="97"/>
    <tableColumn id="26" xr3:uid="{48DA88EF-0867-4D45-A77E-B5E43A419245}" name="박스가격" dataDxfId="96"/>
    <tableColumn id="27" xr3:uid="{7B00F0D0-7870-4CDA-9A07-F43654747300}" name="추가제작비용" dataDxfId="95"/>
    <tableColumn id="28" xr3:uid="{2FB7DC2A-3C80-4137-86BB-A04DA7A80A32}" name="1개판매금액" dataDxfId="94"/>
    <tableColumn id="29" xr3:uid="{420BE3D2-4B07-42AA-B2BB-B32BA670C0F0}" name="제품공급가" dataDxfId="93"/>
    <tableColumn id="30" xr3:uid="{39D2BD8B-3E94-4262-9C41-7205E9EA42FF}" name="총판매금액" dataDxfId="92"/>
    <tableColumn id="31" xr3:uid="{F5AD7B41-09DF-4158-8584-E9F4FA452E43}" name="거래처지급액" dataDxfId="91"/>
    <tableColumn id="32" xr3:uid="{AF28BB34-AA3B-40A9-A606-30437C3A0A5F}" name="수수료" dataDxfId="90"/>
    <tableColumn id="33" xr3:uid="{193DA2CD-B6F4-4CBF-B664-FBDD67EA7735}" name="순이익" dataDxfId="89"/>
    <tableColumn id="34" xr3:uid="{32175204-F8CB-4EFB-A97B-B01951AF67A6}" name="마진율" dataDxfId="88"/>
    <tableColumn id="35" xr3:uid="{060BE659-AAA4-46E5-B034-C34A3C79002B}" name="검사" dataDxfId="87"/>
    <tableColumn id="36" xr3:uid="{6210BB5D-85B8-420C-82A3-3C59D55C0FF8}" name="판매자메모" dataDxfId="86"/>
    <tableColumn id="37" xr3:uid="{32BA58E9-E93A-4FC4-967E-A6D6C8F3476E}" name="클레임" dataDxfId="85"/>
    <tableColumn id="38" xr3:uid="{A0A3E4EC-1629-4AF5-8867-B3AFCCCD30B5}" name="종류" dataDxfId="84"/>
    <tableColumn id="39" xr3:uid="{2BC8E711-F8F9-44A2-97AD-BF3C8BD6D3B8}" name="재구매" dataDxfId="83"/>
    <tableColumn id="40" xr3:uid="{CD00A249-2B7F-4FD8-917E-627AE5A3C24C}" name="시트버전" dataDxfId="82"/>
    <tableColumn id="41" xr3:uid="{507AFB53-F95C-4A11-8AEE-362021E5C335}" name="묶음" dataDxfId="81"/>
    <tableColumn id="42" xr3:uid="{D8496B50-C8D9-4656-87C9-3F77D9AA1A76}" name="총판매금액(검)" dataDxfId="80">
      <calculatedColumnFormula>IFERROR(IF(출고표[[#This Row],[클레임]]="반품",출고표[[#This Row],[배송비]],출고표[[#This Row],[결제액]]+출고표[[#This Row],[배송비]]+출고표[[#This Row],[제주/도서추가배송비]]-출고표[[#This Row],[판매자부담할인액]]),0)</calculatedColumnFormula>
    </tableColumn>
    <tableColumn id="43" xr3:uid="{88F90258-B4AD-40AE-8F33-38B63DEE1D80}" name="거래처지급액(검)" dataDxfId="79">
      <calculatedColumnFormula>IFERROR(IF(출고표[[#This Row],[클레임]]="반품",출고표[[#This Row],[업체배송비]]+출고표[[#This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Row],[박스가격]])),0)</calculatedColumnFormula>
    </tableColumn>
    <tableColumn id="44" xr3:uid="{AC52A286-2361-4088-BED3-9C47F8D5CBE7}" name="수수료(검)" dataDxfId="78">
      <calculatedColumnFormula>IFERROR(IF(출고표[[#This Row],[클레임]]="반품",ROUND(출고표[[#This Row],[배송비]]*VLOOKUP(출고표[[#This Row],[판매채널]],#REF!,5,0),0),IF(출고표[[#This Row],[판매채널]]="쿠팡",ROUND(((ROUND(((출고표[[#This Row],[결제액]] / 출고표[[#This Row],[수량]]) * VLOOKUP(출고표[[#This Row],[판매채널]],#REF!,IF(출고표[[#This Row],[쇼핑몰구분]]="비닐팩토리",4,3),0)) * 출고표[[#This Row],[수량]], 0) - ROUND((출고표[[#This Row],[판매자부담할인액]] * VLOOKUP(출고표[[#This Row],[판매채널]],#REF!,IF(출고표[[#This Row],[쇼핑몰구분]]="비닐팩토리",4,3),0)), 0)) * 1.1)+ROUND(출고표[[#This Row],[배송비]]*VLOOKUP(출고표[[#This Row],[판매채널]],#REF!,IF(출고표[[#This Row],[쇼핑몰구분]]="비닐팩토리",6,5),0),0),0),ROUND((출고표[[#This Row],[결제액]]-출고표[[#This Row],[판매자부담할인액]])*VLOOKUP(출고표[[#This Row],[판매채널]],#REF!,IF(출고표[[#This Row],[쇼핑몰구분]]="비닐팩토리",4,3),0),0)+ROUND(출고표[[#This Row],[배송비]]*VLOOKUP(출고표[[#This Row],[판매채널]],#REF!,IF(출고표[[#This Row],[쇼핑몰구분]]="비닐팩토리",6,5),0),0))),0)</calculatedColumnFormula>
    </tableColumn>
    <tableColumn id="45" xr3:uid="{A5582252-56A5-4CC2-82BF-8AC941F619FE}" name="순이익(검)" dataDxfId="77">
      <calculatedColumnFormula>IFERROR(IF(출고표[[#This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Row],[수수료(검)]],0)),0)</calculatedColumnFormula>
    </tableColumn>
    <tableColumn id="46" xr3:uid="{C7B8185B-73C7-44D5-970E-CC513BFCB03A}" name="마진율(검)" dataDxfId="76">
      <calculatedColumnFormula>IFERROR(IF(출고표[[#This Row],[클레임]]="반품",0,IF(출고표[[#This Row],[총판매금액(검)]]=0,0,ROUND(출고표[[#This Row],[순이익(검)]]/출고표[[#This Row],[총판매금액(검)]],4))),0)</calculatedColumnFormula>
    </tableColumn>
    <tableColumn id="47" xr3:uid="{EDB8A12D-071A-4146-BA62-1581E09837DD}" name="검사(검)" dataDxfId="75">
      <calculatedColumnFormula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calculatedColumnFormula>
    </tableColumn>
    <tableColumn id="48" xr3:uid="{F0B356E4-1586-45CC-B505-B6744268C7FA}" name="누계" dataDxfId="74">
      <calculatedColumnFormula>IFERROR(IF(D2="스마트스토어",COUNTIFS(출고표[구입일자],"&lt;&gt;"&amp;H2,출고표[구매자명],E2,출고표[구매자연락처],F2),COUNTIFS(출고표[구입일자],"&lt;&gt;"&amp;H2,출고표[구매자명],E2,출고표[구매자연락처],G2)),0)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0A6D8B-D7CD-41DD-9A08-9727C03084BF}" name="고객표" displayName="고객표" ref="A1:M5" totalsRowShown="0" headerRowDxfId="73" dataDxfId="71" headerRowBorderDxfId="72">
  <autoFilter ref="A1:M5" xr:uid="{7F0A6D8B-D7CD-41DD-9A08-9727C03084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1580C37-8E79-44BF-8EC2-ABF7E23E6663}" name="ID" dataDxfId="70"/>
    <tableColumn id="2" xr3:uid="{FEE1C01C-919F-439F-AD31-34EE3DFD8146}" name="쇼핑몰구분" dataDxfId="69"/>
    <tableColumn id="3" xr3:uid="{92A958FB-AD15-4704-95F9-82D8F0BA1B30}" name="판매채널" dataDxfId="68"/>
    <tableColumn id="4" xr3:uid="{A6B56AF1-BFEB-472F-8F49-86A79F51F056}" name="구매자명" dataDxfId="67"/>
    <tableColumn id="5" xr3:uid="{D7933B53-78C8-4B87-95D9-AF33713E4549}" name="구매자ID" dataDxfId="66"/>
    <tableColumn id="6" xr3:uid="{FCB1A0D7-B783-4BB6-B4E7-F76CE2239777}" name="구매자연락처" dataDxfId="65"/>
    <tableColumn id="7" xr3:uid="{0E59BCBB-296C-42E7-A0FB-4DCF05694C48}" name="수취인명" dataDxfId="64"/>
    <tableColumn id="8" xr3:uid="{ACA0DAC8-D6BB-43F9-A495-9F59A5038ACB}" name="연락처1" dataDxfId="63"/>
    <tableColumn id="9" xr3:uid="{45D4B5A0-377D-4E71-B4C0-C13EE4018478}" name="연락처2" dataDxfId="62"/>
    <tableColumn id="10" xr3:uid="{5BC22408-0ABA-4B1C-B376-18ACCA590699}" name="메모" dataDxfId="61"/>
    <tableColumn id="11" xr3:uid="{29141005-583C-49CC-A4DF-A872D1DA4635}" name="CS메모" dataDxfId="60"/>
    <tableColumn id="12" xr3:uid="{868EB289-BDA7-424A-B3CB-A97C5DC7D628}" name="배송지" dataDxfId="59"/>
    <tableColumn id="13" xr3:uid="{1DEEE83B-2959-4CE0-8340-341D4958DE99}" name="누계" dataDxfId="58">
      <calculatedColumnFormula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734C027-7A4D-4CA2-9444-C6554CCE0065}" name="채널수수료" displayName="채널수수료" ref="H25:M33" totalsRowShown="0" headerRowDxfId="57" dataDxfId="55" headerRowBorderDxfId="56" totalsRowBorderDxfId="54" dataCellStyle="백분율">
  <autoFilter ref="H25:M33" xr:uid="{F734C027-7A4D-4CA2-9444-C6554CCE00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633E74F-E0D2-4E3B-87C8-0C5BB729E559}" name="이름" dataDxfId="53"/>
    <tableColumn id="2" xr3:uid="{59D33092-76F2-4D87-B47F-78E9F018028E}" name="가격ID" dataDxfId="52"/>
    <tableColumn id="3" xr3:uid="{37408B55-45FF-4A7B-A74B-7FE5F7EC31E1}" name="스토리수수료" dataDxfId="51" dataCellStyle="백분율"/>
    <tableColumn id="4" xr3:uid="{A530978B-CBC6-4677-B8A9-A61672B6CB8F}" name="팩토리수수료" dataDxfId="50" dataCellStyle="백분율"/>
    <tableColumn id="5" xr3:uid="{D7675C30-FC47-4822-9CDE-E8238BCDD799}" name="스토리택배수수료" dataDxfId="49" dataCellStyle="백분율"/>
    <tableColumn id="6" xr3:uid="{0196C153-C8AC-4069-9E5C-55E19169AD15}" name=" 팩토리택배수수료" dataDxfId="48" dataCellStyle="백분율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C2CD797-DB79-4302-B614-559415B81CB0}" name="클레임표" displayName="클레임표" ref="O25:O28" totalsRowShown="0" headerRowDxfId="47" dataDxfId="46">
  <autoFilter ref="O25:O28" xr:uid="{7C2CD797-DB79-4302-B614-559415B81CB0}">
    <filterColumn colId="0" hiddenButton="1"/>
  </autoFilter>
  <tableColumns count="1">
    <tableColumn id="1" xr3:uid="{E9AF6FF1-8B49-43FD-9977-4F15D221281B}" name="클레임CS" dataDxfId="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C4C336E-2D61-4F53-ABFB-038AF5BB009E}" name="쇼핑몰이름" displayName="쇼핑몰이름" ref="O31:O33" totalsRowShown="0" headerRowDxfId="44" dataDxfId="43">
  <autoFilter ref="O31:O33" xr:uid="{4C4C336E-2D61-4F53-ABFB-038AF5BB009E}">
    <filterColumn colId="0" hiddenButton="1"/>
  </autoFilter>
  <tableColumns count="1">
    <tableColumn id="1" xr3:uid="{DDF51AEB-82E1-4740-B02C-627531287D24}" name="쇼핑몰구분" dataDxfId="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5C3306E-EBEC-4726-A28B-14E8EE3BAF71}" name="색상코드" displayName="색상코드" ref="J1:J12" totalsRowShown="0" headerRowDxfId="41" dataDxfId="40">
  <autoFilter ref="J1:J12" xr:uid="{35C3306E-EBEC-4726-A28B-14E8EE3BAF71}">
    <filterColumn colId="0" hiddenButton="1"/>
  </autoFilter>
  <tableColumns count="1">
    <tableColumn id="2" xr3:uid="{39A61433-5049-4F49-A415-9F6DE452D747}" name="옵션명" dataDxfId="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957E85-D8E6-4A6B-86D7-FB00E726345F}" name="CJ요금표" displayName="CJ요금표" ref="O1:P9" totalsRowShown="0" dataDxfId="38">
  <autoFilter ref="O1:P9" xr:uid="{8D957E85-D8E6-4A6B-86D7-FB00E726345F}">
    <filterColumn colId="0" hiddenButton="1"/>
    <filterColumn colId="1" hiddenButton="1"/>
  </autoFilter>
  <tableColumns count="2">
    <tableColumn id="1" xr3:uid="{42104A04-2943-4C18-BB2D-268DA825AA73}" name="명칭" dataDxfId="37"/>
    <tableColumn id="2" xr3:uid="{46524CE5-2867-44C3-8B68-D6F078CAEDDF}" name="금액" dataDxfId="36" dataCellStyle="쉼표 [0]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CBBF37F-6E36-499E-93E7-FEAA9F54190D}" name="포장박스" displayName="포장박스" ref="L1:M7" totalsRowShown="0" dataDxfId="35">
  <autoFilter ref="L1:M7" xr:uid="{6CBBF37F-6E36-499E-93E7-FEAA9F54190D}">
    <filterColumn colId="0" hiddenButton="1"/>
    <filterColumn colId="1" hiddenButton="1"/>
  </autoFilter>
  <tableColumns count="2">
    <tableColumn id="1" xr3:uid="{C7B395E1-7D85-4BE5-B663-A749AE3B6C6D}" name="명칭" dataDxfId="34"/>
    <tableColumn id="2" xr3:uid="{3B1D7D4C-E07D-474C-86AA-48443D4C77CB}" name="금액" dataDxfId="33" dataCellStyle="쉼표 [0]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18791DB-8791-4944-A497-638DCAFE1719}" name="쇼핑몰배송비" displayName="쇼핑몰배송비" ref="L11:M15" totalsRowShown="0" headerRowDxfId="32" dataDxfId="31">
  <autoFilter ref="L11:M15" xr:uid="{018791DB-8791-4944-A497-638DCAFE1719}">
    <filterColumn colId="0" hiddenButton="1"/>
    <filterColumn colId="1" hiddenButton="1"/>
  </autoFilter>
  <tableColumns count="2">
    <tableColumn id="1" xr3:uid="{F9497B91-BA51-4273-A8D7-C00BE4573900}" name="명칭" dataDxfId="30"/>
    <tableColumn id="2" xr3:uid="{72A2A86C-AB9E-4E75-B045-C336A745F26A}" name="금액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C96EA3B-B079-4AF7-841A-21E741BBDEA1}" name="제품시트" displayName="제품시트" ref="O11:P14" totalsRowShown="0" headerRowDxfId="28" dataDxfId="27">
  <autoFilter ref="O11:P14" xr:uid="{DC96EA3B-B079-4AF7-841A-21E741BBDEA1}">
    <filterColumn colId="0" hiddenButton="1"/>
    <filterColumn colId="1" hiddenButton="1"/>
  </autoFilter>
  <tableColumns count="2">
    <tableColumn id="1" xr3:uid="{ABBAAEF7-C711-406E-B9C0-1EE2532242C5}" name="시트이름" dataDxfId="26"/>
    <tableColumn id="2" xr3:uid="{DF6319C1-04A3-4A0C-BE1E-F0865926CC8E}" name="테이블이름" dataDxfId="2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75593FD-DBBF-4893-9D65-1A2C30A12280}" name="순이익표" displayName="순이익표" ref="R1:AB37" totalsRowShown="0" headerRowDxfId="24" dataDxfId="23">
  <autoFilter ref="R1:AB37" xr:uid="{075593FD-DBBF-4893-9D65-1A2C30A12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BE4C18-BA20-4496-834C-D8C0E9991753}" name="년" dataDxfId="22"/>
    <tableColumn id="2" xr3:uid="{BF9A5151-7C32-4FEF-9C58-F042CCDFD289}" name="월" dataDxfId="21"/>
    <tableColumn id="3" xr3:uid="{0DF31A1D-9191-4535-A3ED-2FB754DECDB5}" name="비닐스토리" dataDxfId="20"/>
    <tableColumn id="4" xr3:uid="{9852C374-BFE2-4895-9DA7-5391F1A54C3D}" name="거래처지급액" dataDxfId="19"/>
    <tableColumn id="5" xr3:uid="{F1003ECC-CBEB-4A7E-9EFF-8589C4439465}" name="순이익" dataDxfId="18"/>
    <tableColumn id="6" xr3:uid="{558EA898-C9AF-47B7-84E9-5C833E843921}" name="순수순이익" dataDxfId="17"/>
    <tableColumn id="7" xr3:uid="{8A4B9E65-2FFC-43D9-B29A-EA0AE0B156B6}" name="스_매출" dataDxfId="16"/>
    <tableColumn id="8" xr3:uid="{F5846669-61E7-44BC-AB1B-835DE4BD87E7}" name="스_매출2" dataDxfId="15"/>
    <tableColumn id="9" xr3:uid="{CFAD8BA5-5AAF-4394-BF34-FE3511B555C3}" name="스_매출3" dataDxfId="14"/>
    <tableColumn id="10" xr3:uid="{DE7BC1FD-13EF-4D81-B3DC-699626F8B278}" name="비닐팩토리" dataDxfId="13"/>
    <tableColumn id="11" xr3:uid="{4AF13C95-923C-45FA-914A-69E843FAB042}" name="팩매출" dataDxfId="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BA7AA52-599E-4269-8881-CBEA27124E69}" name="종류표" displayName="종류표" ref="AD1:AE105" totalsRowShown="0" headerRowDxfId="11" dataDxfId="10" tableBorderDxfId="9">
  <autoFilter ref="AD1:AE105" xr:uid="{3BA7AA52-599E-4269-8881-CBEA27124E69}">
    <filterColumn colId="0" hiddenButton="1"/>
    <filterColumn colId="1" hiddenButton="1"/>
  </autoFilter>
  <tableColumns count="2">
    <tableColumn id="1" xr3:uid="{AB5151E6-38E2-4646-899F-B62C204B28E2}" name="제품코드" dataDxfId="8"/>
    <tableColumn id="2" xr3:uid="{869ABCD9-3124-456A-8439-0E7054CDA055}" name="명칭" dataDxfId="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77C258-EBA7-4A8D-9137-42071F510617}" name="표1" displayName="표1" ref="H43:H48" totalsRowShown="0" headerRowDxfId="6" dataDxfId="5" tableBorderDxfId="4">
  <autoFilter ref="H43:H48" xr:uid="{9777C258-EBA7-4A8D-9137-42071F510617}">
    <filterColumn colId="0" hiddenButton="1"/>
  </autoFilter>
  <tableColumns count="1">
    <tableColumn id="1" xr3:uid="{61F82478-D163-41E1-BAE7-67AABDBEC955}" name="검수필터" dataDxfId="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7195BB-C581-43A3-87AC-84145406C4DD}" name="표2" displayName="표2" ref="J43:J45" totalsRowShown="0" headerRowDxfId="2" dataDxfId="1">
  <autoFilter ref="J43:J45" xr:uid="{6F7195BB-C581-43A3-87AC-84145406C4DD}">
    <filterColumn colId="0" hiddenButton="1"/>
  </autoFilter>
  <tableColumns count="1">
    <tableColumn id="1" xr3:uid="{F5B10834-9154-4841-8406-931919152223}" name="정렬순서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0" Type="http://schemas.openxmlformats.org/officeDocument/2006/relationships/table" Target="../tables/table15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BE847-A395-43AC-8522-6DB802DE1F00}">
  <sheetPr codeName="dashBoard"/>
  <dimension ref="A1"/>
  <sheetViews>
    <sheetView tabSelected="1" workbookViewId="0">
      <selection activeCell="R8" sqref="R8"/>
    </sheetView>
  </sheetViews>
  <sheetFormatPr defaultRowHeight="18" customHeight="1"/>
  <cols>
    <col min="1" max="1" width="1.625" customWidth="1"/>
    <col min="2" max="2" width="4.625" customWidth="1"/>
    <col min="3" max="4" width="10.625" customWidth="1"/>
    <col min="5" max="5" width="1.625" customWidth="1"/>
  </cols>
  <sheetData/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3B15-CF7A-459C-A36C-EC141C622C78}">
  <sheetPr codeName="inputSheet"/>
  <dimension ref="A1:AN7"/>
  <sheetViews>
    <sheetView workbookViewId="0">
      <selection activeCell="B19" sqref="B19"/>
    </sheetView>
  </sheetViews>
  <sheetFormatPr defaultRowHeight="16.5"/>
  <cols>
    <col min="1" max="1" width="6.5" style="43" bestFit="1" customWidth="1"/>
    <col min="2" max="2" width="8.5" style="43" customWidth="1"/>
    <col min="3" max="3" width="19.375" style="43" customWidth="1"/>
    <col min="4" max="4" width="7.625" style="43" customWidth="1"/>
    <col min="5" max="5" width="6.625" style="43" customWidth="1"/>
    <col min="6" max="6" width="10.625" style="43" customWidth="1"/>
    <col min="7" max="7" width="8.375" style="43" customWidth="1"/>
    <col min="8" max="8" width="6.125" style="43" hidden="1" customWidth="1"/>
    <col min="9" max="10" width="6.25" style="43" hidden="1" customWidth="1"/>
    <col min="11" max="11" width="15.125" style="43" bestFit="1" customWidth="1"/>
    <col min="12" max="12" width="68.25" style="120" customWidth="1"/>
    <col min="13" max="13" width="30.5" style="43" bestFit="1" customWidth="1"/>
    <col min="14" max="14" width="5.5" style="43" bestFit="1" customWidth="1"/>
    <col min="15" max="15" width="9.875" style="43" bestFit="1" customWidth="1"/>
    <col min="16" max="16" width="13.875" style="43" bestFit="1" customWidth="1"/>
    <col min="17" max="17" width="13.75" style="43" bestFit="1" customWidth="1"/>
    <col min="18" max="18" width="11.25" style="43" bestFit="1" customWidth="1"/>
    <col min="19" max="19" width="11.125" style="43" bestFit="1" customWidth="1"/>
    <col min="20" max="21" width="18.375" style="43" bestFit="1" customWidth="1"/>
    <col min="22" max="22" width="9.25" style="43" bestFit="1" customWidth="1"/>
    <col min="23" max="23" width="17.375" style="43" bestFit="1" customWidth="1"/>
    <col min="24" max="24" width="15.5" style="43" bestFit="1" customWidth="1"/>
    <col min="25" max="25" width="14.625" style="43" bestFit="1" customWidth="1"/>
    <col min="26" max="26" width="11.375" style="43" bestFit="1" customWidth="1"/>
    <col min="27" max="28" width="16.625" style="43" bestFit="1" customWidth="1"/>
    <col min="29" max="29" width="64.875" style="43" customWidth="1"/>
    <col min="30" max="30" width="22.75" style="43" bestFit="1" customWidth="1"/>
    <col min="31" max="31" width="13.25" style="43" bestFit="1" customWidth="1"/>
    <col min="32" max="33" width="9.25" style="43" bestFit="1" customWidth="1"/>
    <col min="34" max="34" width="14.625" style="43" bestFit="1" customWidth="1"/>
    <col min="35" max="35" width="14" style="43" bestFit="1" customWidth="1"/>
    <col min="36" max="36" width="11.875" style="43" bestFit="1" customWidth="1"/>
    <col min="37" max="37" width="20.25" style="43" bestFit="1" customWidth="1"/>
    <col min="38" max="38" width="11.25" style="43" bestFit="1" customWidth="1"/>
    <col min="39" max="39" width="18.375" style="43" bestFit="1" customWidth="1"/>
    <col min="40" max="40" width="19.25" style="43" bestFit="1" customWidth="1"/>
    <col min="41" max="16384" width="9" style="43"/>
  </cols>
  <sheetData>
    <row r="1" spans="1:40">
      <c r="A1" s="75" t="s">
        <v>416</v>
      </c>
      <c r="B1" s="76" t="s">
        <v>417</v>
      </c>
      <c r="C1" s="77" t="s">
        <v>418</v>
      </c>
      <c r="D1" s="75" t="s">
        <v>419</v>
      </c>
      <c r="E1" s="75" t="s">
        <v>420</v>
      </c>
      <c r="F1" s="75" t="s">
        <v>421</v>
      </c>
      <c r="G1" s="76" t="s">
        <v>422</v>
      </c>
      <c r="H1" s="78" t="s">
        <v>423</v>
      </c>
      <c r="I1" s="76" t="s">
        <v>424</v>
      </c>
      <c r="J1" s="76" t="s">
        <v>425</v>
      </c>
      <c r="K1" s="79" t="s">
        <v>13</v>
      </c>
      <c r="L1" s="119" t="s">
        <v>426</v>
      </c>
      <c r="M1" s="79" t="s">
        <v>427</v>
      </c>
      <c r="N1" s="79" t="s">
        <v>12</v>
      </c>
      <c r="O1" s="79" t="s">
        <v>428</v>
      </c>
      <c r="P1" s="79" t="s">
        <v>375</v>
      </c>
      <c r="Q1" s="79" t="s">
        <v>4</v>
      </c>
      <c r="R1" s="79" t="s">
        <v>371</v>
      </c>
      <c r="S1" s="79" t="s">
        <v>373</v>
      </c>
      <c r="T1" s="79" t="s">
        <v>429</v>
      </c>
      <c r="U1" s="79" t="s">
        <v>430</v>
      </c>
      <c r="V1" s="79" t="s">
        <v>5</v>
      </c>
      <c r="W1" s="79" t="s">
        <v>431</v>
      </c>
      <c r="X1" s="79" t="s">
        <v>372</v>
      </c>
      <c r="Y1" s="79" t="s">
        <v>432</v>
      </c>
      <c r="Z1" s="79" t="s">
        <v>8</v>
      </c>
      <c r="AA1" s="79" t="s">
        <v>433</v>
      </c>
      <c r="AB1" s="79" t="s">
        <v>434</v>
      </c>
      <c r="AC1" s="79" t="s">
        <v>16</v>
      </c>
      <c r="AD1" s="79" t="s">
        <v>17</v>
      </c>
      <c r="AE1" s="79" t="s">
        <v>435</v>
      </c>
      <c r="AF1" s="79" t="s">
        <v>436</v>
      </c>
      <c r="AG1" s="79" t="s">
        <v>437</v>
      </c>
      <c r="AH1" s="79" t="s">
        <v>438</v>
      </c>
      <c r="AI1" s="79" t="s">
        <v>439</v>
      </c>
      <c r="AJ1" s="79" t="s">
        <v>440</v>
      </c>
      <c r="AK1" s="79" t="s">
        <v>441</v>
      </c>
      <c r="AL1" s="79" t="s">
        <v>376</v>
      </c>
      <c r="AM1" s="79" t="s">
        <v>442</v>
      </c>
      <c r="AN1" s="43" t="s">
        <v>596</v>
      </c>
    </row>
    <row r="2" spans="1:40">
      <c r="A2" s="43" t="str" cm="1">
        <f t="array" ref="A2:A7">IFERROR(IF(ISNUMBER(SEARCH("호", MID(TOGLE[상품이름], SEARCH("SE", TOGLE[상품이름]), SEARCH(" ", TOGLE[상품이름] &amp; " ", SEARCH("SE", TOGLE[상품이름])) - SEARCH("SE", TOGLE[상품이름])))), SUBSTITUTE(MID(TOGLE[상품이름], SEARCH("SE", TOGLE[상품이름]), SEARCH(" ", TOGLE[상품이름] &amp; " ", SEARCH("SE", TOGLE[상품이름])) - SEARCH("SE", TOGLE[상품이름])), "호", ""), MID(TOGLE[상품이름], SEARCH("SE", TOGLE[상품이름]), SEARCH(" ", TOGLE[상품이름] &amp; " ", SEARCH("SE", TOGLE[상품이름])) - SEARCH("SE", TOGLE[상품이름]))),"")</f>
        <v>SE301</v>
      </c>
      <c r="C2" s="43" t="str">
        <f>IFERROR(_xlfn.XLOOKUP("SE."&amp;$B2,종류표[제품코드],종류표[명칭],,0),"x")</f>
        <v>x</v>
      </c>
      <c r="D2" s="43" t="str" cm="1">
        <f t="array" ref="D2:D7">IF(ISNUMBER(SEARCH("검정", TOGLE[옵션]))=TRUE,MID(TOGLE[옵션],FIND("검정",TOGLE[옵션]),2),IF(ISNUMBER(SEARCH("청색", TOGLE[옵션]))=TRUE,MID(TOGLE[옵션],FIND("청색",TOGLE[옵션]),2),IF(ISNUMBER(SEARCH("유백", TOGLE[옵션]))=TRUE,MID(TOGLE[옵션],FIND("유백",TOGLE[옵션]),2),IF(ISNUMBER(SEARCH("빨강", TOGLE[옵션]))=TRUE,MID(TOGLE[옵션],FIND("빨강",TOGLE[옵션]),2),IF(ISNUMBER(SEARCH("노랑", TOGLE[옵션]))=TRUE,MID(TOGLE[옵션],FIND("노랑",TOGLE[옵션]),2),IF(ISNUMBER(SEARCH("연두", TOGLE[옵션]))=TRUE,MID(TOGLE[옵션],FIND("연두",TOGLE[옵션]),2),IF(ISNUMBER(SEARCH("녹색", TOGLE[옵션]))=TRUE,MID(TOGLE[옵션],FIND("녹색",TOGLE[옵션]),2),IF(ISNUMBER(SEARCH("청백", TOGLE[옵션]))=TRUE,MID(TOGLE[옵션],FIND("청백",TOGLE[옵션]),2),IF(ISNUMBER(SEARCH("오렌지", TOGLE[옵션]))=TRUE,MID(TOGLE[옵션],FIND("오렌지",TOGLE[옵션]),3),IF(ISNUMBER(SEARCH("보라", TOGLE[옵션]))=TRUE,MID(TOGLE[옵션],FIND("보라",TOGLE[옵션]),2),"투명"))))))))))</f>
        <v>투명</v>
      </c>
      <c r="E2" s="43" cm="1">
        <f t="array" ref="E2:E7">TOGLE[수량]</f>
        <v>4</v>
      </c>
      <c r="F2" s="43" t="str" cm="1">
        <f t="array" ref="F2:F7">TOGLE[박스 크기]</f>
        <v>소</v>
      </c>
      <c r="K2" s="43" t="s">
        <v>541</v>
      </c>
      <c r="L2" s="120" t="s">
        <v>542</v>
      </c>
      <c r="M2" s="43" t="s">
        <v>405</v>
      </c>
      <c r="N2" s="43">
        <v>4</v>
      </c>
      <c r="O2" s="43" t="s">
        <v>446</v>
      </c>
      <c r="P2" s="43" t="s">
        <v>543</v>
      </c>
      <c r="Q2" s="43" t="s">
        <v>444</v>
      </c>
      <c r="R2" s="43" t="s">
        <v>344</v>
      </c>
      <c r="S2" s="64">
        <v>45254</v>
      </c>
      <c r="T2" s="43" t="s">
        <v>544</v>
      </c>
      <c r="U2" s="43" t="s">
        <v>545</v>
      </c>
      <c r="V2" s="43" t="s">
        <v>546</v>
      </c>
      <c r="W2" s="43" t="s">
        <v>547</v>
      </c>
      <c r="X2" s="43" t="s">
        <v>548</v>
      </c>
      <c r="Y2" s="64">
        <v>45254</v>
      </c>
      <c r="Z2" s="43" t="s">
        <v>346</v>
      </c>
      <c r="AA2" s="43" t="s">
        <v>548</v>
      </c>
      <c r="AB2" s="43" t="s">
        <v>549</v>
      </c>
      <c r="AC2" s="43" t="s">
        <v>550</v>
      </c>
      <c r="AD2" s="43" t="s">
        <v>405</v>
      </c>
      <c r="AE2" s="43">
        <v>42760</v>
      </c>
      <c r="AF2" s="43">
        <v>47520</v>
      </c>
      <c r="AG2" s="43">
        <v>42760</v>
      </c>
      <c r="AH2" s="43">
        <v>41914</v>
      </c>
      <c r="AI2" s="43">
        <v>846</v>
      </c>
      <c r="AJ2" s="43">
        <v>0</v>
      </c>
      <c r="AK2" s="43">
        <v>0</v>
      </c>
      <c r="AL2" s="64"/>
      <c r="AM2" s="43" t="s">
        <v>551</v>
      </c>
      <c r="AN2" s="43" t="s">
        <v>299</v>
      </c>
    </row>
    <row r="3" spans="1:40">
      <c r="A3" s="43" t="str">
        <v>SE201</v>
      </c>
      <c r="D3" s="43" t="str">
        <v>투명</v>
      </c>
      <c r="E3" s="43">
        <v>2</v>
      </c>
      <c r="F3" s="43" t="str">
        <v>소</v>
      </c>
      <c r="K3" s="43" t="s">
        <v>552</v>
      </c>
      <c r="L3" s="120" t="s">
        <v>553</v>
      </c>
      <c r="M3" s="43" t="s">
        <v>405</v>
      </c>
      <c r="N3" s="43">
        <v>2</v>
      </c>
      <c r="O3" s="43" t="s">
        <v>446</v>
      </c>
      <c r="P3" s="43" t="s">
        <v>554</v>
      </c>
      <c r="Q3" s="43" t="s">
        <v>444</v>
      </c>
      <c r="R3" s="43" t="s">
        <v>344</v>
      </c>
      <c r="S3" s="64">
        <v>45254</v>
      </c>
      <c r="T3" s="43" t="s">
        <v>555</v>
      </c>
      <c r="U3" s="43" t="s">
        <v>556</v>
      </c>
      <c r="V3" s="43" t="s">
        <v>552</v>
      </c>
      <c r="W3" s="43" t="s">
        <v>557</v>
      </c>
      <c r="X3" s="43" t="s">
        <v>558</v>
      </c>
      <c r="Y3" s="64">
        <v>45254</v>
      </c>
      <c r="Z3" s="43" t="s">
        <v>346</v>
      </c>
      <c r="AA3" s="43" t="s">
        <v>558</v>
      </c>
      <c r="AB3" s="43" t="s">
        <v>405</v>
      </c>
      <c r="AC3" s="43" t="s">
        <v>559</v>
      </c>
      <c r="AD3" s="43" t="s">
        <v>405</v>
      </c>
      <c r="AE3" s="43">
        <v>29160</v>
      </c>
      <c r="AF3" s="43">
        <v>32400</v>
      </c>
      <c r="AG3" s="43">
        <v>29160</v>
      </c>
      <c r="AH3" s="43">
        <v>28000</v>
      </c>
      <c r="AI3" s="43">
        <v>1160</v>
      </c>
      <c r="AJ3" s="43">
        <v>3000</v>
      </c>
      <c r="AK3" s="43">
        <v>0</v>
      </c>
      <c r="AL3" s="64"/>
      <c r="AM3" s="43" t="s">
        <v>560</v>
      </c>
      <c r="AN3" s="43" t="s">
        <v>288</v>
      </c>
    </row>
    <row r="4" spans="1:40">
      <c r="A4" s="43" t="str">
        <v>SE206</v>
      </c>
      <c r="D4" s="43" t="str">
        <v>투명</v>
      </c>
      <c r="E4" s="43">
        <v>2</v>
      </c>
      <c r="F4" s="43" t="str">
        <v>중</v>
      </c>
      <c r="K4" s="43" t="s">
        <v>561</v>
      </c>
      <c r="L4" s="120" t="s">
        <v>445</v>
      </c>
      <c r="M4" s="43" t="s">
        <v>405</v>
      </c>
      <c r="N4" s="43">
        <v>2</v>
      </c>
      <c r="O4" s="43" t="s">
        <v>562</v>
      </c>
      <c r="P4" s="43" t="s">
        <v>563</v>
      </c>
      <c r="Q4" s="43" t="s">
        <v>444</v>
      </c>
      <c r="R4" s="43" t="s">
        <v>344</v>
      </c>
      <c r="S4" s="64">
        <v>45253</v>
      </c>
      <c r="T4" s="43" t="s">
        <v>564</v>
      </c>
      <c r="U4" s="43" t="s">
        <v>565</v>
      </c>
      <c r="V4" s="43" t="s">
        <v>566</v>
      </c>
      <c r="W4" s="43" t="s">
        <v>567</v>
      </c>
      <c r="X4" s="43" t="s">
        <v>568</v>
      </c>
      <c r="Y4" s="64">
        <v>45254</v>
      </c>
      <c r="Z4" s="43" t="s">
        <v>346</v>
      </c>
      <c r="AA4" s="43" t="s">
        <v>569</v>
      </c>
      <c r="AB4" s="43" t="s">
        <v>405</v>
      </c>
      <c r="AC4" s="43" t="s">
        <v>570</v>
      </c>
      <c r="AD4" s="43" t="s">
        <v>405</v>
      </c>
      <c r="AE4" s="43">
        <v>57240</v>
      </c>
      <c r="AF4" s="43">
        <v>63600</v>
      </c>
      <c r="AG4" s="43">
        <v>57240</v>
      </c>
      <c r="AH4" s="43">
        <v>54963</v>
      </c>
      <c r="AI4" s="43">
        <v>2277</v>
      </c>
      <c r="AJ4" s="43">
        <v>0</v>
      </c>
      <c r="AK4" s="43">
        <v>0</v>
      </c>
      <c r="AL4" s="64"/>
      <c r="AM4" s="43" t="s">
        <v>571</v>
      </c>
      <c r="AN4" s="43" t="s">
        <v>128</v>
      </c>
    </row>
    <row r="5" spans="1:40">
      <c r="A5" s="43" t="str">
        <v>SE101</v>
      </c>
      <c r="D5" s="43" t="str">
        <v>투명</v>
      </c>
      <c r="E5" s="43">
        <v>38</v>
      </c>
      <c r="F5" s="43" t="str">
        <v>극소</v>
      </c>
      <c r="K5" s="43" t="s">
        <v>572</v>
      </c>
      <c r="L5" s="120" t="s">
        <v>447</v>
      </c>
      <c r="M5" s="43" t="s">
        <v>448</v>
      </c>
      <c r="N5" s="43">
        <v>38</v>
      </c>
      <c r="O5" s="43" t="s">
        <v>443</v>
      </c>
      <c r="P5" s="43" t="s">
        <v>573</v>
      </c>
      <c r="Q5" s="43" t="s">
        <v>356</v>
      </c>
      <c r="R5" s="43" t="s">
        <v>344</v>
      </c>
      <c r="S5" s="64">
        <v>45253</v>
      </c>
      <c r="T5" s="43" t="s">
        <v>574</v>
      </c>
      <c r="V5" s="43" t="s">
        <v>572</v>
      </c>
      <c r="W5" s="43" t="s">
        <v>575</v>
      </c>
      <c r="X5" s="43" t="s">
        <v>576</v>
      </c>
      <c r="Y5" s="64">
        <v>45254</v>
      </c>
      <c r="Z5" s="43" t="s">
        <v>346</v>
      </c>
      <c r="AA5" s="43" t="s">
        <v>576</v>
      </c>
      <c r="AB5" s="43" t="s">
        <v>405</v>
      </c>
      <c r="AC5" s="43" t="s">
        <v>577</v>
      </c>
      <c r="AD5" s="43" t="s">
        <v>449</v>
      </c>
      <c r="AE5" s="43">
        <v>35720</v>
      </c>
      <c r="AF5" s="43">
        <v>35720</v>
      </c>
      <c r="AG5" s="43">
        <v>30720</v>
      </c>
      <c r="AH5" s="43">
        <v>0</v>
      </c>
      <c r="AI5" s="43">
        <v>0</v>
      </c>
      <c r="AJ5" s="43">
        <v>0</v>
      </c>
      <c r="AK5" s="43">
        <v>0</v>
      </c>
      <c r="AL5" s="64"/>
      <c r="AM5" s="43" t="s">
        <v>578</v>
      </c>
      <c r="AN5" s="43" t="s">
        <v>597</v>
      </c>
    </row>
    <row r="6" spans="1:40">
      <c r="A6" s="43" t="str">
        <v>SE204</v>
      </c>
      <c r="D6" s="43" t="str">
        <v>투명</v>
      </c>
      <c r="E6" s="43">
        <v>1</v>
      </c>
      <c r="F6" s="43" t="str">
        <v>극소</v>
      </c>
      <c r="K6" s="43" t="s">
        <v>579</v>
      </c>
      <c r="L6" s="120" t="s">
        <v>580</v>
      </c>
      <c r="M6" s="43" t="s">
        <v>581</v>
      </c>
      <c r="N6" s="43">
        <v>1</v>
      </c>
      <c r="O6" s="43" t="s">
        <v>443</v>
      </c>
      <c r="P6" s="43" t="s">
        <v>582</v>
      </c>
      <c r="Q6" s="43" t="s">
        <v>356</v>
      </c>
      <c r="R6" s="43" t="s">
        <v>344</v>
      </c>
      <c r="S6" s="64">
        <v>45253</v>
      </c>
      <c r="T6" s="43" t="s">
        <v>583</v>
      </c>
      <c r="V6" s="43" t="s">
        <v>584</v>
      </c>
      <c r="W6" s="43" t="s">
        <v>585</v>
      </c>
      <c r="X6" s="43" t="s">
        <v>586</v>
      </c>
      <c r="Y6" s="64">
        <v>45254</v>
      </c>
      <c r="Z6" s="43" t="s">
        <v>346</v>
      </c>
      <c r="AA6" s="43" t="s">
        <v>586</v>
      </c>
      <c r="AB6" s="43" t="s">
        <v>405</v>
      </c>
      <c r="AC6" s="43" t="s">
        <v>587</v>
      </c>
      <c r="AD6" s="43" t="s">
        <v>363</v>
      </c>
      <c r="AE6" s="43">
        <v>24570</v>
      </c>
      <c r="AF6" s="43">
        <v>24570</v>
      </c>
      <c r="AG6" s="43">
        <v>27570</v>
      </c>
      <c r="AH6" s="43">
        <v>0</v>
      </c>
      <c r="AI6" s="43">
        <v>0</v>
      </c>
      <c r="AJ6" s="43">
        <v>3000</v>
      </c>
      <c r="AK6" s="43">
        <v>0</v>
      </c>
      <c r="AL6" s="64"/>
      <c r="AM6" s="43" t="s">
        <v>588</v>
      </c>
      <c r="AN6" s="43" t="s">
        <v>597</v>
      </c>
    </row>
    <row r="7" spans="1:40">
      <c r="A7" s="43" t="str">
        <v>SE204</v>
      </c>
      <c r="D7" s="43" t="str">
        <v>투명</v>
      </c>
      <c r="E7" s="43">
        <v>1</v>
      </c>
      <c r="F7" s="43" t="str">
        <v>극소</v>
      </c>
      <c r="K7" s="43" t="s">
        <v>589</v>
      </c>
      <c r="L7" s="120" t="s">
        <v>580</v>
      </c>
      <c r="M7" s="43" t="s">
        <v>581</v>
      </c>
      <c r="N7" s="43">
        <v>1</v>
      </c>
      <c r="O7" s="43" t="s">
        <v>443</v>
      </c>
      <c r="P7" s="43" t="s">
        <v>590</v>
      </c>
      <c r="Q7" s="43" t="s">
        <v>356</v>
      </c>
      <c r="R7" s="43" t="s">
        <v>344</v>
      </c>
      <c r="S7" s="64">
        <v>45254</v>
      </c>
      <c r="T7" s="43" t="s">
        <v>591</v>
      </c>
      <c r="V7" s="43" t="s">
        <v>589</v>
      </c>
      <c r="W7" s="43" t="s">
        <v>592</v>
      </c>
      <c r="X7" s="43" t="s">
        <v>593</v>
      </c>
      <c r="Y7" s="64">
        <v>45254</v>
      </c>
      <c r="Z7" s="43" t="s">
        <v>346</v>
      </c>
      <c r="AA7" s="43" t="s">
        <v>593</v>
      </c>
      <c r="AB7" s="43" t="s">
        <v>405</v>
      </c>
      <c r="AC7" s="43" t="s">
        <v>594</v>
      </c>
      <c r="AD7" s="43" t="s">
        <v>363</v>
      </c>
      <c r="AE7" s="43">
        <v>24570</v>
      </c>
      <c r="AF7" s="43">
        <v>24570</v>
      </c>
      <c r="AG7" s="43">
        <v>27570</v>
      </c>
      <c r="AH7" s="43">
        <v>0</v>
      </c>
      <c r="AI7" s="43">
        <v>0</v>
      </c>
      <c r="AJ7" s="43">
        <v>3000</v>
      </c>
      <c r="AK7" s="43">
        <v>0</v>
      </c>
      <c r="AL7" s="64"/>
      <c r="AM7" s="43" t="s">
        <v>595</v>
      </c>
      <c r="AN7" s="43" t="s">
        <v>597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E5FF8-4CCB-489B-B845-02633F469FB9}">
  <sheetPr codeName="Sheet2"/>
  <dimension ref="A1:Z8"/>
  <sheetViews>
    <sheetView topLeftCell="A10" workbookViewId="0">
      <selection activeCell="E13" sqref="E13"/>
    </sheetView>
  </sheetViews>
  <sheetFormatPr defaultRowHeight="16.5"/>
  <cols>
    <col min="1" max="1" width="3.75" bestFit="1" customWidth="1"/>
    <col min="2" max="2" width="18.375" bestFit="1" customWidth="1"/>
    <col min="3" max="4" width="13.25" bestFit="1" customWidth="1"/>
    <col min="5" max="5" width="11.375" bestFit="1" customWidth="1"/>
    <col min="6" max="6" width="13.25" bestFit="1" customWidth="1"/>
    <col min="7" max="7" width="17.25" bestFit="1" customWidth="1"/>
    <col min="8" max="8" width="13.875" bestFit="1" customWidth="1"/>
    <col min="9" max="9" width="11.375" bestFit="1" customWidth="1"/>
    <col min="10" max="10" width="13.25" bestFit="1" customWidth="1"/>
    <col min="11" max="11" width="9.5" bestFit="1" customWidth="1"/>
    <col min="12" max="12" width="12.875" bestFit="1" customWidth="1"/>
    <col min="13" max="13" width="23.125" bestFit="1" customWidth="1"/>
    <col min="14" max="14" width="12.875" bestFit="1" customWidth="1"/>
    <col min="15" max="15" width="26.125" bestFit="1" customWidth="1"/>
    <col min="16" max="16" width="16.875" bestFit="1" customWidth="1"/>
    <col min="17" max="17" width="14.75" bestFit="1" customWidth="1"/>
    <col min="18" max="18" width="19" bestFit="1" customWidth="1"/>
    <col min="19" max="20" width="16.875" bestFit="1" customWidth="1"/>
    <col min="21" max="22" width="12.875" bestFit="1" customWidth="1"/>
    <col min="23" max="24" width="11.375" bestFit="1" customWidth="1"/>
    <col min="25" max="25" width="9.5" bestFit="1" customWidth="1"/>
    <col min="26" max="26" width="0" hidden="1" customWidth="1"/>
  </cols>
  <sheetData>
    <row r="1" spans="1:26" ht="6.95" customHeight="1">
      <c r="B1" s="117" t="s">
        <v>405</v>
      </c>
      <c r="C1" s="118">
        <v>1</v>
      </c>
      <c r="D1" s="118">
        <f>C1+4</f>
        <v>5</v>
      </c>
      <c r="E1" s="118">
        <v>1</v>
      </c>
      <c r="F1" s="118">
        <f>IF(E1=2,-1,1)</f>
        <v>1</v>
      </c>
      <c r="G1" s="118"/>
    </row>
    <row r="2" spans="1:26" s="43" customFormat="1"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69"/>
      <c r="R2" s="69"/>
      <c r="S2" s="69"/>
      <c r="T2" s="69"/>
      <c r="U2" s="69"/>
      <c r="V2" s="69"/>
      <c r="W2" s="68"/>
    </row>
    <row r="3" spans="1:26" s="43" customFormat="1" ht="27" customHeight="1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69"/>
      <c r="R3" s="69"/>
      <c r="S3" s="69"/>
      <c r="T3" s="69"/>
      <c r="U3" s="69"/>
      <c r="V3" s="69"/>
      <c r="W3" s="68"/>
    </row>
    <row r="4" spans="1:26" s="43" customForma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69"/>
      <c r="R4" s="69"/>
      <c r="S4" s="69"/>
      <c r="T4" s="69"/>
      <c r="U4" s="69"/>
      <c r="V4" s="69"/>
      <c r="W4" s="68"/>
    </row>
    <row r="5" spans="1:26" ht="6.95" customHeight="1"/>
    <row r="6" spans="1:26">
      <c r="A6" s="106" t="s">
        <v>120</v>
      </c>
      <c r="B6" s="107" t="s">
        <v>3</v>
      </c>
      <c r="C6" s="107" t="s">
        <v>4</v>
      </c>
      <c r="D6" s="107" t="s">
        <v>5</v>
      </c>
      <c r="E6" s="108" t="s">
        <v>374</v>
      </c>
      <c r="F6" s="108" t="s">
        <v>13</v>
      </c>
      <c r="G6" s="109" t="s">
        <v>387</v>
      </c>
      <c r="H6" s="108" t="s">
        <v>375</v>
      </c>
      <c r="I6" s="108" t="s">
        <v>10</v>
      </c>
      <c r="J6" s="107" t="s">
        <v>11</v>
      </c>
      <c r="K6" s="107" t="s">
        <v>12</v>
      </c>
      <c r="L6" s="110" t="s">
        <v>377</v>
      </c>
      <c r="M6" s="110" t="s">
        <v>378</v>
      </c>
      <c r="N6" s="110" t="s">
        <v>379</v>
      </c>
      <c r="O6" s="110" t="s">
        <v>380</v>
      </c>
      <c r="P6" s="110" t="s">
        <v>381</v>
      </c>
      <c r="Q6" s="110" t="s">
        <v>382</v>
      </c>
      <c r="R6" s="110" t="s">
        <v>383</v>
      </c>
      <c r="S6" s="110" t="s">
        <v>385</v>
      </c>
      <c r="T6" s="110" t="s">
        <v>386</v>
      </c>
      <c r="U6" s="110" t="s">
        <v>388</v>
      </c>
      <c r="V6" s="110" t="s">
        <v>389</v>
      </c>
      <c r="W6" s="111" t="s">
        <v>390</v>
      </c>
      <c r="X6" s="107" t="s">
        <v>393</v>
      </c>
      <c r="Y6" s="112" t="s">
        <v>397</v>
      </c>
      <c r="Z6" s="112" t="s">
        <v>535</v>
      </c>
    </row>
    <row r="7" spans="1:26">
      <c r="A7" cm="1">
        <f t="array" ref="A7:Z8">_xlfn._xlws.SORT(_xlfn._xlws.FILTER(S출고표검수[],ISNUMBER(SEARCH($B$1,S출고표검수[검사])),"결과 없음"),D1,F1)</f>
        <v>1</v>
      </c>
      <c r="B7" t="str">
        <v>2023010282358391</v>
      </c>
      <c r="C7" t="str">
        <v>스마트스토어</v>
      </c>
      <c r="D7" t="str">
        <v>강성우</v>
      </c>
      <c r="E7">
        <v>44928</v>
      </c>
      <c r="F7" t="str">
        <v>강성우</v>
      </c>
      <c r="G7">
        <v>13630</v>
      </c>
      <c r="H7" t="str">
        <v>653528635095</v>
      </c>
      <c r="I7" t="str">
        <v>SE.123</v>
      </c>
      <c r="J7" t="str">
        <v>투명</v>
      </c>
      <c r="K7">
        <v>3</v>
      </c>
      <c r="L7">
        <v>19380</v>
      </c>
      <c r="M7">
        <v>3570</v>
      </c>
      <c r="N7">
        <v>3000</v>
      </c>
      <c r="O7">
        <v>0</v>
      </c>
      <c r="P7">
        <v>3400</v>
      </c>
      <c r="Q7">
        <v>0</v>
      </c>
      <c r="R7">
        <v>0</v>
      </c>
      <c r="S7">
        <v>3410</v>
      </c>
      <c r="T7">
        <v>18810</v>
      </c>
      <c r="U7">
        <v>688</v>
      </c>
      <c r="V7">
        <v>4492</v>
      </c>
      <c r="W7">
        <v>0.23880000000000001</v>
      </c>
      <c r="X7">
        <v>0</v>
      </c>
      <c r="Y7">
        <v>0</v>
      </c>
      <c r="Z7" t="str">
        <v>2023010282358391스마트스토어강성우44928강성우13630653528635095SE.123투명</v>
      </c>
    </row>
    <row r="8" spans="1:26">
      <c r="A8">
        <v>2</v>
      </c>
      <c r="B8" t="str">
        <v>2023010267662551</v>
      </c>
      <c r="C8" t="str">
        <v>스마트스토어</v>
      </c>
      <c r="D8" t="str">
        <v>강경숙</v>
      </c>
      <c r="E8">
        <v>44928</v>
      </c>
      <c r="F8" t="str">
        <v>강경숙</v>
      </c>
      <c r="G8">
        <v>45550</v>
      </c>
      <c r="H8" t="str">
        <v>653499871196</v>
      </c>
      <c r="I8" t="str">
        <v>SE.206</v>
      </c>
      <c r="J8" t="str">
        <v>투명</v>
      </c>
      <c r="K8">
        <v>2</v>
      </c>
      <c r="L8">
        <v>64800</v>
      </c>
      <c r="M8">
        <v>0</v>
      </c>
      <c r="N8">
        <v>0</v>
      </c>
      <c r="O8">
        <v>0</v>
      </c>
      <c r="P8">
        <v>4300</v>
      </c>
      <c r="Q8">
        <v>1650</v>
      </c>
      <c r="R8">
        <v>0</v>
      </c>
      <c r="S8">
        <v>19800</v>
      </c>
      <c r="T8">
        <v>64800</v>
      </c>
      <c r="U8">
        <v>2579</v>
      </c>
      <c r="V8">
        <v>16671</v>
      </c>
      <c r="W8">
        <v>0.25729999999999997</v>
      </c>
      <c r="X8">
        <v>0</v>
      </c>
      <c r="Y8">
        <v>0</v>
      </c>
      <c r="Z8" t="str">
        <v>2023010267662551스마트스토어강경숙44928강경숙45550653499871196SE.206투명</v>
      </c>
    </row>
  </sheetData>
  <mergeCells count="1">
    <mergeCell ref="B2:P4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TextBox1">
          <controlPr defaultSize="0" autoLine="0" autoPict="0" linkedCell="B1" r:id="rId4">
            <anchor moveWithCells="1">
              <from>
                <xdr:col>2</xdr:col>
                <xdr:colOff>657225</xdr:colOff>
                <xdr:row>2</xdr:row>
                <xdr:rowOff>57150</xdr:rowOff>
              </from>
              <to>
                <xdr:col>7</xdr:col>
                <xdr:colOff>142875</xdr:colOff>
                <xdr:row>2</xdr:row>
                <xdr:rowOff>295275</xdr:rowOff>
              </to>
            </anchor>
          </controlPr>
        </control>
      </mc:Choice>
      <mc:Fallback>
        <control shapeId="6145" r:id="rId3" name="TextBox1"/>
      </mc:Fallback>
    </mc:AlternateContent>
    <mc:AlternateContent xmlns:mc="http://schemas.openxmlformats.org/markup-compatibility/2006">
      <mc:Choice Requires="x14">
        <control shapeId="6148" r:id="rId5" name="Drop Down 4">
          <controlPr defaultSize="0" autoLine="0" autoPict="0">
            <anchor moveWithCells="1">
              <from>
                <xdr:col>8</xdr:col>
                <xdr:colOff>66675</xdr:colOff>
                <xdr:row>2</xdr:row>
                <xdr:rowOff>76200</xdr:rowOff>
              </from>
              <to>
                <xdr:col>9</xdr:col>
                <xdr:colOff>180975</xdr:colOff>
                <xdr:row>2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6" name="Drop Down 5">
          <controlPr defaultSize="0" autoLine="0" autoPict="0">
            <anchor moveWithCells="1">
              <from>
                <xdr:col>9</xdr:col>
                <xdr:colOff>504825</xdr:colOff>
                <xdr:row>2</xdr:row>
                <xdr:rowOff>66675</xdr:rowOff>
              </from>
              <to>
                <xdr:col>10</xdr:col>
                <xdr:colOff>476250</xdr:colOff>
                <xdr:row>2</xdr:row>
                <xdr:rowOff>304800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086EF-32C5-4CB7-A64B-05F33E4D8E11}">
  <sheetPr codeName="Sinspe"/>
  <dimension ref="A1:Z3"/>
  <sheetViews>
    <sheetView workbookViewId="0">
      <selection activeCell="Z2" sqref="Z2"/>
    </sheetView>
  </sheetViews>
  <sheetFormatPr defaultRowHeight="16.5"/>
  <cols>
    <col min="1" max="1" width="7.75" style="43" bestFit="1" customWidth="1"/>
    <col min="2" max="2" width="18.375" style="43" bestFit="1" customWidth="1"/>
    <col min="3" max="4" width="13.25" style="43" bestFit="1" customWidth="1"/>
    <col min="5" max="5" width="11.375" style="43" bestFit="1" customWidth="1"/>
    <col min="6" max="6" width="13.25" style="43" bestFit="1" customWidth="1"/>
    <col min="7" max="7" width="17.25" style="67" bestFit="1" customWidth="1"/>
    <col min="8" max="8" width="13.875" style="43" bestFit="1" customWidth="1"/>
    <col min="9" max="9" width="11.375" style="43" bestFit="1" customWidth="1"/>
    <col min="10" max="10" width="13.25" style="43" bestFit="1" customWidth="1"/>
    <col min="11" max="11" width="9.5" style="43" bestFit="1" customWidth="1"/>
    <col min="12" max="12" width="12.875" style="69" bestFit="1" customWidth="1"/>
    <col min="13" max="13" width="23.125" style="69" bestFit="1" customWidth="1"/>
    <col min="14" max="14" width="12.875" style="69" bestFit="1" customWidth="1"/>
    <col min="15" max="15" width="26.125" style="69" bestFit="1" customWidth="1"/>
    <col min="16" max="16" width="16.875" style="69" bestFit="1" customWidth="1"/>
    <col min="17" max="17" width="14.75" style="69" bestFit="1" customWidth="1"/>
    <col min="18" max="18" width="19" style="69" bestFit="1" customWidth="1"/>
    <col min="19" max="20" width="16.875" style="69" bestFit="1" customWidth="1"/>
    <col min="21" max="22" width="12.875" style="69" bestFit="1" customWidth="1"/>
    <col min="23" max="23" width="11.375" style="68" bestFit="1" customWidth="1"/>
    <col min="24" max="24" width="11.375" style="43" bestFit="1" customWidth="1"/>
    <col min="25" max="25" width="9.5" style="43" bestFit="1" customWidth="1"/>
    <col min="26" max="26" width="77.75" style="43" bestFit="1" customWidth="1"/>
    <col min="27" max="16384" width="9" style="43"/>
  </cols>
  <sheetData>
    <row r="1" spans="1:26">
      <c r="A1" s="43" t="s">
        <v>120</v>
      </c>
      <c r="B1" s="43" t="s">
        <v>3</v>
      </c>
      <c r="C1" s="43" t="s">
        <v>4</v>
      </c>
      <c r="D1" s="43" t="s">
        <v>5</v>
      </c>
      <c r="E1" s="65" t="s">
        <v>374</v>
      </c>
      <c r="F1" s="65" t="s">
        <v>13</v>
      </c>
      <c r="G1" s="66" t="s">
        <v>387</v>
      </c>
      <c r="H1" s="65" t="s">
        <v>375</v>
      </c>
      <c r="I1" s="65" t="s">
        <v>10</v>
      </c>
      <c r="J1" s="43" t="s">
        <v>11</v>
      </c>
      <c r="K1" s="43" t="s">
        <v>12</v>
      </c>
      <c r="L1" s="69" t="s">
        <v>377</v>
      </c>
      <c r="M1" s="69" t="s">
        <v>378</v>
      </c>
      <c r="N1" s="69" t="s">
        <v>379</v>
      </c>
      <c r="O1" s="69" t="s">
        <v>380</v>
      </c>
      <c r="P1" s="69" t="s">
        <v>381</v>
      </c>
      <c r="Q1" s="69" t="s">
        <v>382</v>
      </c>
      <c r="R1" s="69" t="s">
        <v>383</v>
      </c>
      <c r="S1" s="69" t="s">
        <v>385</v>
      </c>
      <c r="T1" s="69" t="s">
        <v>386</v>
      </c>
      <c r="U1" s="69" t="s">
        <v>388</v>
      </c>
      <c r="V1" s="69" t="s">
        <v>389</v>
      </c>
      <c r="W1" s="68" t="s">
        <v>390</v>
      </c>
      <c r="X1" s="43" t="s">
        <v>393</v>
      </c>
      <c r="Y1" s="43" t="s">
        <v>397</v>
      </c>
      <c r="Z1" s="43" t="s">
        <v>535</v>
      </c>
    </row>
    <row r="2" spans="1:26">
      <c r="A2" s="43">
        <v>1</v>
      </c>
      <c r="B2" s="43" t="s">
        <v>349</v>
      </c>
      <c r="C2" s="43" t="s">
        <v>345</v>
      </c>
      <c r="D2" s="43" t="s">
        <v>350</v>
      </c>
      <c r="E2" s="64">
        <v>44928</v>
      </c>
      <c r="F2" s="43" t="s">
        <v>350</v>
      </c>
      <c r="G2" s="67">
        <v>13630</v>
      </c>
      <c r="H2" s="43" t="s">
        <v>352</v>
      </c>
      <c r="I2" s="43" t="s">
        <v>252</v>
      </c>
      <c r="J2" s="43" t="s">
        <v>347</v>
      </c>
      <c r="K2" s="43">
        <v>3</v>
      </c>
      <c r="L2" s="69">
        <v>19380</v>
      </c>
      <c r="M2" s="69">
        <v>3570</v>
      </c>
      <c r="N2" s="69">
        <v>3000</v>
      </c>
      <c r="O2" s="69">
        <v>0</v>
      </c>
      <c r="P2" s="69">
        <v>3400</v>
      </c>
      <c r="Q2" s="69">
        <v>0</v>
      </c>
      <c r="R2" s="69">
        <v>0</v>
      </c>
      <c r="S2" s="69">
        <v>3410</v>
      </c>
      <c r="T2" s="69">
        <v>18810</v>
      </c>
      <c r="U2" s="69">
        <v>688</v>
      </c>
      <c r="V2" s="69">
        <v>4492</v>
      </c>
      <c r="W2" s="68">
        <v>0.23880000000000001</v>
      </c>
      <c r="Z2" s="43" t="str">
        <f>_xlfn.CONCAT(S출고표검수[[#This Row],[상품주문번호]:[옵션정보]])</f>
        <v>2023010282358391스마트스토어강성우44928강성우13630653528635095SE.123투명</v>
      </c>
    </row>
    <row r="3" spans="1:26">
      <c r="A3" s="43">
        <v>2</v>
      </c>
      <c r="B3" s="43" t="s">
        <v>406</v>
      </c>
      <c r="C3" s="43" t="s">
        <v>345</v>
      </c>
      <c r="D3" s="43" t="s">
        <v>407</v>
      </c>
      <c r="E3" s="64">
        <v>44928</v>
      </c>
      <c r="F3" s="43" t="s">
        <v>407</v>
      </c>
      <c r="G3" s="67">
        <v>45550</v>
      </c>
      <c r="H3" s="43" t="s">
        <v>409</v>
      </c>
      <c r="I3" s="43" t="s">
        <v>128</v>
      </c>
      <c r="J3" s="43" t="s">
        <v>347</v>
      </c>
      <c r="K3" s="43">
        <v>2</v>
      </c>
      <c r="L3" s="69">
        <v>64800</v>
      </c>
      <c r="M3" s="69">
        <v>0</v>
      </c>
      <c r="N3" s="69">
        <v>0</v>
      </c>
      <c r="O3" s="69">
        <v>0</v>
      </c>
      <c r="P3" s="69">
        <v>4300</v>
      </c>
      <c r="Q3" s="69">
        <v>1650</v>
      </c>
      <c r="R3" s="69">
        <v>0</v>
      </c>
      <c r="S3" s="69">
        <v>19800</v>
      </c>
      <c r="T3" s="69">
        <v>64800</v>
      </c>
      <c r="U3" s="69">
        <v>2579</v>
      </c>
      <c r="V3" s="69">
        <v>16671</v>
      </c>
      <c r="W3" s="68">
        <v>0.25729999999999997</v>
      </c>
      <c r="Z3" s="43" t="str">
        <f>_xlfn.CONCAT(S출고표검수[[#This Row],[상품주문번호]:[옵션정보]])</f>
        <v>2023010267662551스마트스토어강경숙44928강경숙45550653499871196SE.206투명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3ECE8-6155-4699-B270-6ECDA6DD1656}">
  <sheetPr codeName="SforwardingTable"/>
  <dimension ref="A1:AV3"/>
  <sheetViews>
    <sheetView topLeftCell="AC1" workbookViewId="0">
      <selection activeCell="AK17" sqref="AK17"/>
    </sheetView>
  </sheetViews>
  <sheetFormatPr defaultRowHeight="16.5"/>
  <cols>
    <col min="1" max="1" width="7.75" style="43" bestFit="1" customWidth="1"/>
    <col min="2" max="2" width="15.25" style="43" bestFit="1" customWidth="1"/>
    <col min="3" max="3" width="18.375" style="43" bestFit="1" customWidth="1"/>
    <col min="4" max="5" width="13.25" style="43" bestFit="1" customWidth="1"/>
    <col min="6" max="6" width="13.375" style="43" bestFit="1" customWidth="1"/>
    <col min="7" max="7" width="17.25" style="43" bestFit="1" customWidth="1"/>
    <col min="8" max="8" width="13.25" style="43" bestFit="1" customWidth="1"/>
    <col min="9" max="10" width="11.375" style="43" bestFit="1" customWidth="1"/>
    <col min="11" max="11" width="13.875" style="43" bestFit="1" customWidth="1"/>
    <col min="12" max="12" width="15.25" style="43" bestFit="1" customWidth="1"/>
    <col min="13" max="13" width="13.25" style="43" bestFit="1" customWidth="1"/>
    <col min="14" max="15" width="18.5" style="43" bestFit="1" customWidth="1"/>
    <col min="16" max="16" width="81" style="43" bestFit="1" customWidth="1"/>
    <col min="17" max="17" width="15.25" style="43" bestFit="1" customWidth="1"/>
    <col min="18" max="18" width="11.375" style="43" bestFit="1" customWidth="1"/>
    <col min="19" max="19" width="13.25" style="43" bestFit="1" customWidth="1"/>
    <col min="20" max="20" width="9.5" style="43" bestFit="1" customWidth="1"/>
    <col min="21" max="21" width="12.875" style="69" bestFit="1" customWidth="1"/>
    <col min="22" max="22" width="23.125" style="69" bestFit="1" customWidth="1"/>
    <col min="23" max="23" width="12.875" style="69" bestFit="1" customWidth="1"/>
    <col min="24" max="24" width="26.125" style="69" bestFit="1" customWidth="1"/>
    <col min="25" max="25" width="16.875" style="69" bestFit="1" customWidth="1"/>
    <col min="26" max="26" width="14.75" style="69" bestFit="1" customWidth="1"/>
    <col min="27" max="27" width="19" style="69" bestFit="1" customWidth="1"/>
    <col min="28" max="28" width="18.125" style="69" bestFit="1" customWidth="1"/>
    <col min="29" max="30" width="16.875" style="69" bestFit="1" customWidth="1"/>
    <col min="31" max="31" width="19" style="69" bestFit="1" customWidth="1"/>
    <col min="32" max="33" width="12.875" style="69" bestFit="1" customWidth="1"/>
    <col min="34" max="34" width="11.375" style="68" bestFit="1" customWidth="1"/>
    <col min="35" max="35" width="9.5" style="43" bestFit="1" customWidth="1"/>
    <col min="36" max="36" width="15.25" style="43" bestFit="1" customWidth="1"/>
    <col min="37" max="37" width="11.375" style="43" bestFit="1" customWidth="1"/>
    <col min="38" max="38" width="11.75" style="43" bestFit="1" customWidth="1"/>
    <col min="39" max="39" width="11.375" style="43" bestFit="1" customWidth="1"/>
    <col min="40" max="40" width="13.25" style="43" bestFit="1" customWidth="1"/>
    <col min="41" max="41" width="9.5" style="43" bestFit="1" customWidth="1"/>
    <col min="42" max="42" width="20.375" style="69" bestFit="1" customWidth="1"/>
    <col min="43" max="43" width="22.375" style="69" bestFit="1" customWidth="1"/>
    <col min="44" max="45" width="16.125" style="69" bestFit="1" customWidth="1"/>
    <col min="46" max="46" width="14.5" style="68" bestFit="1" customWidth="1"/>
    <col min="47" max="47" width="12.625" style="43" bestFit="1" customWidth="1"/>
    <col min="48" max="48" width="9.5" style="43" bestFit="1" customWidth="1"/>
    <col min="49" max="49" width="7.5" style="43" bestFit="1" customWidth="1"/>
    <col min="50" max="16384" width="9" style="43"/>
  </cols>
  <sheetData>
    <row r="1" spans="1:48">
      <c r="A1" s="43" t="s">
        <v>120</v>
      </c>
      <c r="B1" s="43" t="s">
        <v>371</v>
      </c>
      <c r="C1" s="43" t="s">
        <v>3</v>
      </c>
      <c r="D1" s="43" t="s">
        <v>4</v>
      </c>
      <c r="E1" s="43" t="s">
        <v>5</v>
      </c>
      <c r="F1" s="43" t="s">
        <v>6</v>
      </c>
      <c r="G1" s="43" t="s">
        <v>372</v>
      </c>
      <c r="H1" s="43" t="s">
        <v>373</v>
      </c>
      <c r="I1" s="43" t="s">
        <v>374</v>
      </c>
      <c r="J1" s="43" t="s">
        <v>8</v>
      </c>
      <c r="K1" s="43" t="s">
        <v>375</v>
      </c>
      <c r="L1" s="43" t="s">
        <v>376</v>
      </c>
      <c r="M1" s="43" t="s">
        <v>13</v>
      </c>
      <c r="N1" s="43" t="s">
        <v>14</v>
      </c>
      <c r="O1" s="43" t="s">
        <v>15</v>
      </c>
      <c r="P1" s="43" t="s">
        <v>16</v>
      </c>
      <c r="Q1" s="43" t="s">
        <v>17</v>
      </c>
      <c r="R1" s="43" t="s">
        <v>10</v>
      </c>
      <c r="S1" s="43" t="s">
        <v>11</v>
      </c>
      <c r="T1" s="43" t="s">
        <v>12</v>
      </c>
      <c r="U1" s="69" t="s">
        <v>377</v>
      </c>
      <c r="V1" s="69" t="s">
        <v>378</v>
      </c>
      <c r="W1" s="69" t="s">
        <v>379</v>
      </c>
      <c r="X1" s="69" t="s">
        <v>380</v>
      </c>
      <c r="Y1" s="69" t="s">
        <v>381</v>
      </c>
      <c r="Z1" s="69" t="s">
        <v>382</v>
      </c>
      <c r="AA1" s="69" t="s">
        <v>383</v>
      </c>
      <c r="AB1" s="69" t="s">
        <v>384</v>
      </c>
      <c r="AC1" s="69" t="s">
        <v>385</v>
      </c>
      <c r="AD1" s="69" t="s">
        <v>386</v>
      </c>
      <c r="AE1" s="69" t="s">
        <v>387</v>
      </c>
      <c r="AF1" s="69" t="s">
        <v>388</v>
      </c>
      <c r="AG1" s="69" t="s">
        <v>389</v>
      </c>
      <c r="AH1" s="68" t="s">
        <v>390</v>
      </c>
      <c r="AI1" s="43" t="s">
        <v>391</v>
      </c>
      <c r="AJ1" s="43" t="s">
        <v>392</v>
      </c>
      <c r="AK1" s="43" t="s">
        <v>393</v>
      </c>
      <c r="AL1" s="43" t="s">
        <v>394</v>
      </c>
      <c r="AM1" s="43" t="s">
        <v>395</v>
      </c>
      <c r="AN1" s="43" t="s">
        <v>396</v>
      </c>
      <c r="AO1" s="43" t="s">
        <v>397</v>
      </c>
      <c r="AP1" s="69" t="s">
        <v>398</v>
      </c>
      <c r="AQ1" s="69" t="s">
        <v>399</v>
      </c>
      <c r="AR1" s="69" t="s">
        <v>400</v>
      </c>
      <c r="AS1" s="69" t="s">
        <v>401</v>
      </c>
      <c r="AT1" s="68" t="s">
        <v>402</v>
      </c>
      <c r="AU1" s="43" t="s">
        <v>403</v>
      </c>
      <c r="AV1" s="43" t="s">
        <v>404</v>
      </c>
    </row>
    <row r="2" spans="1:48">
      <c r="A2" s="43">
        <v>1</v>
      </c>
      <c r="B2" s="43" t="s">
        <v>344</v>
      </c>
      <c r="C2" s="43" t="s">
        <v>349</v>
      </c>
      <c r="D2" s="43" t="s">
        <v>345</v>
      </c>
      <c r="E2" s="43" t="s">
        <v>350</v>
      </c>
      <c r="F2" s="43" t="s">
        <v>351</v>
      </c>
      <c r="H2" s="64">
        <v>44928</v>
      </c>
      <c r="I2" s="64">
        <v>44928</v>
      </c>
      <c r="J2" s="43" t="s">
        <v>346</v>
      </c>
      <c r="K2" s="43" t="s">
        <v>352</v>
      </c>
      <c r="L2" s="64">
        <v>44929</v>
      </c>
      <c r="M2" s="43" t="s">
        <v>350</v>
      </c>
      <c r="N2" s="43" t="s">
        <v>353</v>
      </c>
      <c r="P2" s="43" t="s">
        <v>354</v>
      </c>
      <c r="R2" s="43" t="s">
        <v>252</v>
      </c>
      <c r="S2" s="43" t="s">
        <v>347</v>
      </c>
      <c r="T2" s="43">
        <v>3</v>
      </c>
      <c r="U2" s="69">
        <v>19380</v>
      </c>
      <c r="V2" s="69">
        <v>3570</v>
      </c>
      <c r="W2" s="69">
        <v>3000</v>
      </c>
      <c r="X2" s="69">
        <v>0</v>
      </c>
      <c r="Y2" s="69">
        <v>3400</v>
      </c>
      <c r="Z2" s="69">
        <v>0</v>
      </c>
      <c r="AA2" s="69">
        <v>0</v>
      </c>
      <c r="AB2" s="69">
        <v>5270</v>
      </c>
      <c r="AC2" s="69">
        <v>3410</v>
      </c>
      <c r="AD2" s="69">
        <v>18810</v>
      </c>
      <c r="AE2" s="69">
        <v>13630</v>
      </c>
      <c r="AF2" s="69">
        <v>688</v>
      </c>
      <c r="AG2" s="69">
        <v>4492</v>
      </c>
      <c r="AH2" s="68">
        <v>0.23880000000000001</v>
      </c>
      <c r="AL2" s="43" t="s">
        <v>253</v>
      </c>
      <c r="AN2" s="43" t="s">
        <v>348</v>
      </c>
      <c r="AP2" s="69">
        <v>18810</v>
      </c>
      <c r="AQ2" s="69">
        <v>13630</v>
      </c>
      <c r="AR2" s="69">
        <v>0</v>
      </c>
      <c r="AS2" s="69">
        <v>5180</v>
      </c>
      <c r="AT2" s="68">
        <v>0.27539999999999998</v>
      </c>
      <c r="AU2" s="43" t="s">
        <v>536</v>
      </c>
      <c r="AV2" s="43">
        <v>0</v>
      </c>
    </row>
    <row r="3" spans="1:48">
      <c r="A3" s="43">
        <v>2</v>
      </c>
      <c r="B3" s="43" t="s">
        <v>344</v>
      </c>
      <c r="C3" s="43" t="s">
        <v>406</v>
      </c>
      <c r="D3" s="43" t="s">
        <v>345</v>
      </c>
      <c r="E3" s="43" t="s">
        <v>407</v>
      </c>
      <c r="F3" s="43" t="s">
        <v>408</v>
      </c>
      <c r="H3" s="64">
        <v>44928</v>
      </c>
      <c r="I3" s="64">
        <v>44928</v>
      </c>
      <c r="J3" s="43" t="s">
        <v>346</v>
      </c>
      <c r="K3" s="43" t="s">
        <v>409</v>
      </c>
      <c r="L3" s="64">
        <v>44929</v>
      </c>
      <c r="M3" s="43" t="s">
        <v>407</v>
      </c>
      <c r="N3" s="43" t="s">
        <v>410</v>
      </c>
      <c r="P3" s="43" t="s">
        <v>411</v>
      </c>
      <c r="R3" s="43" t="s">
        <v>128</v>
      </c>
      <c r="S3" s="43" t="s">
        <v>347</v>
      </c>
      <c r="T3" s="43">
        <v>2</v>
      </c>
      <c r="U3" s="69">
        <v>64800</v>
      </c>
      <c r="V3" s="69">
        <v>0</v>
      </c>
      <c r="W3" s="69">
        <v>0</v>
      </c>
      <c r="X3" s="69">
        <v>0</v>
      </c>
      <c r="Y3" s="69">
        <v>4300</v>
      </c>
      <c r="Z3" s="69">
        <v>1650</v>
      </c>
      <c r="AA3" s="69">
        <v>0</v>
      </c>
      <c r="AB3" s="69">
        <v>32400</v>
      </c>
      <c r="AC3" s="69">
        <v>19800</v>
      </c>
      <c r="AD3" s="69">
        <v>64800</v>
      </c>
      <c r="AE3" s="69">
        <v>45550</v>
      </c>
      <c r="AF3" s="69">
        <v>2579</v>
      </c>
      <c r="AG3" s="69">
        <v>16671</v>
      </c>
      <c r="AH3" s="68">
        <v>0.25729999999999997</v>
      </c>
      <c r="AL3" s="43" t="s">
        <v>129</v>
      </c>
      <c r="AN3" s="43" t="s">
        <v>348</v>
      </c>
      <c r="AP3" s="69">
        <v>64800</v>
      </c>
      <c r="AQ3" s="69">
        <v>45550</v>
      </c>
      <c r="AR3" s="69">
        <v>0</v>
      </c>
      <c r="AS3" s="69">
        <v>19250</v>
      </c>
      <c r="AT3" s="68">
        <v>0.29709999999999998</v>
      </c>
      <c r="AU3" s="43" t="s">
        <v>536</v>
      </c>
      <c r="AV3" s="43"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64D8-C91A-45A9-BE94-D184953D4D5C}">
  <sheetPr codeName="FforwardingTable"/>
  <dimension ref="A1:AV3"/>
  <sheetViews>
    <sheetView workbookViewId="0">
      <selection activeCell="AK17" sqref="AK17"/>
    </sheetView>
  </sheetViews>
  <sheetFormatPr defaultRowHeight="16.5"/>
  <cols>
    <col min="1" max="1" width="7.75" style="43" bestFit="1" customWidth="1"/>
    <col min="2" max="2" width="15.25" style="43" bestFit="1" customWidth="1"/>
    <col min="3" max="3" width="17.25" style="43" bestFit="1" customWidth="1"/>
    <col min="4" max="5" width="13.25" style="43" bestFit="1" customWidth="1"/>
    <col min="6" max="6" width="13.375" style="43" bestFit="1" customWidth="1"/>
    <col min="7" max="7" width="17.25" style="43" bestFit="1" customWidth="1"/>
    <col min="8" max="8" width="13.25" style="43" bestFit="1" customWidth="1"/>
    <col min="9" max="10" width="11.375" style="43" bestFit="1" customWidth="1"/>
    <col min="11" max="11" width="13.875" style="43" bestFit="1" customWidth="1"/>
    <col min="12" max="12" width="15.25" style="43" bestFit="1" customWidth="1"/>
    <col min="13" max="13" width="13.25" style="43" bestFit="1" customWidth="1"/>
    <col min="14" max="15" width="18.5" style="43" bestFit="1" customWidth="1"/>
    <col min="16" max="16" width="46.125" style="43" bestFit="1" customWidth="1"/>
    <col min="17" max="17" width="15.25" style="43" bestFit="1" customWidth="1"/>
    <col min="18" max="18" width="11.375" style="43" bestFit="1" customWidth="1"/>
    <col min="19" max="19" width="13.25" style="43" bestFit="1" customWidth="1"/>
    <col min="20" max="20" width="9.5" style="67" bestFit="1" customWidth="1"/>
    <col min="21" max="21" width="12.875" style="69" bestFit="1" customWidth="1"/>
    <col min="22" max="22" width="23.125" style="69" bestFit="1" customWidth="1"/>
    <col min="23" max="23" width="12.875" style="69" bestFit="1" customWidth="1"/>
    <col min="24" max="24" width="26.125" style="69" bestFit="1" customWidth="1"/>
    <col min="25" max="25" width="16.875" style="69" bestFit="1" customWidth="1"/>
    <col min="26" max="26" width="14.75" style="69" bestFit="1" customWidth="1"/>
    <col min="27" max="27" width="19" style="69" bestFit="1" customWidth="1"/>
    <col min="28" max="28" width="18.125" style="69" bestFit="1" customWidth="1"/>
    <col min="29" max="30" width="16.875" style="69" bestFit="1" customWidth="1"/>
    <col min="31" max="31" width="19" style="69" bestFit="1" customWidth="1"/>
    <col min="32" max="33" width="12.875" style="69" bestFit="1" customWidth="1"/>
    <col min="34" max="34" width="11.375" style="68" bestFit="1" customWidth="1"/>
    <col min="35" max="35" width="9.5" style="43" bestFit="1" customWidth="1"/>
    <col min="36" max="36" width="15.25" style="43" bestFit="1" customWidth="1"/>
    <col min="37" max="37" width="11.375" style="43" bestFit="1" customWidth="1"/>
    <col min="38" max="38" width="10.625" style="43" bestFit="1" customWidth="1"/>
    <col min="39" max="39" width="11.375" style="43" bestFit="1" customWidth="1"/>
    <col min="40" max="40" width="13.25" style="43" bestFit="1" customWidth="1"/>
    <col min="41" max="41" width="9.5" style="43" bestFit="1" customWidth="1"/>
    <col min="42" max="42" width="20.375" style="69" bestFit="1" customWidth="1"/>
    <col min="43" max="43" width="22.375" style="69" bestFit="1" customWidth="1"/>
    <col min="44" max="45" width="16.125" style="69" bestFit="1" customWidth="1"/>
    <col min="46" max="46" width="14.5" style="68" bestFit="1" customWidth="1"/>
    <col min="47" max="47" width="12.625" style="43" bestFit="1" customWidth="1"/>
    <col min="48" max="48" width="9.5" style="43" bestFit="1" customWidth="1"/>
    <col min="49" max="16384" width="9" style="43"/>
  </cols>
  <sheetData>
    <row r="1" spans="1:48">
      <c r="A1" s="43" t="s">
        <v>120</v>
      </c>
      <c r="B1" s="43" t="s">
        <v>371</v>
      </c>
      <c r="C1" s="43" t="s">
        <v>3</v>
      </c>
      <c r="D1" s="43" t="s">
        <v>4</v>
      </c>
      <c r="E1" s="43" t="s">
        <v>5</v>
      </c>
      <c r="F1" s="43" t="s">
        <v>6</v>
      </c>
      <c r="G1" s="43" t="s">
        <v>372</v>
      </c>
      <c r="H1" s="43" t="s">
        <v>373</v>
      </c>
      <c r="I1" s="43" t="s">
        <v>374</v>
      </c>
      <c r="J1" s="43" t="s">
        <v>8</v>
      </c>
      <c r="K1" s="43" t="s">
        <v>375</v>
      </c>
      <c r="L1" s="43" t="s">
        <v>376</v>
      </c>
      <c r="M1" s="43" t="s">
        <v>13</v>
      </c>
      <c r="N1" s="43" t="s">
        <v>14</v>
      </c>
      <c r="O1" s="43" t="s">
        <v>15</v>
      </c>
      <c r="P1" s="43" t="s">
        <v>16</v>
      </c>
      <c r="Q1" s="43" t="s">
        <v>17</v>
      </c>
      <c r="R1" s="43" t="s">
        <v>10</v>
      </c>
      <c r="S1" s="43" t="s">
        <v>11</v>
      </c>
      <c r="T1" s="43" t="s">
        <v>12</v>
      </c>
      <c r="U1" s="69" t="s">
        <v>377</v>
      </c>
      <c r="V1" s="69" t="s">
        <v>378</v>
      </c>
      <c r="W1" s="69" t="s">
        <v>379</v>
      </c>
      <c r="X1" s="69" t="s">
        <v>380</v>
      </c>
      <c r="Y1" s="69" t="s">
        <v>381</v>
      </c>
      <c r="Z1" s="69" t="s">
        <v>382</v>
      </c>
      <c r="AA1" s="69" t="s">
        <v>383</v>
      </c>
      <c r="AB1" s="69" t="s">
        <v>384</v>
      </c>
      <c r="AC1" s="69" t="s">
        <v>385</v>
      </c>
      <c r="AD1" s="69" t="s">
        <v>386</v>
      </c>
      <c r="AE1" s="69" t="s">
        <v>387</v>
      </c>
      <c r="AF1" s="69" t="s">
        <v>388</v>
      </c>
      <c r="AG1" s="69" t="s">
        <v>389</v>
      </c>
      <c r="AH1" s="68" t="s">
        <v>390</v>
      </c>
      <c r="AI1" s="43" t="s">
        <v>391</v>
      </c>
      <c r="AJ1" s="43" t="s">
        <v>392</v>
      </c>
      <c r="AK1" s="43" t="s">
        <v>393</v>
      </c>
      <c r="AL1" s="43" t="s">
        <v>394</v>
      </c>
      <c r="AM1" s="43" t="s">
        <v>395</v>
      </c>
      <c r="AN1" s="43" t="s">
        <v>396</v>
      </c>
      <c r="AO1" s="43" t="s">
        <v>397</v>
      </c>
      <c r="AP1" s="69" t="s">
        <v>398</v>
      </c>
      <c r="AQ1" s="69" t="s">
        <v>399</v>
      </c>
      <c r="AR1" s="69" t="s">
        <v>400</v>
      </c>
      <c r="AS1" s="69" t="s">
        <v>401</v>
      </c>
      <c r="AT1" s="68" t="s">
        <v>402</v>
      </c>
      <c r="AU1" s="43" t="s">
        <v>403</v>
      </c>
      <c r="AV1" s="43" t="s">
        <v>404</v>
      </c>
    </row>
    <row r="2" spans="1:48">
      <c r="A2" s="43">
        <v>1</v>
      </c>
      <c r="B2" s="43" t="s">
        <v>412</v>
      </c>
      <c r="C2" s="43" t="s">
        <v>365</v>
      </c>
      <c r="D2" s="43" t="s">
        <v>356</v>
      </c>
      <c r="E2" s="43" t="s">
        <v>366</v>
      </c>
      <c r="G2" s="43" t="s">
        <v>367</v>
      </c>
      <c r="H2" s="64">
        <v>44927</v>
      </c>
      <c r="I2" s="64">
        <v>44930</v>
      </c>
      <c r="J2" s="43" t="s">
        <v>346</v>
      </c>
      <c r="K2" s="43" t="s">
        <v>368</v>
      </c>
      <c r="L2" s="64">
        <v>44931</v>
      </c>
      <c r="M2" s="43" t="s">
        <v>366</v>
      </c>
      <c r="N2" s="43" t="s">
        <v>367</v>
      </c>
      <c r="O2" s="43" t="s">
        <v>369</v>
      </c>
      <c r="P2" s="43" t="s">
        <v>370</v>
      </c>
      <c r="Q2" s="43" t="s">
        <v>363</v>
      </c>
      <c r="R2" s="43" t="s">
        <v>216</v>
      </c>
      <c r="S2" s="43" t="s">
        <v>347</v>
      </c>
      <c r="T2" s="67">
        <v>1</v>
      </c>
      <c r="U2" s="69">
        <v>2880</v>
      </c>
      <c r="V2" s="69">
        <v>0</v>
      </c>
      <c r="W2" s="69">
        <v>3000</v>
      </c>
      <c r="X2" s="69">
        <v>0</v>
      </c>
      <c r="Y2" s="69">
        <v>2900</v>
      </c>
      <c r="Z2" s="69">
        <v>0</v>
      </c>
      <c r="AA2" s="69">
        <v>0</v>
      </c>
      <c r="AB2" s="69">
        <v>2680</v>
      </c>
      <c r="AC2" s="69">
        <v>1650</v>
      </c>
      <c r="AD2" s="69">
        <v>5880</v>
      </c>
      <c r="AE2" s="69">
        <v>4550</v>
      </c>
      <c r="AF2" s="69">
        <v>441</v>
      </c>
      <c r="AG2" s="69">
        <v>889</v>
      </c>
      <c r="AH2" s="68">
        <v>0.1512</v>
      </c>
      <c r="AL2" s="43" t="s">
        <v>217</v>
      </c>
      <c r="AN2" s="43" t="s">
        <v>348</v>
      </c>
      <c r="AP2" s="69">
        <v>5880</v>
      </c>
      <c r="AQ2" s="69">
        <v>4550</v>
      </c>
      <c r="AR2" s="69">
        <v>0</v>
      </c>
      <c r="AS2" s="69">
        <v>1330</v>
      </c>
      <c r="AT2" s="68">
        <v>0.22620000000000001</v>
      </c>
      <c r="AU2" s="43" t="s">
        <v>536</v>
      </c>
      <c r="AV2" s="43">
        <v>0</v>
      </c>
    </row>
    <row r="3" spans="1:48">
      <c r="A3" s="43">
        <v>2</v>
      </c>
      <c r="B3" s="43" t="s">
        <v>412</v>
      </c>
      <c r="C3" s="43" t="s">
        <v>355</v>
      </c>
      <c r="D3" s="43" t="s">
        <v>356</v>
      </c>
      <c r="E3" s="43" t="s">
        <v>357</v>
      </c>
      <c r="G3" s="43" t="s">
        <v>358</v>
      </c>
      <c r="H3" s="64">
        <v>44927</v>
      </c>
      <c r="I3" s="64">
        <v>44929</v>
      </c>
      <c r="J3" s="43" t="s">
        <v>346</v>
      </c>
      <c r="K3" s="43" t="s">
        <v>359</v>
      </c>
      <c r="L3" s="64">
        <v>44930</v>
      </c>
      <c r="M3" s="43" t="s">
        <v>360</v>
      </c>
      <c r="N3" s="43" t="s">
        <v>358</v>
      </c>
      <c r="O3" s="43" t="s">
        <v>361</v>
      </c>
      <c r="P3" s="43" t="s">
        <v>362</v>
      </c>
      <c r="Q3" s="43" t="s">
        <v>363</v>
      </c>
      <c r="R3" s="43" t="s">
        <v>166</v>
      </c>
      <c r="S3" s="43" t="s">
        <v>364</v>
      </c>
      <c r="T3" s="67">
        <v>1</v>
      </c>
      <c r="U3" s="69">
        <v>2500</v>
      </c>
      <c r="V3" s="69">
        <v>0</v>
      </c>
      <c r="W3" s="69">
        <v>3000</v>
      </c>
      <c r="X3" s="69">
        <v>0</v>
      </c>
      <c r="Y3" s="69">
        <v>2900</v>
      </c>
      <c r="Z3" s="69">
        <v>0</v>
      </c>
      <c r="AA3" s="69">
        <v>0</v>
      </c>
      <c r="AB3" s="69">
        <v>2300</v>
      </c>
      <c r="AC3" s="69">
        <v>1397</v>
      </c>
      <c r="AD3" s="69">
        <v>5500</v>
      </c>
      <c r="AE3" s="69">
        <v>4297</v>
      </c>
      <c r="AF3" s="69">
        <v>396</v>
      </c>
      <c r="AG3" s="69">
        <v>807</v>
      </c>
      <c r="AH3" s="68">
        <v>0.1467</v>
      </c>
      <c r="AL3" s="43" t="s">
        <v>413</v>
      </c>
      <c r="AN3" s="43" t="s">
        <v>348</v>
      </c>
      <c r="AP3" s="69">
        <v>5500</v>
      </c>
      <c r="AQ3" s="69">
        <v>4297</v>
      </c>
      <c r="AR3" s="69">
        <v>0</v>
      </c>
      <c r="AS3" s="69">
        <v>1203</v>
      </c>
      <c r="AT3" s="68">
        <v>0.21870000000000001</v>
      </c>
      <c r="AU3" s="43" t="s">
        <v>536</v>
      </c>
      <c r="AV3" s="43"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D2160-AD91-42FA-99F5-B13077D2BE17}">
  <sheetPr codeName="outDB"/>
  <dimension ref="A1:AX5"/>
  <sheetViews>
    <sheetView workbookViewId="0">
      <selection activeCell="B6" sqref="B6"/>
    </sheetView>
  </sheetViews>
  <sheetFormatPr defaultRowHeight="20.100000000000001" customHeight="1"/>
  <cols>
    <col min="1" max="1" width="3.75" style="38" bestFit="1" customWidth="1"/>
    <col min="2" max="2" width="11.25" style="38" bestFit="1" customWidth="1"/>
    <col min="3" max="3" width="16.125" style="45" customWidth="1"/>
    <col min="4" max="4" width="10.5" style="38" customWidth="1"/>
    <col min="5" max="5" width="9.25" style="38" bestFit="1" customWidth="1"/>
    <col min="6" max="6" width="10.375" style="38" customWidth="1"/>
    <col min="7" max="7" width="13.25" style="38" bestFit="1" customWidth="1"/>
    <col min="8" max="9" width="11.125" style="44" bestFit="1" customWidth="1"/>
    <col min="10" max="10" width="9" style="38"/>
    <col min="11" max="11" width="12.25" style="45" bestFit="1" customWidth="1"/>
    <col min="12" max="12" width="11.25" style="44" bestFit="1" customWidth="1"/>
    <col min="13" max="13" width="9.25" style="38" bestFit="1" customWidth="1"/>
    <col min="14" max="15" width="14.5" style="38" bestFit="1" customWidth="1"/>
    <col min="16" max="17" width="12.125" style="38" customWidth="1"/>
    <col min="18" max="18" width="7.375" style="38" bestFit="1" customWidth="1"/>
    <col min="19" max="19" width="9.25" style="38" bestFit="1" customWidth="1"/>
    <col min="20" max="20" width="5.5" style="47" bestFit="1" customWidth="1"/>
    <col min="21" max="21" width="9.875" style="47" customWidth="1"/>
    <col min="22" max="22" width="19.25" style="47" customWidth="1"/>
    <col min="23" max="23" width="9.875" style="47" customWidth="1"/>
    <col min="24" max="24" width="22" style="47" customWidth="1"/>
    <col min="25" max="25" width="13.625" style="47" customWidth="1"/>
    <col min="26" max="26" width="11.75" style="47" customWidth="1"/>
    <col min="27" max="27" width="15.5" style="47" customWidth="1"/>
    <col min="28" max="28" width="14.75" style="47" customWidth="1"/>
    <col min="29" max="30" width="13.625" style="47" customWidth="1"/>
    <col min="31" max="31" width="15.5" style="47" customWidth="1"/>
    <col min="32" max="33" width="9.875" style="47" customWidth="1"/>
    <col min="34" max="34" width="7.125" style="48" bestFit="1" customWidth="1"/>
    <col min="35" max="35" width="8.75" style="38" customWidth="1"/>
    <col min="36" max="36" width="12.125" style="38" customWidth="1"/>
    <col min="37" max="37" width="9.875" style="38" customWidth="1"/>
    <col min="38" max="38" width="12.625" style="38" customWidth="1"/>
    <col min="39" max="39" width="9.875" style="38" customWidth="1"/>
    <col min="40" max="40" width="11.75" style="38" customWidth="1"/>
    <col min="41" max="41" width="8" style="38" customWidth="1"/>
    <col min="42" max="42" width="16.125" style="49" bestFit="1" customWidth="1"/>
    <col min="43" max="43" width="18.125" style="47" bestFit="1" customWidth="1"/>
    <col min="44" max="45" width="11.875" style="47" bestFit="1" customWidth="1"/>
    <col min="46" max="46" width="11.875" style="48" bestFit="1" customWidth="1"/>
    <col min="47" max="47" width="9.875" style="38" bestFit="1" customWidth="1"/>
    <col min="48" max="48" width="10.125" style="47" customWidth="1"/>
    <col min="49" max="16384" width="9" style="38"/>
  </cols>
  <sheetData>
    <row r="1" spans="1:50" s="6" customFormat="1" ht="30" customHeight="1">
      <c r="A1" s="1" t="s">
        <v>0</v>
      </c>
      <c r="B1" s="1" t="s">
        <v>1</v>
      </c>
      <c r="C1" s="2" t="s">
        <v>3</v>
      </c>
      <c r="D1" s="1" t="s">
        <v>4</v>
      </c>
      <c r="E1" s="7" t="s">
        <v>5</v>
      </c>
      <c r="F1" s="7" t="s">
        <v>6</v>
      </c>
      <c r="G1" s="7" t="s">
        <v>7</v>
      </c>
      <c r="H1" s="8" t="s">
        <v>2</v>
      </c>
      <c r="I1" s="16" t="s">
        <v>35</v>
      </c>
      <c r="J1" s="10" t="s">
        <v>8</v>
      </c>
      <c r="K1" s="11" t="s">
        <v>343</v>
      </c>
      <c r="L1" s="9" t="s">
        <v>9</v>
      </c>
      <c r="M1" s="15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10</v>
      </c>
      <c r="S1" s="3" t="s">
        <v>11</v>
      </c>
      <c r="T1" s="46" t="s">
        <v>12</v>
      </c>
      <c r="U1" s="56" t="s">
        <v>20</v>
      </c>
      <c r="V1" s="56" t="s">
        <v>37</v>
      </c>
      <c r="W1" s="56" t="s">
        <v>21</v>
      </c>
      <c r="X1" s="56" t="s">
        <v>36</v>
      </c>
      <c r="Y1" s="56" t="s">
        <v>22</v>
      </c>
      <c r="Z1" s="56" t="s">
        <v>23</v>
      </c>
      <c r="AA1" s="56" t="s">
        <v>24</v>
      </c>
      <c r="AB1" s="57" t="s">
        <v>38</v>
      </c>
      <c r="AC1" s="57" t="s">
        <v>27</v>
      </c>
      <c r="AD1" s="58" t="s">
        <v>39</v>
      </c>
      <c r="AE1" s="58" t="s">
        <v>28</v>
      </c>
      <c r="AF1" s="59" t="s">
        <v>29</v>
      </c>
      <c r="AG1" s="60" t="s">
        <v>30</v>
      </c>
      <c r="AH1" s="4" t="s">
        <v>31</v>
      </c>
      <c r="AI1" s="5" t="s">
        <v>32</v>
      </c>
      <c r="AJ1" s="13" t="s">
        <v>18</v>
      </c>
      <c r="AK1" s="14" t="s">
        <v>19</v>
      </c>
      <c r="AL1" s="12" t="s">
        <v>25</v>
      </c>
      <c r="AM1" s="12" t="s">
        <v>26</v>
      </c>
      <c r="AN1" s="5" t="s">
        <v>33</v>
      </c>
      <c r="AO1" s="5" t="s">
        <v>34</v>
      </c>
      <c r="AP1" s="50" t="s">
        <v>40</v>
      </c>
      <c r="AQ1" s="51" t="s">
        <v>41</v>
      </c>
      <c r="AR1" s="51" t="s">
        <v>42</v>
      </c>
      <c r="AS1" s="52" t="s">
        <v>43</v>
      </c>
      <c r="AT1" s="51" t="s">
        <v>44</v>
      </c>
      <c r="AU1" s="52" t="s">
        <v>45</v>
      </c>
      <c r="AV1" s="51" t="s">
        <v>127</v>
      </c>
      <c r="AW1" s="61"/>
      <c r="AX1" s="61">
        <v>5</v>
      </c>
    </row>
    <row r="2" spans="1:50" ht="20.100000000000001" customHeight="1">
      <c r="A2" s="38">
        <v>1</v>
      </c>
      <c r="B2" s="38" t="s">
        <v>111</v>
      </c>
      <c r="C2" s="45" t="s">
        <v>328</v>
      </c>
      <c r="D2" s="38" t="s">
        <v>329</v>
      </c>
      <c r="E2" s="38" t="s">
        <v>330</v>
      </c>
      <c r="F2" s="38" t="s">
        <v>331</v>
      </c>
      <c r="H2" s="44">
        <v>44928</v>
      </c>
      <c r="I2" s="44">
        <v>44928</v>
      </c>
      <c r="J2" s="38" t="s">
        <v>332</v>
      </c>
      <c r="K2" s="45" t="s">
        <v>333</v>
      </c>
      <c r="L2" s="44">
        <v>44929</v>
      </c>
      <c r="M2" s="38" t="s">
        <v>330</v>
      </c>
      <c r="N2" s="38" t="s">
        <v>334</v>
      </c>
      <c r="P2" s="55" t="s">
        <v>335</v>
      </c>
      <c r="R2" s="38" t="s">
        <v>336</v>
      </c>
      <c r="S2" s="38" t="s">
        <v>337</v>
      </c>
      <c r="T2" s="47">
        <v>2</v>
      </c>
      <c r="U2" s="47">
        <v>64800</v>
      </c>
      <c r="V2" s="47">
        <v>0</v>
      </c>
      <c r="W2" s="47">
        <v>0</v>
      </c>
      <c r="X2" s="47">
        <v>0</v>
      </c>
      <c r="Y2" s="47">
        <v>4300</v>
      </c>
      <c r="Z2" s="47">
        <v>1650</v>
      </c>
      <c r="AA2" s="47">
        <v>0</v>
      </c>
      <c r="AB2" s="47">
        <v>32400</v>
      </c>
      <c r="AC2" s="47">
        <v>19800</v>
      </c>
      <c r="AD2" s="47">
        <v>64800</v>
      </c>
      <c r="AE2" s="47">
        <v>45550</v>
      </c>
      <c r="AF2" s="47">
        <v>2579</v>
      </c>
      <c r="AG2" s="47">
        <v>16671</v>
      </c>
      <c r="AH2" s="48">
        <v>0.25729999999999997</v>
      </c>
      <c r="AL2" s="38" t="s">
        <v>480</v>
      </c>
      <c r="AN2" s="38" t="s">
        <v>338</v>
      </c>
      <c r="AP2" s="49">
        <f>IFERROR(IF(출고표[[#This Row],[클레임]]="반품",출고표[[#This Row],[배송비]],출고표[[#This Row],[결제액]]+출고표[[#This Row],[배송비]]+출고표[[#This Row],[제주/도서추가배송비]]-출고표[[#This Row],[판매자부담할인액]]),0)</f>
        <v>64800</v>
      </c>
      <c r="AQ2" s="47">
        <f>IFERROR(IF(출고표[[#This Row],[클레임]]="반품",출고표[[#This Row],[업체배송비]]+출고표[[#This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Row],[박스가격]])),0)</f>
        <v>45550</v>
      </c>
      <c r="AR2" s="47">
        <f>IFERROR(IF(출고표[[#This Row],[클레임]]="반품",ROUND(출고표[[#This Row],[배송비]]*VLOOKUP(출고표[[#This Row],[판매채널]],#REF!,5,0),0),IF(출고표[[#This Row],[판매채널]]="쿠팡",ROUND(((ROUND(((출고표[[#This Row],[결제액]] / 출고표[[#This Row],[수량]]) * VLOOKUP(출고표[[#This Row],[판매채널]],#REF!,IF(출고표[[#This Row],[쇼핑몰구분]]="비닐팩토리",4,3),0)) * 출고표[[#This Row],[수량]], 0) - ROUND((출고표[[#This Row],[판매자부담할인액]] * VLOOKUP(출고표[[#This Row],[판매채널]],#REF!,IF(출고표[[#This Row],[쇼핑몰구분]]="비닐팩토리",4,3),0)), 0)) * 1.1)+ROUND(출고표[[#This Row],[배송비]]*VLOOKUP(출고표[[#This Row],[판매채널]],#REF!,IF(출고표[[#This Row],[쇼핑몰구분]]="비닐팩토리",6,5),0),0),0),ROUND((출고표[[#This Row],[결제액]]-출고표[[#This Row],[판매자부담할인액]])*VLOOKUP(출고표[[#This Row],[판매채널]],#REF!,IF(출고표[[#This Row],[쇼핑몰구분]]="비닐팩토리",4,3),0),0)+ROUND(출고표[[#This Row],[배송비]]*VLOOKUP(출고표[[#This Row],[판매채널]],#REF!,IF(출고표[[#This Row],[쇼핑몰구분]]="비닐팩토리",6,5),0),0))),0)</f>
        <v>0</v>
      </c>
      <c r="AS2" s="47">
        <f>IFERROR(IF(출고표[[#This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Row],[수수료(검)]],0)),0)</f>
        <v>19250</v>
      </c>
      <c r="AT2" s="48">
        <f>IFERROR(IF(출고표[[#This Row],[클레임]]="반품",0,IF(출고표[[#This Row],[총판매금액(검)]]=0,0,ROUND(출고표[[#This Row],[순이익(검)]]/출고표[[#This Row],[총판매금액(검)]],4))),0)</f>
        <v>0.29709999999999998</v>
      </c>
      <c r="AU2" s="38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" s="47">
        <f>IFERROR(IF(D2="스마트스토어",COUNTIFS(출고표[구입일자],"&lt;&gt;"&amp;H2,출고표[구매자명],E2,출고표[구매자연락처],F2),COUNTIFS(출고표[구입일자],"&lt;&gt;"&amp;H2,출고표[구매자명],E2,출고표[구매자연락처],G2)),0)</f>
        <v>0</v>
      </c>
      <c r="AW2" s="47"/>
      <c r="AX2" s="47"/>
    </row>
    <row r="3" spans="1:50" ht="20.100000000000001" customHeight="1">
      <c r="A3" s="38">
        <v>2</v>
      </c>
      <c r="B3" s="38" t="s">
        <v>111</v>
      </c>
      <c r="C3" s="45" t="s">
        <v>481</v>
      </c>
      <c r="D3" s="38" t="s">
        <v>329</v>
      </c>
      <c r="E3" s="38" t="s">
        <v>482</v>
      </c>
      <c r="F3" s="38" t="s">
        <v>483</v>
      </c>
      <c r="H3" s="44">
        <v>44928</v>
      </c>
      <c r="I3" s="44">
        <v>44928</v>
      </c>
      <c r="J3" s="38" t="s">
        <v>332</v>
      </c>
      <c r="K3" s="45" t="s">
        <v>484</v>
      </c>
      <c r="L3" s="44">
        <v>44929</v>
      </c>
      <c r="M3" s="38" t="s">
        <v>482</v>
      </c>
      <c r="N3" s="38" t="s">
        <v>485</v>
      </c>
      <c r="P3" s="55" t="s">
        <v>486</v>
      </c>
      <c r="R3" s="38" t="s">
        <v>487</v>
      </c>
      <c r="S3" s="38" t="s">
        <v>337</v>
      </c>
      <c r="T3" s="47">
        <v>3</v>
      </c>
      <c r="U3" s="47">
        <v>19380</v>
      </c>
      <c r="V3" s="47">
        <v>3570</v>
      </c>
      <c r="W3" s="47">
        <v>3000</v>
      </c>
      <c r="X3" s="47">
        <v>0</v>
      </c>
      <c r="Y3" s="47">
        <v>3400</v>
      </c>
      <c r="Z3" s="47">
        <v>0</v>
      </c>
      <c r="AA3" s="47">
        <v>0</v>
      </c>
      <c r="AB3" s="47">
        <v>5270</v>
      </c>
      <c r="AC3" s="47">
        <v>3410</v>
      </c>
      <c r="AD3" s="47">
        <v>18810</v>
      </c>
      <c r="AE3" s="47">
        <v>13630</v>
      </c>
      <c r="AF3" s="47">
        <v>688</v>
      </c>
      <c r="AG3" s="47">
        <v>4492</v>
      </c>
      <c r="AH3" s="48">
        <v>0.23880000000000001</v>
      </c>
      <c r="AL3" s="38" t="s">
        <v>488</v>
      </c>
      <c r="AN3" s="38" t="s">
        <v>338</v>
      </c>
      <c r="AP3" s="49">
        <f>IFERROR(IF(출고표[[#This Row],[클레임]]="반품",출고표[[#This Row],[배송비]],출고표[[#This Row],[결제액]]+출고표[[#This Row],[배송비]]+출고표[[#This Row],[제주/도서추가배송비]]-출고표[[#This Row],[판매자부담할인액]]),0)</f>
        <v>18810</v>
      </c>
      <c r="AQ3" s="47">
        <f>IFERROR(IF(출고표[[#This Row],[클레임]]="반품",출고표[[#This Row],[업체배송비]]+출고표[[#This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Row],[박스가격]])),0)</f>
        <v>13630</v>
      </c>
      <c r="AR3" s="47">
        <f>IFERROR(IF(출고표[[#This Row],[클레임]]="반품",ROUND(출고표[[#This Row],[배송비]]*VLOOKUP(출고표[[#This Row],[판매채널]],#REF!,5,0),0),IF(출고표[[#This Row],[판매채널]]="쿠팡",ROUND(((ROUND(((출고표[[#This Row],[결제액]] / 출고표[[#This Row],[수량]]) * VLOOKUP(출고표[[#This Row],[판매채널]],#REF!,IF(출고표[[#This Row],[쇼핑몰구분]]="비닐팩토리",4,3),0)) * 출고표[[#This Row],[수량]], 0) - ROUND((출고표[[#This Row],[판매자부담할인액]] * VLOOKUP(출고표[[#This Row],[판매채널]],#REF!,IF(출고표[[#This Row],[쇼핑몰구분]]="비닐팩토리",4,3),0)), 0)) * 1.1)+ROUND(출고표[[#This Row],[배송비]]*VLOOKUP(출고표[[#This Row],[판매채널]],#REF!,IF(출고표[[#This Row],[쇼핑몰구분]]="비닐팩토리",6,5),0),0),0),ROUND((출고표[[#This Row],[결제액]]-출고표[[#This Row],[판매자부담할인액]])*VLOOKUP(출고표[[#This Row],[판매채널]],#REF!,IF(출고표[[#This Row],[쇼핑몰구분]]="비닐팩토리",4,3),0),0)+ROUND(출고표[[#This Row],[배송비]]*VLOOKUP(출고표[[#This Row],[판매채널]],#REF!,IF(출고표[[#This Row],[쇼핑몰구분]]="비닐팩토리",6,5),0),0))),0)</f>
        <v>0</v>
      </c>
      <c r="AS3" s="47">
        <f>IFERROR(IF(출고표[[#This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Row],[수수료(검)]],0)),0)</f>
        <v>5180</v>
      </c>
      <c r="AT3" s="48">
        <f>IFERROR(IF(출고표[[#This Row],[클레임]]="반품",0,IF(출고표[[#This Row],[총판매금액(검)]]=0,0,ROUND(출고표[[#This Row],[순이익(검)]]/출고표[[#This Row],[총판매금액(검)]],4))),0)</f>
        <v>0.27539999999999998</v>
      </c>
      <c r="AU3" s="38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" s="47">
        <f>IFERROR(IF(D3="스마트스토어",COUNTIFS(출고표[구입일자],"&lt;&gt;"&amp;H3,출고표[구매자명],E3,출고표[구매자연락처],F3),COUNTIFS(출고표[구입일자],"&lt;&gt;"&amp;H3,출고표[구매자명],E3,출고표[구매자연락처],G3)),0)</f>
        <v>0</v>
      </c>
      <c r="AW3" s="47"/>
      <c r="AX3" s="47"/>
    </row>
    <row r="4" spans="1:50" ht="20.100000000000001" customHeight="1">
      <c r="A4" s="38">
        <v>3</v>
      </c>
      <c r="B4" s="38" t="s">
        <v>118</v>
      </c>
      <c r="C4" s="45" t="s">
        <v>489</v>
      </c>
      <c r="D4" s="38" t="s">
        <v>490</v>
      </c>
      <c r="E4" s="38" t="s">
        <v>491</v>
      </c>
      <c r="G4" s="38" t="s">
        <v>492</v>
      </c>
      <c r="H4" s="44">
        <v>44927</v>
      </c>
      <c r="I4" s="44">
        <v>44929</v>
      </c>
      <c r="J4" s="38" t="s">
        <v>332</v>
      </c>
      <c r="K4" s="45" t="s">
        <v>493</v>
      </c>
      <c r="L4" s="44">
        <v>44930</v>
      </c>
      <c r="M4" s="38" t="s">
        <v>494</v>
      </c>
      <c r="N4" s="38" t="s">
        <v>492</v>
      </c>
      <c r="O4" s="38" t="s">
        <v>495</v>
      </c>
      <c r="P4" s="38" t="s">
        <v>496</v>
      </c>
      <c r="Q4" s="38" t="s">
        <v>497</v>
      </c>
      <c r="R4" s="38" t="s">
        <v>498</v>
      </c>
      <c r="S4" s="38" t="s">
        <v>499</v>
      </c>
      <c r="T4" s="47">
        <v>1</v>
      </c>
      <c r="U4" s="47">
        <v>2500</v>
      </c>
      <c r="V4" s="47">
        <v>0</v>
      </c>
      <c r="W4" s="47">
        <v>3000</v>
      </c>
      <c r="X4" s="47">
        <v>0</v>
      </c>
      <c r="Y4" s="47">
        <v>2900</v>
      </c>
      <c r="Z4" s="47">
        <v>0</v>
      </c>
      <c r="AA4" s="47">
        <v>0</v>
      </c>
      <c r="AB4" s="47">
        <v>2300</v>
      </c>
      <c r="AC4" s="47">
        <v>1397</v>
      </c>
      <c r="AD4" s="47">
        <v>5500</v>
      </c>
      <c r="AE4" s="47">
        <v>4297</v>
      </c>
      <c r="AF4" s="47">
        <v>396</v>
      </c>
      <c r="AG4" s="47">
        <v>807</v>
      </c>
      <c r="AH4" s="48">
        <v>0.1467</v>
      </c>
      <c r="AL4" s="38" t="s">
        <v>500</v>
      </c>
      <c r="AN4" s="38" t="s">
        <v>338</v>
      </c>
      <c r="AP4" s="49">
        <f>IFERROR(IF(출고표[[#This Row],[클레임]]="반품",출고표[[#This Row],[배송비]],출고표[[#This Row],[결제액]]+출고표[[#This Row],[배송비]]+출고표[[#This Row],[제주/도서추가배송비]]-출고표[[#This Row],[판매자부담할인액]]),0)</f>
        <v>5500</v>
      </c>
      <c r="AQ4" s="47">
        <f>IFERROR(IF(출고표[[#This Row],[클레임]]="반품",출고표[[#This Row],[업체배송비]]+출고표[[#This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Row],[박스가격]])),0)</f>
        <v>4297</v>
      </c>
      <c r="AR4" s="47">
        <f>IFERROR(IF(출고표[[#This Row],[클레임]]="반품",ROUND(출고표[[#This Row],[배송비]]*VLOOKUP(출고표[[#This Row],[판매채널]],#REF!,5,0),0),IF(출고표[[#This Row],[판매채널]]="쿠팡",ROUND(((ROUND(((출고표[[#This Row],[결제액]] / 출고표[[#This Row],[수량]]) * VLOOKUP(출고표[[#This Row],[판매채널]],#REF!,IF(출고표[[#This Row],[쇼핑몰구분]]="비닐팩토리",4,3),0)) * 출고표[[#This Row],[수량]], 0) - ROUND((출고표[[#This Row],[판매자부담할인액]] * VLOOKUP(출고표[[#This Row],[판매채널]],#REF!,IF(출고표[[#This Row],[쇼핑몰구분]]="비닐팩토리",4,3),0)), 0)) * 1.1)+ROUND(출고표[[#This Row],[배송비]]*VLOOKUP(출고표[[#This Row],[판매채널]],#REF!,IF(출고표[[#This Row],[쇼핑몰구분]]="비닐팩토리",6,5),0),0),0),ROUND((출고표[[#This Row],[결제액]]-출고표[[#This Row],[판매자부담할인액]])*VLOOKUP(출고표[[#This Row],[판매채널]],#REF!,IF(출고표[[#This Row],[쇼핑몰구분]]="비닐팩토리",4,3),0),0)+ROUND(출고표[[#This Row],[배송비]]*VLOOKUP(출고표[[#This Row],[판매채널]],#REF!,IF(출고표[[#This Row],[쇼핑몰구분]]="비닐팩토리",6,5),0),0))),0)</f>
        <v>0</v>
      </c>
      <c r="AS4" s="47">
        <f>IFERROR(IF(출고표[[#This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Row],[수수료(검)]],0)),0)</f>
        <v>1203</v>
      </c>
      <c r="AT4" s="48">
        <f>IFERROR(IF(출고표[[#This Row],[클레임]]="반품",0,IF(출고표[[#This Row],[총판매금액(검)]]=0,0,ROUND(출고표[[#This Row],[순이익(검)]]/출고표[[#This Row],[총판매금액(검)]],4))),0)</f>
        <v>0.21870000000000001</v>
      </c>
      <c r="AU4" s="38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" s="47">
        <f>IFERROR(IF(D4="스마트스토어",COUNTIFS(출고표[구입일자],"&lt;&gt;"&amp;H4,출고표[구매자명],E4,출고표[구매자연락처],F4),COUNTIFS(출고표[구입일자],"&lt;&gt;"&amp;H4,출고표[구매자명],E4,출고표[구매자연락처],G4)),0)</f>
        <v>0</v>
      </c>
      <c r="AW4" s="47"/>
      <c r="AX4" s="47"/>
    </row>
    <row r="5" spans="1:50" ht="20.100000000000001" customHeight="1">
      <c r="A5" s="38">
        <v>4</v>
      </c>
      <c r="B5" s="38" t="s">
        <v>118</v>
      </c>
      <c r="C5" s="45" t="s">
        <v>501</v>
      </c>
      <c r="D5" s="38" t="s">
        <v>490</v>
      </c>
      <c r="E5" s="38" t="s">
        <v>502</v>
      </c>
      <c r="G5" s="38" t="s">
        <v>503</v>
      </c>
      <c r="H5" s="44">
        <v>44927</v>
      </c>
      <c r="I5" s="44">
        <v>44930</v>
      </c>
      <c r="J5" s="38" t="s">
        <v>332</v>
      </c>
      <c r="K5" s="45" t="s">
        <v>504</v>
      </c>
      <c r="L5" s="44">
        <v>44931</v>
      </c>
      <c r="M5" s="38" t="s">
        <v>502</v>
      </c>
      <c r="N5" s="38" t="s">
        <v>503</v>
      </c>
      <c r="O5" s="38" t="s">
        <v>505</v>
      </c>
      <c r="P5" s="38" t="s">
        <v>506</v>
      </c>
      <c r="Q5" s="38" t="s">
        <v>497</v>
      </c>
      <c r="R5" s="38" t="s">
        <v>507</v>
      </c>
      <c r="S5" s="38" t="s">
        <v>337</v>
      </c>
      <c r="T5" s="47">
        <v>1</v>
      </c>
      <c r="U5" s="47">
        <v>2880</v>
      </c>
      <c r="V5" s="47">
        <v>0</v>
      </c>
      <c r="W5" s="47">
        <v>3000</v>
      </c>
      <c r="X5" s="47">
        <v>0</v>
      </c>
      <c r="Y5" s="47">
        <v>2900</v>
      </c>
      <c r="Z5" s="47">
        <v>0</v>
      </c>
      <c r="AA5" s="47">
        <v>0</v>
      </c>
      <c r="AB5" s="47">
        <v>2680</v>
      </c>
      <c r="AC5" s="47">
        <v>1650</v>
      </c>
      <c r="AD5" s="47">
        <v>5880</v>
      </c>
      <c r="AE5" s="47">
        <v>4550</v>
      </c>
      <c r="AF5" s="47">
        <v>441</v>
      </c>
      <c r="AG5" s="47">
        <v>889</v>
      </c>
      <c r="AH5" s="48">
        <v>0.1512</v>
      </c>
      <c r="AL5" s="38" t="s">
        <v>508</v>
      </c>
      <c r="AN5" s="38" t="s">
        <v>338</v>
      </c>
      <c r="AP5" s="49">
        <f>IFERROR(IF(출고표[[#This Row],[클레임]]="반품",출고표[[#This Row],[배송비]],출고표[[#This Row],[결제액]]+출고표[[#This Row],[배송비]]+출고표[[#This Row],[제주/도서추가배송비]]-출고표[[#This Row],[판매자부담할인액]]),0)</f>
        <v>5880</v>
      </c>
      <c r="AQ5" s="47">
        <f>IFERROR(IF(출고표[[#This Row],[클레임]]="반품",출고표[[#This Row],[업체배송비]]+출고표[[#This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Row],[박스가격]])),0)</f>
        <v>4550</v>
      </c>
      <c r="AR5" s="47">
        <f>IFERROR(IF(출고표[[#This Row],[클레임]]="반품",ROUND(출고표[[#This Row],[배송비]]*VLOOKUP(출고표[[#This Row],[판매채널]],#REF!,5,0),0),IF(출고표[[#This Row],[판매채널]]="쿠팡",ROUND(((ROUND(((출고표[[#This Row],[결제액]] / 출고표[[#This Row],[수량]]) * VLOOKUP(출고표[[#This Row],[판매채널]],#REF!,IF(출고표[[#This Row],[쇼핑몰구분]]="비닐팩토리",4,3),0)) * 출고표[[#This Row],[수량]], 0) - ROUND((출고표[[#This Row],[판매자부담할인액]] * VLOOKUP(출고표[[#This Row],[판매채널]],#REF!,IF(출고표[[#This Row],[쇼핑몰구분]]="비닐팩토리",4,3),0)), 0)) * 1.1)+ROUND(출고표[[#This Row],[배송비]]*VLOOKUP(출고표[[#This Row],[판매채널]],#REF!,IF(출고표[[#This Row],[쇼핑몰구분]]="비닐팩토리",6,5),0),0),0),ROUND((출고표[[#This Row],[결제액]]-출고표[[#This Row],[판매자부담할인액]])*VLOOKUP(출고표[[#This Row],[판매채널]],#REF!,IF(출고표[[#This Row],[쇼핑몰구분]]="비닐팩토리",4,3),0),0)+ROUND(출고표[[#This Row],[배송비]]*VLOOKUP(출고표[[#This Row],[판매채널]],#REF!,IF(출고표[[#This Row],[쇼핑몰구분]]="비닐팩토리",6,5),0),0))),0)</f>
        <v>0</v>
      </c>
      <c r="AS5" s="47">
        <f>IFERROR(IF(출고표[[#This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Row],[수수료(검)]],0)),0)</f>
        <v>1330</v>
      </c>
      <c r="AT5" s="48">
        <f>IFERROR(IF(출고표[[#This Row],[클레임]]="반품",0,IF(출고표[[#This Row],[총판매금액(검)]]=0,0,ROUND(출고표[[#This Row],[순이익(검)]]/출고표[[#This Row],[총판매금액(검)]],4))),0)</f>
        <v>0.22620000000000001</v>
      </c>
      <c r="AU5" s="38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" s="47">
        <f>IFERROR(IF(D5="스마트스토어",COUNTIFS(출고표[구입일자],"&lt;&gt;"&amp;H5,출고표[구매자명],E5,출고표[구매자연락처],F5),COUNTIFS(출고표[구입일자],"&lt;&gt;"&amp;H5,출고표[구매자명],E5,출고표[구매자연락처],G5)),0)</f>
        <v>0</v>
      </c>
      <c r="AW5" s="47"/>
      <c r="AX5" s="47"/>
    </row>
  </sheetData>
  <phoneticPr fontId="3" type="noConversion"/>
  <conditionalFormatting sqref="A1:AV5">
    <cfRule type="expression" dxfId="132" priority="13">
      <formula>$B1="비닐팩토리"</formula>
    </cfRule>
  </conditionalFormatting>
  <conditionalFormatting sqref="D1:D1048576">
    <cfRule type="cellIs" dxfId="131" priority="7" operator="equal">
      <formula>"제작"</formula>
    </cfRule>
    <cfRule type="cellIs" dxfId="130" priority="11" operator="equal">
      <formula>"쿠팡"</formula>
    </cfRule>
    <cfRule type="cellIs" dxfId="129" priority="12" operator="equal">
      <formula>"위메프"</formula>
    </cfRule>
  </conditionalFormatting>
  <conditionalFormatting sqref="J1:J1048576">
    <cfRule type="cellIs" dxfId="128" priority="10" operator="equal">
      <formula>"직접전달"</formula>
    </cfRule>
  </conditionalFormatting>
  <conditionalFormatting sqref="R1:T1 AK1">
    <cfRule type="cellIs" dxfId="127" priority="5" operator="equal">
      <formula>"반품"</formula>
    </cfRule>
  </conditionalFormatting>
  <conditionalFormatting sqref="T1:T1048576">
    <cfRule type="cellIs" dxfId="126" priority="6" operator="lessThanOrEqual">
      <formula>0</formula>
    </cfRule>
  </conditionalFormatting>
  <conditionalFormatting sqref="AB1:AG1048576 AP1:AS1048576">
    <cfRule type="cellIs" dxfId="125" priority="4" operator="lessThan">
      <formula>0</formula>
    </cfRule>
  </conditionalFormatting>
  <conditionalFormatting sqref="AT1:AT1048576 AH1:AH1048576">
    <cfRule type="colorScale" priority="2">
      <colorScale>
        <cfvo type="num" val="0"/>
        <cfvo type="num" val="0.4"/>
        <color rgb="FFFA9093"/>
        <color theme="0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FAAAD-EB5B-45D3-9BFE-3DB2610B9957}">
  <sheetPr codeName="userDB"/>
  <dimension ref="A1:O5"/>
  <sheetViews>
    <sheetView workbookViewId="0">
      <selection activeCell="H15" sqref="H15"/>
    </sheetView>
  </sheetViews>
  <sheetFormatPr defaultRowHeight="18" customHeight="1"/>
  <cols>
    <col min="1" max="1" width="4.875" style="38" customWidth="1"/>
    <col min="2" max="2" width="10.25" style="38" customWidth="1"/>
    <col min="3" max="3" width="10.5" style="38" bestFit="1" customWidth="1"/>
    <col min="4" max="4" width="9" style="38"/>
    <col min="5" max="5" width="9.375" style="38" customWidth="1"/>
    <col min="6" max="6" width="12.25" style="38" customWidth="1"/>
    <col min="7" max="7" width="9" style="38"/>
    <col min="8" max="8" width="13.625" style="38" bestFit="1" customWidth="1"/>
    <col min="9" max="11" width="9" style="38"/>
    <col min="12" max="12" width="59.5" style="39" customWidth="1"/>
    <col min="13" max="13" width="9" style="47"/>
    <col min="14" max="14" width="9" style="38"/>
    <col min="15" max="15" width="9" style="63"/>
    <col min="16" max="16384" width="9" style="37"/>
  </cols>
  <sheetData>
    <row r="1" spans="1:15" ht="30" customHeight="1" thickBot="1">
      <c r="A1" s="40" t="s">
        <v>120</v>
      </c>
      <c r="B1" s="40" t="s">
        <v>1</v>
      </c>
      <c r="C1" s="40" t="s">
        <v>121</v>
      </c>
      <c r="D1" s="40" t="s">
        <v>5</v>
      </c>
      <c r="E1" s="40" t="s">
        <v>122</v>
      </c>
      <c r="F1" s="40" t="s">
        <v>7</v>
      </c>
      <c r="G1" s="40" t="s">
        <v>123</v>
      </c>
      <c r="H1" s="40" t="s">
        <v>124</v>
      </c>
      <c r="I1" s="40" t="s">
        <v>125</v>
      </c>
      <c r="J1" s="41" t="s">
        <v>126</v>
      </c>
      <c r="K1" s="41" t="s">
        <v>342</v>
      </c>
      <c r="L1" s="42" t="s">
        <v>16</v>
      </c>
      <c r="M1" s="54" t="s">
        <v>127</v>
      </c>
      <c r="N1" s="62"/>
      <c r="O1" s="6">
        <v>5</v>
      </c>
    </row>
    <row r="2" spans="1:15" ht="18" customHeight="1">
      <c r="A2" s="38">
        <v>1</v>
      </c>
      <c r="B2" s="38" t="s">
        <v>111</v>
      </c>
      <c r="C2" s="38" t="s">
        <v>329</v>
      </c>
      <c r="D2" s="38">
        <v>1111</v>
      </c>
      <c r="E2" s="38" t="s">
        <v>339</v>
      </c>
      <c r="F2" s="38" t="s">
        <v>340</v>
      </c>
      <c r="H2" s="38" t="s">
        <v>340</v>
      </c>
      <c r="L2" s="53" t="s">
        <v>341</v>
      </c>
      <c r="M2" s="47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3" spans="1:15" ht="18" customHeight="1">
      <c r="A3" s="38">
        <v>2</v>
      </c>
      <c r="B3" s="38" t="s">
        <v>111</v>
      </c>
      <c r="C3" s="38" t="s">
        <v>329</v>
      </c>
      <c r="D3" s="38" t="s">
        <v>509</v>
      </c>
      <c r="E3" s="38" t="s">
        <v>510</v>
      </c>
      <c r="F3" s="38" t="s">
        <v>511</v>
      </c>
      <c r="G3" s="38" t="s">
        <v>509</v>
      </c>
      <c r="H3" s="38" t="s">
        <v>511</v>
      </c>
      <c r="L3" s="39" t="s">
        <v>512</v>
      </c>
      <c r="M3" s="47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4" spans="1:15" ht="18" customHeight="1">
      <c r="A4" s="38">
        <v>3</v>
      </c>
      <c r="B4" s="38" t="s">
        <v>111</v>
      </c>
      <c r="C4" s="38" t="s">
        <v>329</v>
      </c>
      <c r="D4" s="38" t="s">
        <v>513</v>
      </c>
      <c r="E4" s="38" t="s">
        <v>514</v>
      </c>
      <c r="F4" s="38" t="s">
        <v>515</v>
      </c>
      <c r="G4" s="38" t="s">
        <v>513</v>
      </c>
      <c r="H4" s="38" t="s">
        <v>515</v>
      </c>
      <c r="J4" s="38" t="s">
        <v>516</v>
      </c>
      <c r="L4" s="53" t="s">
        <v>517</v>
      </c>
      <c r="M4" s="47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5" spans="1:15" ht="18" customHeight="1">
      <c r="A5" s="38">
        <v>4</v>
      </c>
      <c r="B5" s="38" t="s">
        <v>111</v>
      </c>
      <c r="C5" s="38" t="s">
        <v>329</v>
      </c>
      <c r="D5" s="38" t="s">
        <v>518</v>
      </c>
      <c r="E5" s="38" t="s">
        <v>519</v>
      </c>
      <c r="F5" s="38" t="s">
        <v>520</v>
      </c>
      <c r="G5" s="38" t="s">
        <v>518</v>
      </c>
      <c r="H5" s="38" t="s">
        <v>520</v>
      </c>
      <c r="I5" s="38" t="s">
        <v>521</v>
      </c>
      <c r="J5" s="38" t="s">
        <v>522</v>
      </c>
      <c r="L5" s="53" t="s">
        <v>523</v>
      </c>
      <c r="M5" s="47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6A087-4ACF-4DEF-A1E2-3970014148DA}">
  <sheetPr codeName="Sheet1"/>
  <dimension ref="A1:AE105"/>
  <sheetViews>
    <sheetView topLeftCell="B25" workbookViewId="0">
      <selection activeCell="AD28" sqref="AD28"/>
    </sheetView>
  </sheetViews>
  <sheetFormatPr defaultRowHeight="14.1" customHeight="1"/>
  <cols>
    <col min="1" max="1" width="18.375" style="88" bestFit="1" customWidth="1"/>
    <col min="2" max="2" width="35.875" style="88" customWidth="1"/>
    <col min="3" max="3" width="8.375" style="88" customWidth="1"/>
    <col min="4" max="4" width="7.875" style="88" customWidth="1"/>
    <col min="5" max="6" width="12.25" style="88" bestFit="1" customWidth="1"/>
    <col min="7" max="7" width="1.625" style="88" customWidth="1"/>
    <col min="8" max="8" width="11.375" style="88" bestFit="1" customWidth="1"/>
    <col min="9" max="9" width="5.25" style="88" customWidth="1"/>
    <col min="10" max="10" width="10.25" style="88" customWidth="1"/>
    <col min="11" max="12" width="9" style="88"/>
    <col min="13" max="13" width="11.125" style="88" customWidth="1"/>
    <col min="14" max="14" width="1.625" style="88" customWidth="1"/>
    <col min="15" max="16" width="9" style="88"/>
    <col min="17" max="17" width="1.625" style="88" customWidth="1"/>
    <col min="18" max="18" width="7.125" bestFit="1" customWidth="1"/>
    <col min="19" max="19" width="4" customWidth="1"/>
    <col min="20" max="20" width="9.625" bestFit="1" customWidth="1"/>
    <col min="21" max="21" width="11.375" bestFit="1" customWidth="1"/>
    <col min="22" max="22" width="6.375" bestFit="1" customWidth="1"/>
    <col min="23" max="23" width="9.625" bestFit="1" customWidth="1"/>
    <col min="24" max="24" width="7.125" bestFit="1" customWidth="1"/>
    <col min="25" max="26" width="8.125" bestFit="1" customWidth="1"/>
    <col min="27" max="27" width="9.625" bestFit="1" customWidth="1"/>
    <col min="28" max="28" width="6.375" bestFit="1" customWidth="1"/>
    <col min="29" max="29" width="1.625" customWidth="1"/>
    <col min="31" max="31" width="12.875" bestFit="1" customWidth="1"/>
    <col min="32" max="16384" width="9" style="88"/>
  </cols>
  <sheetData>
    <row r="1" spans="1:31" s="85" customFormat="1" ht="14.1" customHeight="1">
      <c r="A1" s="80" t="s">
        <v>450</v>
      </c>
      <c r="B1" s="80" t="s">
        <v>451</v>
      </c>
      <c r="C1" s="80" t="s">
        <v>452</v>
      </c>
      <c r="D1" s="80" t="s">
        <v>453</v>
      </c>
      <c r="E1" s="80" t="s">
        <v>454</v>
      </c>
      <c r="F1" s="80" t="s">
        <v>455</v>
      </c>
      <c r="J1" s="25" t="s">
        <v>532</v>
      </c>
      <c r="L1" s="28" t="s">
        <v>88</v>
      </c>
      <c r="M1" s="29" t="s">
        <v>89</v>
      </c>
      <c r="O1" s="28" t="s">
        <v>88</v>
      </c>
      <c r="P1" s="29" t="s">
        <v>89</v>
      </c>
      <c r="R1" s="35" t="s">
        <v>109</v>
      </c>
      <c r="S1" s="35" t="s">
        <v>110</v>
      </c>
      <c r="T1" s="35" t="s">
        <v>111</v>
      </c>
      <c r="U1" s="35" t="s">
        <v>112</v>
      </c>
      <c r="V1" s="35" t="s">
        <v>113</v>
      </c>
      <c r="W1" s="35" t="s">
        <v>114</v>
      </c>
      <c r="X1" s="35" t="s">
        <v>115</v>
      </c>
      <c r="Y1" s="35" t="s">
        <v>116</v>
      </c>
      <c r="Z1" s="35" t="s">
        <v>117</v>
      </c>
      <c r="AA1" s="35" t="s">
        <v>118</v>
      </c>
      <c r="AB1" s="35" t="s">
        <v>119</v>
      </c>
      <c r="AC1"/>
      <c r="AD1" s="70" t="s">
        <v>130</v>
      </c>
      <c r="AE1" s="29" t="s">
        <v>88</v>
      </c>
    </row>
    <row r="2" spans="1:31" s="85" customFormat="1" ht="14.1" customHeight="1">
      <c r="A2" s="81" t="s">
        <v>456</v>
      </c>
      <c r="B2" s="82" t="s">
        <v>457</v>
      </c>
      <c r="C2" s="82"/>
      <c r="D2" s="82"/>
      <c r="E2" s="82"/>
      <c r="F2" s="82"/>
      <c r="J2" s="25" t="s">
        <v>72</v>
      </c>
      <c r="L2" s="30" t="s">
        <v>91</v>
      </c>
      <c r="M2" s="31">
        <v>960</v>
      </c>
      <c r="O2" s="30" t="s">
        <v>90</v>
      </c>
      <c r="P2" s="31">
        <v>3000</v>
      </c>
      <c r="R2" s="35">
        <v>2023</v>
      </c>
      <c r="S2" s="35">
        <v>1</v>
      </c>
      <c r="T2" s="35"/>
      <c r="U2" s="35"/>
      <c r="V2" s="35"/>
      <c r="W2" s="35"/>
      <c r="X2" s="35"/>
      <c r="Y2" s="35"/>
      <c r="Z2" s="35"/>
      <c r="AA2" s="35"/>
      <c r="AB2" s="35"/>
      <c r="AC2"/>
      <c r="AD2" s="71" t="s">
        <v>131</v>
      </c>
      <c r="AE2" s="36" t="s">
        <v>91</v>
      </c>
    </row>
    <row r="3" spans="1:31" s="85" customFormat="1" ht="14.1" customHeight="1">
      <c r="A3" s="81" t="s">
        <v>458</v>
      </c>
      <c r="B3" s="82" t="s">
        <v>457</v>
      </c>
      <c r="C3" s="82"/>
      <c r="D3" s="82"/>
      <c r="E3" s="82"/>
      <c r="F3" s="82"/>
      <c r="J3" s="25" t="s">
        <v>73</v>
      </c>
      <c r="L3" s="25" t="s">
        <v>92</v>
      </c>
      <c r="M3" s="31">
        <v>1650</v>
      </c>
      <c r="O3" s="25" t="s">
        <v>91</v>
      </c>
      <c r="P3" s="31">
        <v>3500</v>
      </c>
      <c r="R3" s="35">
        <v>2023</v>
      </c>
      <c r="S3" s="35">
        <v>2</v>
      </c>
      <c r="T3" s="35"/>
      <c r="U3" s="35"/>
      <c r="V3" s="35"/>
      <c r="W3" s="35"/>
      <c r="X3" s="35"/>
      <c r="Y3" s="35"/>
      <c r="Z3" s="35"/>
      <c r="AA3" s="35"/>
      <c r="AB3" s="35"/>
      <c r="AC3"/>
      <c r="AD3" s="71" t="s">
        <v>132</v>
      </c>
      <c r="AE3" s="36" t="s">
        <v>133</v>
      </c>
    </row>
    <row r="4" spans="1:31" s="85" customFormat="1" ht="14.1" customHeight="1">
      <c r="A4" s="81" t="s">
        <v>459</v>
      </c>
      <c r="B4" s="85" t="s">
        <v>460</v>
      </c>
      <c r="C4" s="82"/>
      <c r="D4" s="82"/>
      <c r="E4" s="82"/>
      <c r="F4" s="82"/>
      <c r="J4" s="25" t="s">
        <v>74</v>
      </c>
      <c r="L4" s="25" t="s">
        <v>93</v>
      </c>
      <c r="M4" s="31">
        <v>1925</v>
      </c>
      <c r="O4" s="25" t="s">
        <v>92</v>
      </c>
      <c r="P4" s="31">
        <v>4400</v>
      </c>
      <c r="R4" s="35">
        <v>2023</v>
      </c>
      <c r="S4" s="35">
        <v>3</v>
      </c>
      <c r="T4" s="36"/>
      <c r="U4" s="36"/>
      <c r="V4" s="36"/>
      <c r="W4" s="36"/>
      <c r="X4" s="36"/>
      <c r="Y4" s="36"/>
      <c r="Z4" s="36"/>
      <c r="AA4" s="36"/>
      <c r="AB4" s="36"/>
      <c r="AC4"/>
      <c r="AD4" s="71" t="s">
        <v>134</v>
      </c>
      <c r="AE4" s="36" t="s">
        <v>135</v>
      </c>
    </row>
    <row r="5" spans="1:31" s="85" customFormat="1" ht="14.1" customHeight="1">
      <c r="A5" s="81" t="s">
        <v>461</v>
      </c>
      <c r="B5" s="104" t="s">
        <v>533</v>
      </c>
      <c r="C5" s="82"/>
      <c r="D5" s="82"/>
      <c r="E5" s="82"/>
      <c r="F5" s="82"/>
      <c r="J5" s="25" t="s">
        <v>75</v>
      </c>
      <c r="L5" s="25" t="s">
        <v>98</v>
      </c>
      <c r="M5" s="31">
        <v>1725</v>
      </c>
      <c r="O5" s="25" t="s">
        <v>93</v>
      </c>
      <c r="P5" s="31">
        <v>5500</v>
      </c>
      <c r="R5" s="35">
        <v>2023</v>
      </c>
      <c r="S5" s="35">
        <v>4</v>
      </c>
      <c r="T5" s="36"/>
      <c r="U5" s="36"/>
      <c r="V5" s="36"/>
      <c r="W5" s="36"/>
      <c r="X5" s="36"/>
      <c r="Y5" s="36"/>
      <c r="Z5" s="36"/>
      <c r="AA5" s="36"/>
      <c r="AB5" s="36"/>
      <c r="AC5"/>
      <c r="AD5" s="71" t="s">
        <v>136</v>
      </c>
      <c r="AE5" s="36" t="s">
        <v>137</v>
      </c>
    </row>
    <row r="6" spans="1:31" s="85" customFormat="1" ht="14.1" customHeight="1">
      <c r="A6" s="81" t="s">
        <v>462</v>
      </c>
      <c r="B6" s="88" t="s">
        <v>479</v>
      </c>
      <c r="C6" s="82"/>
      <c r="D6" s="82"/>
      <c r="E6" s="82"/>
      <c r="F6" s="82"/>
      <c r="J6" s="25" t="s">
        <v>76</v>
      </c>
      <c r="L6" s="25" t="s">
        <v>90</v>
      </c>
      <c r="M6" s="31">
        <v>300</v>
      </c>
      <c r="O6" s="25" t="s">
        <v>94</v>
      </c>
      <c r="P6" s="31">
        <v>5700</v>
      </c>
      <c r="R6" s="35">
        <v>2023</v>
      </c>
      <c r="S6" s="35">
        <v>5</v>
      </c>
      <c r="T6" s="36"/>
      <c r="U6" s="36"/>
      <c r="V6" s="36"/>
      <c r="W6" s="36"/>
      <c r="X6" s="36"/>
      <c r="Y6" s="36"/>
      <c r="Z6" s="36"/>
      <c r="AA6" s="36"/>
      <c r="AB6" s="36"/>
      <c r="AC6"/>
      <c r="AD6" s="71" t="s">
        <v>138</v>
      </c>
      <c r="AE6" s="36" t="s">
        <v>139</v>
      </c>
    </row>
    <row r="7" spans="1:31" s="85" customFormat="1" ht="14.1" customHeight="1">
      <c r="A7" s="81" t="s">
        <v>463</v>
      </c>
      <c r="B7" s="81" t="s">
        <v>470</v>
      </c>
      <c r="C7" s="82"/>
      <c r="D7" s="82"/>
      <c r="E7" s="82"/>
      <c r="F7" s="82"/>
      <c r="J7" s="25" t="s">
        <v>77</v>
      </c>
      <c r="L7" s="25" t="s">
        <v>415</v>
      </c>
      <c r="M7" s="31">
        <v>0</v>
      </c>
      <c r="O7" s="25" t="s">
        <v>95</v>
      </c>
      <c r="P7" s="31">
        <v>13000</v>
      </c>
      <c r="R7" s="35">
        <v>2023</v>
      </c>
      <c r="S7" s="35">
        <v>6</v>
      </c>
      <c r="T7" s="36"/>
      <c r="U7" s="36"/>
      <c r="V7" s="36"/>
      <c r="W7" s="36"/>
      <c r="X7" s="36"/>
      <c r="Y7" s="36"/>
      <c r="Z7" s="36"/>
      <c r="AA7" s="36"/>
      <c r="AB7" s="36"/>
      <c r="AC7"/>
      <c r="AD7" s="71" t="s">
        <v>140</v>
      </c>
      <c r="AE7" s="36" t="s">
        <v>141</v>
      </c>
    </row>
    <row r="8" spans="1:31" s="85" customFormat="1" ht="14.1" customHeight="1">
      <c r="A8" s="81" t="s">
        <v>464</v>
      </c>
      <c r="B8" s="105" t="s">
        <v>534</v>
      </c>
      <c r="C8" s="82"/>
      <c r="D8" s="82"/>
      <c r="E8" s="82"/>
      <c r="F8" s="82"/>
      <c r="J8" s="25" t="s">
        <v>78</v>
      </c>
      <c r="O8" s="25" t="s">
        <v>96</v>
      </c>
      <c r="P8" s="31">
        <v>0</v>
      </c>
      <c r="R8" s="35">
        <v>2023</v>
      </c>
      <c r="S8" s="35">
        <v>7</v>
      </c>
      <c r="T8" s="36"/>
      <c r="U8" s="36"/>
      <c r="V8" s="36"/>
      <c r="W8" s="36"/>
      <c r="X8" s="36"/>
      <c r="Y8" s="36"/>
      <c r="Z8" s="36"/>
      <c r="AA8" s="36"/>
      <c r="AB8" s="36"/>
      <c r="AC8"/>
      <c r="AD8" s="71" t="s">
        <v>142</v>
      </c>
      <c r="AE8" s="36" t="s">
        <v>143</v>
      </c>
    </row>
    <row r="9" spans="1:31" s="85" customFormat="1" ht="14.1" customHeight="1">
      <c r="A9" s="81" t="s">
        <v>465</v>
      </c>
      <c r="B9" s="83">
        <v>45240</v>
      </c>
      <c r="C9" s="82"/>
      <c r="D9" s="82"/>
      <c r="E9" s="82"/>
      <c r="F9" s="82"/>
      <c r="J9" s="25" t="s">
        <v>79</v>
      </c>
      <c r="O9" s="25" t="s">
        <v>97</v>
      </c>
      <c r="P9" s="31">
        <v>0</v>
      </c>
      <c r="R9" s="35">
        <v>2023</v>
      </c>
      <c r="S9" s="35">
        <v>8</v>
      </c>
      <c r="T9" s="36"/>
      <c r="U9" s="36"/>
      <c r="V9" s="36"/>
      <c r="W9" s="36"/>
      <c r="X9" s="36"/>
      <c r="Y9" s="36"/>
      <c r="Z9" s="36"/>
      <c r="AA9" s="36"/>
      <c r="AB9" s="36"/>
      <c r="AC9"/>
      <c r="AD9" s="71" t="s">
        <v>144</v>
      </c>
      <c r="AE9" s="36" t="s">
        <v>145</v>
      </c>
    </row>
    <row r="10" spans="1:31" s="85" customFormat="1" ht="14.1" customHeight="1">
      <c r="A10" s="84" t="s">
        <v>466</v>
      </c>
      <c r="B10" s="80" t="s">
        <v>467</v>
      </c>
      <c r="C10" s="80"/>
      <c r="D10" s="80"/>
      <c r="E10" s="80"/>
      <c r="F10" s="80"/>
      <c r="J10" s="25" t="s">
        <v>80</v>
      </c>
      <c r="R10" s="35">
        <v>2023</v>
      </c>
      <c r="S10" s="35">
        <v>9</v>
      </c>
      <c r="T10" s="36"/>
      <c r="U10" s="36"/>
      <c r="V10" s="36"/>
      <c r="W10" s="36"/>
      <c r="X10" s="36"/>
      <c r="Y10" s="36"/>
      <c r="Z10" s="36"/>
      <c r="AA10" s="36"/>
      <c r="AB10" s="36"/>
      <c r="AC10"/>
      <c r="AD10" s="71" t="s">
        <v>146</v>
      </c>
      <c r="AE10" s="36" t="s">
        <v>147</v>
      </c>
    </row>
    <row r="11" spans="1:31" s="85" customFormat="1" ht="14.1" customHeight="1">
      <c r="A11" s="81" t="s">
        <v>468</v>
      </c>
      <c r="B11" s="81" t="s">
        <v>469</v>
      </c>
      <c r="C11" s="99">
        <v>1</v>
      </c>
      <c r="D11" s="81"/>
      <c r="E11" s="81"/>
      <c r="F11" s="81"/>
      <c r="J11" s="25" t="s">
        <v>81</v>
      </c>
      <c r="L11" s="29" t="s">
        <v>88</v>
      </c>
      <c r="M11" s="29" t="s">
        <v>89</v>
      </c>
      <c r="O11" s="29" t="s">
        <v>101</v>
      </c>
      <c r="P11" s="33" t="s">
        <v>102</v>
      </c>
      <c r="R11" s="35">
        <v>2023</v>
      </c>
      <c r="S11" s="35">
        <v>10</v>
      </c>
      <c r="T11" s="36"/>
      <c r="U11" s="36"/>
      <c r="V11" s="36"/>
      <c r="W11" s="36"/>
      <c r="X11" s="36"/>
      <c r="Y11" s="36"/>
      <c r="Z11" s="36"/>
      <c r="AA11" s="36"/>
      <c r="AB11" s="36"/>
      <c r="AC11"/>
      <c r="AD11" s="71" t="s">
        <v>148</v>
      </c>
      <c r="AE11" s="36" t="s">
        <v>149</v>
      </c>
    </row>
    <row r="12" spans="1:31" s="85" customFormat="1" ht="14.1" customHeight="1">
      <c r="C12" s="94"/>
      <c r="J12" s="25" t="s">
        <v>82</v>
      </c>
      <c r="L12" s="25" t="s">
        <v>99</v>
      </c>
      <c r="M12" s="32">
        <v>3000</v>
      </c>
      <c r="O12" s="25" t="s">
        <v>103</v>
      </c>
      <c r="P12" s="34" t="s">
        <v>106</v>
      </c>
      <c r="R12" s="35">
        <v>2023</v>
      </c>
      <c r="S12" s="35">
        <v>11</v>
      </c>
      <c r="T12" s="36"/>
      <c r="U12" s="36"/>
      <c r="V12" s="36"/>
      <c r="W12" s="36"/>
      <c r="X12" s="36"/>
      <c r="Y12" s="36"/>
      <c r="Z12" s="36"/>
      <c r="AA12" s="36"/>
      <c r="AB12" s="36"/>
      <c r="AC12"/>
      <c r="AD12" s="72" t="s">
        <v>150</v>
      </c>
      <c r="AE12" s="36"/>
    </row>
    <row r="13" spans="1:31" s="85" customFormat="1" ht="14.1" customHeight="1">
      <c r="A13" s="86" t="s">
        <v>471</v>
      </c>
      <c r="B13" s="86" t="str" cm="1">
        <f t="array" aca="1" ref="B13" ca="1">LEFT(CELL("filename",$A$1),FIND("[",CELL("filename",$A$1),1)-1)</f>
        <v>N:\개인\@ 진행중 프로젝트(~ing)\@ 엑셀\v8.0\</v>
      </c>
      <c r="C13" s="98"/>
      <c r="D13" s="86"/>
      <c r="E13" s="86"/>
      <c r="F13" s="86"/>
      <c r="L13" s="25" t="s">
        <v>100</v>
      </c>
      <c r="M13" s="32">
        <v>2500</v>
      </c>
      <c r="O13" s="25" t="s">
        <v>104</v>
      </c>
      <c r="P13" s="34" t="s">
        <v>107</v>
      </c>
      <c r="R13" s="35">
        <v>2023</v>
      </c>
      <c r="S13" s="35">
        <v>12</v>
      </c>
      <c r="T13" s="36"/>
      <c r="U13" s="36"/>
      <c r="V13" s="36"/>
      <c r="W13" s="36"/>
      <c r="X13" s="36"/>
      <c r="Y13" s="36"/>
      <c r="Z13" s="36"/>
      <c r="AA13" s="36"/>
      <c r="AB13" s="36"/>
      <c r="AC13"/>
      <c r="AD13" s="73" t="s">
        <v>151</v>
      </c>
      <c r="AE13" s="36"/>
    </row>
    <row r="14" spans="1:31" s="85" customFormat="1" ht="14.1" customHeight="1">
      <c r="A14" s="85" t="s">
        <v>472</v>
      </c>
      <c r="C14" s="94"/>
      <c r="L14" s="25" t="s">
        <v>96</v>
      </c>
      <c r="M14" s="32">
        <v>0</v>
      </c>
      <c r="O14" s="25" t="s">
        <v>105</v>
      </c>
      <c r="P14" s="34" t="s">
        <v>108</v>
      </c>
      <c r="R14" s="36">
        <v>2024</v>
      </c>
      <c r="S14" s="36">
        <v>1</v>
      </c>
      <c r="T14" s="36"/>
      <c r="U14" s="36"/>
      <c r="V14" s="36"/>
      <c r="W14" s="36"/>
      <c r="X14" s="36"/>
      <c r="Y14" s="36"/>
      <c r="Z14" s="36"/>
      <c r="AA14" s="36"/>
      <c r="AB14" s="36"/>
      <c r="AC14"/>
      <c r="AD14" s="71" t="s">
        <v>152</v>
      </c>
      <c r="AE14" s="36" t="s">
        <v>153</v>
      </c>
    </row>
    <row r="15" spans="1:31" s="85" customFormat="1" ht="14.1" customHeight="1">
      <c r="A15" s="85" t="s">
        <v>478</v>
      </c>
      <c r="B15" s="85" t="str">
        <f ca="1">IF(B14="",B13,B14)</f>
        <v>N:\개인\@ 진행중 프로젝트(~ing)\@ 엑셀\v8.0\</v>
      </c>
      <c r="C15" s="35"/>
      <c r="L15" s="25" t="s">
        <v>97</v>
      </c>
      <c r="M15" s="32">
        <v>0</v>
      </c>
      <c r="R15" s="36">
        <v>2024</v>
      </c>
      <c r="S15" s="36">
        <v>2</v>
      </c>
      <c r="T15" s="36"/>
      <c r="U15" s="36"/>
      <c r="V15" s="36"/>
      <c r="W15" s="36"/>
      <c r="X15" s="36"/>
      <c r="Y15" s="36"/>
      <c r="Z15" s="36"/>
      <c r="AA15" s="36"/>
      <c r="AB15" s="36"/>
      <c r="AC15"/>
      <c r="AD15" s="71" t="s">
        <v>154</v>
      </c>
      <c r="AE15" s="36" t="s">
        <v>155</v>
      </c>
    </row>
    <row r="16" spans="1:31" s="85" customFormat="1" ht="14.1" customHeight="1">
      <c r="R16" s="36">
        <v>2024</v>
      </c>
      <c r="S16" s="36">
        <v>3</v>
      </c>
      <c r="T16" s="36"/>
      <c r="U16" s="36"/>
      <c r="V16" s="36"/>
      <c r="W16" s="36"/>
      <c r="X16" s="36"/>
      <c r="Y16" s="36"/>
      <c r="Z16" s="36"/>
      <c r="AA16" s="36"/>
      <c r="AB16" s="36"/>
      <c r="AC16"/>
      <c r="AD16" s="71" t="s">
        <v>156</v>
      </c>
      <c r="AE16" s="36" t="s">
        <v>157</v>
      </c>
    </row>
    <row r="17" spans="1:31" ht="14.1" customHeight="1">
      <c r="A17" s="89" t="s">
        <v>473</v>
      </c>
      <c r="B17" s="89" t="s">
        <v>48</v>
      </c>
      <c r="C17" s="87"/>
      <c r="D17" s="87"/>
      <c r="E17" s="87"/>
      <c r="F17" s="87"/>
      <c r="R17" s="36">
        <v>2024</v>
      </c>
      <c r="S17" s="36">
        <v>4</v>
      </c>
      <c r="T17" s="36"/>
      <c r="U17" s="36"/>
      <c r="V17" s="36"/>
      <c r="W17" s="36"/>
      <c r="X17" s="36"/>
      <c r="Y17" s="36"/>
      <c r="Z17" s="36"/>
      <c r="AA17" s="36"/>
      <c r="AB17" s="36"/>
      <c r="AD17" s="71" t="s">
        <v>158</v>
      </c>
      <c r="AE17" s="36" t="s">
        <v>159</v>
      </c>
    </row>
    <row r="18" spans="1:31" ht="14.1" customHeight="1">
      <c r="A18" s="92" t="s">
        <v>474</v>
      </c>
      <c r="B18" s="93" t="s">
        <v>46</v>
      </c>
      <c r="R18" s="36">
        <v>2024</v>
      </c>
      <c r="S18" s="36">
        <v>5</v>
      </c>
      <c r="T18" s="36"/>
      <c r="U18" s="36"/>
      <c r="V18" s="36"/>
      <c r="W18" s="36"/>
      <c r="X18" s="36"/>
      <c r="Y18" s="36"/>
      <c r="Z18" s="36"/>
      <c r="AA18" s="36"/>
      <c r="AB18" s="36"/>
      <c r="AD18" s="71" t="s">
        <v>160</v>
      </c>
      <c r="AE18" s="36" t="s">
        <v>161</v>
      </c>
    </row>
    <row r="19" spans="1:31" ht="14.1" customHeight="1">
      <c r="A19" s="92" t="s">
        <v>475</v>
      </c>
      <c r="B19" s="93" t="s">
        <v>47</v>
      </c>
      <c r="R19" s="36">
        <v>2024</v>
      </c>
      <c r="S19" s="36">
        <v>6</v>
      </c>
      <c r="T19" s="36"/>
      <c r="U19" s="36"/>
      <c r="V19" s="36"/>
      <c r="W19" s="36"/>
      <c r="X19" s="36"/>
      <c r="Y19" s="36"/>
      <c r="Z19" s="36"/>
      <c r="AA19" s="36"/>
      <c r="AB19" s="36"/>
      <c r="AD19" s="71" t="s">
        <v>162</v>
      </c>
      <c r="AE19" s="36" t="s">
        <v>163</v>
      </c>
    </row>
    <row r="20" spans="1:31" ht="14.1" customHeight="1">
      <c r="A20" s="90" t="s">
        <v>477</v>
      </c>
      <c r="B20" s="91" t="s">
        <v>414</v>
      </c>
      <c r="R20" s="36">
        <v>2024</v>
      </c>
      <c r="S20" s="36">
        <v>7</v>
      </c>
      <c r="T20" s="36"/>
      <c r="U20" s="36"/>
      <c r="V20" s="36"/>
      <c r="W20" s="36"/>
      <c r="X20" s="36"/>
      <c r="Y20" s="36"/>
      <c r="Z20" s="36"/>
      <c r="AA20" s="36"/>
      <c r="AB20" s="36"/>
      <c r="AD20" s="71" t="s">
        <v>164</v>
      </c>
      <c r="AE20" s="36" t="s">
        <v>165</v>
      </c>
    </row>
    <row r="21" spans="1:31" ht="14.1" customHeight="1">
      <c r="A21" s="85" t="s">
        <v>476</v>
      </c>
      <c r="B21" s="85" t="str">
        <f ca="1">DefaultPath&amp;B20&amp;B17</f>
        <v>N:\개인\@ 진행중 프로젝트(~ing)\@ 엑셀\v8.0\DB\vDB_se8_2023.accdb</v>
      </c>
      <c r="R21" s="36">
        <v>2024</v>
      </c>
      <c r="S21" s="36">
        <v>8</v>
      </c>
      <c r="T21" s="36"/>
      <c r="U21" s="36"/>
      <c r="V21" s="36"/>
      <c r="W21" s="36"/>
      <c r="X21" s="36"/>
      <c r="Y21" s="36"/>
      <c r="Z21" s="36"/>
      <c r="AA21" s="36"/>
      <c r="AB21" s="36"/>
      <c r="AD21" s="71" t="s">
        <v>166</v>
      </c>
      <c r="AE21" s="36" t="s">
        <v>167</v>
      </c>
    </row>
    <row r="22" spans="1:31" ht="14.1" customHeight="1">
      <c r="R22" s="36">
        <v>2024</v>
      </c>
      <c r="S22" s="36">
        <v>9</v>
      </c>
      <c r="T22" s="36"/>
      <c r="U22" s="36"/>
      <c r="V22" s="36"/>
      <c r="W22" s="36"/>
      <c r="X22" s="36"/>
      <c r="Y22" s="36"/>
      <c r="Z22" s="36"/>
      <c r="AA22" s="36"/>
      <c r="AB22" s="36"/>
      <c r="AD22" s="71" t="s">
        <v>168</v>
      </c>
      <c r="AE22" s="36" t="s">
        <v>169</v>
      </c>
    </row>
    <row r="23" spans="1:31" ht="14.1" customHeight="1">
      <c r="R23" s="36">
        <v>2024</v>
      </c>
      <c r="S23" s="36">
        <v>10</v>
      </c>
      <c r="T23" s="36"/>
      <c r="U23" s="36"/>
      <c r="V23" s="36"/>
      <c r="W23" s="36"/>
      <c r="X23" s="36"/>
      <c r="Y23" s="36"/>
      <c r="Z23" s="36"/>
      <c r="AA23" s="36"/>
      <c r="AB23" s="36"/>
      <c r="AD23" s="71" t="s">
        <v>170</v>
      </c>
      <c r="AE23" s="74" t="s">
        <v>171</v>
      </c>
    </row>
    <row r="24" spans="1:31" ht="14.1" customHeight="1">
      <c r="R24" s="36">
        <v>2024</v>
      </c>
      <c r="S24" s="36">
        <v>11</v>
      </c>
      <c r="T24" s="36"/>
      <c r="U24" s="36"/>
      <c r="V24" s="36"/>
      <c r="W24" s="36"/>
      <c r="X24" s="36"/>
      <c r="Y24" s="36"/>
      <c r="Z24" s="36"/>
      <c r="AA24" s="36"/>
      <c r="AB24" s="36"/>
      <c r="AD24" s="71" t="s">
        <v>172</v>
      </c>
      <c r="AE24" s="36" t="s">
        <v>173</v>
      </c>
    </row>
    <row r="25" spans="1:31" ht="14.1" customHeight="1" thickBot="1">
      <c r="A25" s="131" t="s">
        <v>66</v>
      </c>
      <c r="B25" s="131"/>
      <c r="C25" s="131"/>
      <c r="D25" s="26"/>
      <c r="E25" s="26"/>
      <c r="F25" s="26"/>
      <c r="G25" s="26"/>
      <c r="H25" s="95" t="s">
        <v>49</v>
      </c>
      <c r="I25" s="95" t="s">
        <v>50</v>
      </c>
      <c r="J25" s="96" t="s">
        <v>528</v>
      </c>
      <c r="K25" s="96" t="s">
        <v>527</v>
      </c>
      <c r="L25" s="97" t="s">
        <v>526</v>
      </c>
      <c r="M25" s="97" t="s">
        <v>524</v>
      </c>
      <c r="O25" s="25" t="s">
        <v>83</v>
      </c>
      <c r="R25" s="36">
        <v>2024</v>
      </c>
      <c r="S25" s="36">
        <v>12</v>
      </c>
      <c r="T25" s="36"/>
      <c r="U25" s="36"/>
      <c r="V25" s="36"/>
      <c r="W25" s="36"/>
      <c r="X25" s="36"/>
      <c r="Y25" s="36"/>
      <c r="Z25" s="36"/>
      <c r="AA25" s="36"/>
      <c r="AB25" s="36"/>
      <c r="AD25" s="71" t="s">
        <v>174</v>
      </c>
      <c r="AE25" s="36" t="s">
        <v>175</v>
      </c>
    </row>
    <row r="26" spans="1:31" ht="14.1" customHeight="1">
      <c r="A26" s="131" t="s">
        <v>67</v>
      </c>
      <c r="B26" s="131"/>
      <c r="C26" s="131"/>
      <c r="D26" s="26"/>
      <c r="E26" s="27"/>
      <c r="F26" s="27"/>
      <c r="G26" s="27"/>
      <c r="H26" s="17" t="s">
        <v>51</v>
      </c>
      <c r="I26" s="17">
        <v>1</v>
      </c>
      <c r="J26" s="18">
        <f>1.98%+2%</f>
        <v>3.9800000000000002E-2</v>
      </c>
      <c r="K26" s="18">
        <f>3.25%+2%</f>
        <v>5.2500000000000005E-2</v>
      </c>
      <c r="L26" s="18">
        <v>1.9800000000000002E-2</v>
      </c>
      <c r="M26" s="19">
        <v>3.0249999999999999E-2</v>
      </c>
      <c r="O26" s="25" t="s">
        <v>84</v>
      </c>
      <c r="R26" s="36">
        <v>2025</v>
      </c>
      <c r="S26" s="36">
        <v>1</v>
      </c>
      <c r="T26" s="36"/>
      <c r="U26" s="36"/>
      <c r="V26" s="36"/>
      <c r="W26" s="36"/>
      <c r="X26" s="36"/>
      <c r="Y26" s="36"/>
      <c r="Z26" s="36"/>
      <c r="AA26" s="36"/>
      <c r="AB26" s="36"/>
      <c r="AD26" s="71" t="s">
        <v>176</v>
      </c>
      <c r="AE26" s="36" t="s">
        <v>177</v>
      </c>
    </row>
    <row r="27" spans="1:31" ht="14.1" customHeight="1">
      <c r="A27" s="131" t="s">
        <v>68</v>
      </c>
      <c r="B27" s="131"/>
      <c r="C27" s="131"/>
      <c r="D27" s="131"/>
      <c r="E27" s="27"/>
      <c r="F27" s="27"/>
      <c r="G27" s="27"/>
      <c r="H27" s="17" t="s">
        <v>52</v>
      </c>
      <c r="I27" s="17">
        <v>2</v>
      </c>
      <c r="J27" s="18">
        <v>0.108</v>
      </c>
      <c r="K27" s="18">
        <v>0.108</v>
      </c>
      <c r="L27" s="18">
        <v>3.3000000000000002E-2</v>
      </c>
      <c r="M27" s="19">
        <v>3.3000000000000002E-2</v>
      </c>
      <c r="O27" s="25" t="s">
        <v>85</v>
      </c>
      <c r="R27" s="36">
        <v>2025</v>
      </c>
      <c r="S27" s="36">
        <v>2</v>
      </c>
      <c r="T27" s="36"/>
      <c r="U27" s="36"/>
      <c r="V27" s="36"/>
      <c r="W27" s="36"/>
      <c r="X27" s="36"/>
      <c r="Y27" s="36"/>
      <c r="Z27" s="36"/>
      <c r="AA27" s="36"/>
      <c r="AB27" s="36"/>
      <c r="AD27" s="71" t="s">
        <v>178</v>
      </c>
      <c r="AE27" s="36" t="s">
        <v>179</v>
      </c>
    </row>
    <row r="28" spans="1:31" ht="14.1" customHeight="1">
      <c r="A28" s="131" t="s">
        <v>69</v>
      </c>
      <c r="B28" s="131"/>
      <c r="C28" s="131"/>
      <c r="D28" s="131"/>
      <c r="E28" s="27"/>
      <c r="F28" s="100"/>
      <c r="G28" s="27"/>
      <c r="H28" s="17" t="s">
        <v>53</v>
      </c>
      <c r="I28" s="17">
        <v>3</v>
      </c>
      <c r="J28" s="18">
        <v>0</v>
      </c>
      <c r="K28" s="18">
        <v>0</v>
      </c>
      <c r="L28" s="18">
        <v>0</v>
      </c>
      <c r="M28" s="19">
        <v>0</v>
      </c>
      <c r="O28" s="25" t="s">
        <v>86</v>
      </c>
      <c r="R28" s="36">
        <v>2025</v>
      </c>
      <c r="S28" s="36">
        <v>3</v>
      </c>
      <c r="T28" s="36"/>
      <c r="U28" s="36"/>
      <c r="V28" s="36"/>
      <c r="W28" s="36"/>
      <c r="X28" s="36"/>
      <c r="Y28" s="36"/>
      <c r="Z28" s="36"/>
      <c r="AA28" s="36"/>
      <c r="AB28" s="36"/>
      <c r="AD28" s="71" t="s">
        <v>180</v>
      </c>
      <c r="AE28" s="36" t="s">
        <v>181</v>
      </c>
    </row>
    <row r="29" spans="1:31" ht="14.1" customHeight="1">
      <c r="A29" s="131" t="s">
        <v>71</v>
      </c>
      <c r="B29" s="131"/>
      <c r="C29" s="131"/>
      <c r="D29" s="131"/>
      <c r="E29" s="26"/>
      <c r="F29" s="27"/>
      <c r="G29" s="27"/>
      <c r="H29" s="17" t="s">
        <v>54</v>
      </c>
      <c r="I29" s="17">
        <v>4</v>
      </c>
      <c r="J29" s="18">
        <v>0</v>
      </c>
      <c r="K29" s="18">
        <v>0</v>
      </c>
      <c r="L29" s="18">
        <v>0</v>
      </c>
      <c r="M29" s="20">
        <v>0</v>
      </c>
      <c r="R29" s="36">
        <v>2025</v>
      </c>
      <c r="S29" s="36">
        <v>4</v>
      </c>
      <c r="T29" s="36"/>
      <c r="U29" s="36"/>
      <c r="V29" s="36"/>
      <c r="W29" s="36"/>
      <c r="X29" s="36"/>
      <c r="Y29" s="36"/>
      <c r="Z29" s="36"/>
      <c r="AA29" s="36"/>
      <c r="AB29" s="36"/>
      <c r="AD29" s="71" t="s">
        <v>182</v>
      </c>
      <c r="AE29" s="36" t="s">
        <v>183</v>
      </c>
    </row>
    <row r="30" spans="1:31" ht="14.1" customHeight="1">
      <c r="H30" s="17" t="s">
        <v>55</v>
      </c>
      <c r="I30" s="17">
        <v>5</v>
      </c>
      <c r="J30" s="18">
        <v>3.9800000000000002E-2</v>
      </c>
      <c r="K30" s="18">
        <v>0</v>
      </c>
      <c r="L30" s="18">
        <v>3.3000000000000002E-2</v>
      </c>
      <c r="M30" s="19">
        <v>0</v>
      </c>
      <c r="R30" s="36">
        <v>2025</v>
      </c>
      <c r="S30" s="36">
        <v>5</v>
      </c>
      <c r="T30" s="36"/>
      <c r="U30" s="36"/>
      <c r="V30" s="36"/>
      <c r="W30" s="36"/>
      <c r="X30" s="36"/>
      <c r="Y30" s="36"/>
      <c r="Z30" s="36"/>
      <c r="AA30" s="36"/>
      <c r="AB30" s="36"/>
      <c r="AD30" s="71" t="s">
        <v>184</v>
      </c>
      <c r="AE30" s="36" t="s">
        <v>185</v>
      </c>
    </row>
    <row r="31" spans="1:31" ht="14.1" customHeight="1">
      <c r="A31" s="132" t="s">
        <v>58</v>
      </c>
      <c r="B31" s="133"/>
      <c r="C31" s="130"/>
      <c r="D31" s="130"/>
      <c r="E31" s="130"/>
      <c r="F31" s="130"/>
      <c r="H31" s="17" t="s">
        <v>56</v>
      </c>
      <c r="I31" s="17">
        <v>6</v>
      </c>
      <c r="J31" s="18">
        <v>8.6900000000000005E-2</v>
      </c>
      <c r="K31" s="18">
        <v>3.1899999999999998E-2</v>
      </c>
      <c r="L31" s="18">
        <v>3.3000000000000002E-2</v>
      </c>
      <c r="M31" s="19">
        <v>3.3000000000000002E-2</v>
      </c>
      <c r="O31" s="25" t="s">
        <v>1</v>
      </c>
      <c r="R31" s="36">
        <v>2025</v>
      </c>
      <c r="S31" s="36">
        <v>6</v>
      </c>
      <c r="T31" s="36"/>
      <c r="U31" s="36"/>
      <c r="V31" s="36"/>
      <c r="W31" s="36"/>
      <c r="X31" s="36"/>
      <c r="Y31" s="36"/>
      <c r="Z31" s="36"/>
      <c r="AA31" s="36"/>
      <c r="AB31" s="36"/>
      <c r="AD31" s="71" t="s">
        <v>186</v>
      </c>
      <c r="AE31" s="36" t="s">
        <v>187</v>
      </c>
    </row>
    <row r="32" spans="1:31" ht="14.1" customHeight="1">
      <c r="A32" s="23"/>
      <c r="B32" s="24"/>
      <c r="C32" s="130"/>
      <c r="D32" s="130"/>
      <c r="E32" s="130"/>
      <c r="F32" s="130"/>
      <c r="H32" s="21" t="s">
        <v>57</v>
      </c>
      <c r="I32" s="21">
        <v>7</v>
      </c>
      <c r="J32" s="22">
        <v>0</v>
      </c>
      <c r="K32" s="22">
        <v>0</v>
      </c>
      <c r="L32" s="22">
        <v>0</v>
      </c>
      <c r="M32" s="19">
        <v>0</v>
      </c>
      <c r="O32" s="25" t="s">
        <v>87</v>
      </c>
      <c r="R32" s="36">
        <v>2025</v>
      </c>
      <c r="S32" s="36">
        <v>7</v>
      </c>
      <c r="T32" s="36"/>
      <c r="U32" s="36"/>
      <c r="V32" s="36"/>
      <c r="W32" s="36"/>
      <c r="X32" s="36"/>
      <c r="Y32" s="36"/>
      <c r="Z32" s="36"/>
      <c r="AA32" s="36"/>
      <c r="AB32" s="36"/>
      <c r="AD32" s="71" t="s">
        <v>188</v>
      </c>
      <c r="AE32" s="36" t="s">
        <v>189</v>
      </c>
    </row>
    <row r="33" spans="1:31" ht="14.1" customHeight="1">
      <c r="A33" s="23"/>
      <c r="B33" s="24"/>
      <c r="C33" s="130"/>
      <c r="D33" s="130"/>
      <c r="E33" s="130"/>
      <c r="F33" s="130"/>
      <c r="H33" s="21" t="s">
        <v>525</v>
      </c>
      <c r="I33" s="21">
        <v>8</v>
      </c>
      <c r="J33" s="22">
        <v>0</v>
      </c>
      <c r="K33" s="22">
        <v>0</v>
      </c>
      <c r="L33" s="22">
        <v>0</v>
      </c>
      <c r="M33" s="19">
        <v>0</v>
      </c>
      <c r="O33" s="25" t="s">
        <v>70</v>
      </c>
      <c r="R33" s="36">
        <v>2025</v>
      </c>
      <c r="S33" s="36">
        <v>8</v>
      </c>
      <c r="T33" s="36"/>
      <c r="U33" s="36"/>
      <c r="V33" s="36"/>
      <c r="W33" s="36"/>
      <c r="X33" s="36"/>
      <c r="Y33" s="36"/>
      <c r="Z33" s="36"/>
      <c r="AA33" s="36"/>
      <c r="AB33" s="36"/>
      <c r="AD33" s="71" t="s">
        <v>190</v>
      </c>
      <c r="AE33" s="36" t="s">
        <v>191</v>
      </c>
    </row>
    <row r="34" spans="1:31" ht="14.1" customHeight="1">
      <c r="A34" s="23"/>
      <c r="B34" s="24"/>
      <c r="C34" s="130"/>
      <c r="D34" s="130"/>
      <c r="E34" s="130"/>
      <c r="F34" s="130"/>
      <c r="R34" s="36">
        <v>2025</v>
      </c>
      <c r="S34" s="36">
        <v>9</v>
      </c>
      <c r="T34" s="36"/>
      <c r="U34" s="36"/>
      <c r="V34" s="36"/>
      <c r="W34" s="36"/>
      <c r="X34" s="36"/>
      <c r="Y34" s="36"/>
      <c r="Z34" s="36"/>
      <c r="AA34" s="36"/>
      <c r="AB34" s="36"/>
      <c r="AD34" s="71" t="s">
        <v>192</v>
      </c>
      <c r="AE34" s="36" t="s">
        <v>193</v>
      </c>
    </row>
    <row r="35" spans="1:31" ht="14.1" customHeight="1">
      <c r="A35" s="23"/>
      <c r="B35" s="24"/>
      <c r="C35" s="130"/>
      <c r="D35" s="130"/>
      <c r="E35" s="130"/>
      <c r="F35" s="130"/>
      <c r="R35" s="36">
        <v>2025</v>
      </c>
      <c r="S35" s="36">
        <v>10</v>
      </c>
      <c r="T35" s="36"/>
      <c r="U35" s="36"/>
      <c r="V35" s="36"/>
      <c r="W35" s="36"/>
      <c r="X35" s="36"/>
      <c r="Y35" s="36"/>
      <c r="Z35" s="36"/>
      <c r="AA35" s="36"/>
      <c r="AB35" s="36"/>
      <c r="AD35" s="71" t="s">
        <v>194</v>
      </c>
      <c r="AE35" s="36" t="s">
        <v>195</v>
      </c>
    </row>
    <row r="36" spans="1:31" ht="14.1" customHeight="1">
      <c r="A36" s="101" t="s">
        <v>59</v>
      </c>
      <c r="B36" s="102" t="s">
        <v>60</v>
      </c>
      <c r="C36" s="128" t="s">
        <v>61</v>
      </c>
      <c r="D36" s="129"/>
      <c r="E36" s="129"/>
      <c r="F36" s="129"/>
      <c r="R36" s="36">
        <v>2025</v>
      </c>
      <c r="S36" s="36">
        <v>11</v>
      </c>
      <c r="T36" s="36"/>
      <c r="U36" s="36"/>
      <c r="V36" s="36"/>
      <c r="W36" s="36"/>
      <c r="X36" s="36"/>
      <c r="Y36" s="36"/>
      <c r="Z36" s="36"/>
      <c r="AA36" s="36"/>
      <c r="AB36" s="36"/>
      <c r="AD36" s="71" t="s">
        <v>196</v>
      </c>
      <c r="AE36" s="36" t="s">
        <v>197</v>
      </c>
    </row>
    <row r="37" spans="1:31" ht="14.1" customHeight="1">
      <c r="A37" s="124" t="s">
        <v>62</v>
      </c>
      <c r="B37" s="125" t="s">
        <v>63</v>
      </c>
      <c r="C37" s="126" t="s">
        <v>64</v>
      </c>
      <c r="D37" s="127"/>
      <c r="E37" s="127"/>
      <c r="F37" s="127"/>
      <c r="R37" s="36">
        <v>2025</v>
      </c>
      <c r="S37" s="36">
        <v>12</v>
      </c>
      <c r="T37" s="36"/>
      <c r="U37" s="36"/>
      <c r="V37" s="36"/>
      <c r="W37" s="36"/>
      <c r="X37" s="36"/>
      <c r="Y37" s="36"/>
      <c r="Z37" s="36"/>
      <c r="AA37" s="36"/>
      <c r="AB37" s="36"/>
      <c r="AD37" s="71" t="s">
        <v>198</v>
      </c>
      <c r="AE37" s="36" t="s">
        <v>199</v>
      </c>
    </row>
    <row r="38" spans="1:31" ht="14.1" customHeight="1">
      <c r="A38" s="124"/>
      <c r="B38" s="125"/>
      <c r="C38" s="126"/>
      <c r="D38" s="127"/>
      <c r="E38" s="127"/>
      <c r="F38" s="127"/>
      <c r="AD38" s="71" t="s">
        <v>200</v>
      </c>
      <c r="AE38" s="36" t="s">
        <v>201</v>
      </c>
    </row>
    <row r="39" spans="1:31" ht="14.1" customHeight="1">
      <c r="A39" s="124"/>
      <c r="B39" s="125"/>
      <c r="C39" s="126"/>
      <c r="D39" s="127"/>
      <c r="E39" s="127"/>
      <c r="F39" s="127"/>
      <c r="AD39" s="71" t="s">
        <v>202</v>
      </c>
      <c r="AE39" s="36" t="s">
        <v>203</v>
      </c>
    </row>
    <row r="40" spans="1:31" ht="14.1" customHeight="1">
      <c r="A40" s="124"/>
      <c r="B40" s="125"/>
      <c r="C40" s="126"/>
      <c r="D40" s="127"/>
      <c r="E40" s="127"/>
      <c r="F40" s="127"/>
      <c r="AD40" s="71" t="s">
        <v>204</v>
      </c>
      <c r="AE40" s="36" t="s">
        <v>205</v>
      </c>
    </row>
    <row r="41" spans="1:31" ht="14.1" customHeight="1">
      <c r="A41" s="122" t="s">
        <v>65</v>
      </c>
      <c r="B41" s="123"/>
      <c r="C41" s="123"/>
      <c r="D41" s="123"/>
      <c r="E41" s="123"/>
      <c r="F41" s="123"/>
      <c r="AD41" s="71" t="s">
        <v>206</v>
      </c>
      <c r="AE41" s="36" t="s">
        <v>207</v>
      </c>
    </row>
    <row r="42" spans="1:31" ht="14.1" customHeight="1">
      <c r="A42" s="122"/>
      <c r="B42" s="123"/>
      <c r="C42" s="123"/>
      <c r="D42" s="123"/>
      <c r="E42" s="123"/>
      <c r="F42" s="123"/>
      <c r="AD42" s="71" t="s">
        <v>208</v>
      </c>
      <c r="AE42" s="36" t="s">
        <v>209</v>
      </c>
    </row>
    <row r="43" spans="1:31" ht="14.1" customHeight="1">
      <c r="H43" s="116" t="s">
        <v>537</v>
      </c>
      <c r="J43" s="43" t="s">
        <v>538</v>
      </c>
      <c r="AD43" s="71" t="s">
        <v>210</v>
      </c>
      <c r="AE43" s="36" t="s">
        <v>211</v>
      </c>
    </row>
    <row r="44" spans="1:31" ht="14.1" customHeight="1">
      <c r="H44" s="113" t="s">
        <v>374</v>
      </c>
      <c r="J44" s="43" t="s">
        <v>539</v>
      </c>
      <c r="AD44" s="71" t="s">
        <v>212</v>
      </c>
      <c r="AE44" s="36" t="s">
        <v>213</v>
      </c>
    </row>
    <row r="45" spans="1:31" ht="14.1" customHeight="1">
      <c r="H45" s="113" t="s">
        <v>13</v>
      </c>
      <c r="J45" s="43" t="s">
        <v>540</v>
      </c>
      <c r="AD45" s="71" t="s">
        <v>214</v>
      </c>
      <c r="AE45" s="36" t="s">
        <v>215</v>
      </c>
    </row>
    <row r="46" spans="1:31" ht="14.1" customHeight="1">
      <c r="H46" s="114" t="s">
        <v>387</v>
      </c>
      <c r="AD46" s="71" t="s">
        <v>216</v>
      </c>
      <c r="AE46" s="36" t="s">
        <v>217</v>
      </c>
    </row>
    <row r="47" spans="1:31" ht="14.1" customHeight="1">
      <c r="H47" s="113" t="s">
        <v>375</v>
      </c>
      <c r="AD47" s="71" t="s">
        <v>218</v>
      </c>
      <c r="AE47" s="36" t="s">
        <v>219</v>
      </c>
    </row>
    <row r="48" spans="1:31" ht="14.1" customHeight="1">
      <c r="H48" s="115" t="s">
        <v>10</v>
      </c>
      <c r="AD48" s="71" t="s">
        <v>220</v>
      </c>
      <c r="AE48" s="36" t="s">
        <v>221</v>
      </c>
    </row>
    <row r="49" spans="30:31" ht="14.1" customHeight="1">
      <c r="AD49" s="71" t="s">
        <v>222</v>
      </c>
      <c r="AE49" s="36" t="s">
        <v>223</v>
      </c>
    </row>
    <row r="50" spans="30:31" ht="14.1" customHeight="1">
      <c r="AD50" s="71" t="s">
        <v>224</v>
      </c>
      <c r="AE50" s="36" t="s">
        <v>225</v>
      </c>
    </row>
    <row r="51" spans="30:31" ht="14.1" customHeight="1">
      <c r="AD51" s="71" t="s">
        <v>226</v>
      </c>
      <c r="AE51" s="36" t="s">
        <v>227</v>
      </c>
    </row>
    <row r="52" spans="30:31" ht="14.1" customHeight="1">
      <c r="AD52" s="71" t="s">
        <v>228</v>
      </c>
      <c r="AE52" s="36" t="s">
        <v>229</v>
      </c>
    </row>
    <row r="53" spans="30:31" ht="14.1" customHeight="1">
      <c r="AD53" s="71" t="s">
        <v>230</v>
      </c>
      <c r="AE53" s="36" t="s">
        <v>231</v>
      </c>
    </row>
    <row r="54" spans="30:31" ht="14.1" customHeight="1">
      <c r="AD54" s="71" t="s">
        <v>232</v>
      </c>
      <c r="AE54" s="36" t="s">
        <v>233</v>
      </c>
    </row>
    <row r="55" spans="30:31" ht="14.1" customHeight="1">
      <c r="AD55" s="71" t="s">
        <v>234</v>
      </c>
      <c r="AE55" s="36" t="s">
        <v>235</v>
      </c>
    </row>
    <row r="56" spans="30:31" ht="14.1" customHeight="1">
      <c r="AD56" s="71" t="s">
        <v>236</v>
      </c>
      <c r="AE56" s="36" t="s">
        <v>237</v>
      </c>
    </row>
    <row r="57" spans="30:31" ht="14.1" customHeight="1">
      <c r="AD57" s="71" t="s">
        <v>238</v>
      </c>
      <c r="AE57" s="36" t="s">
        <v>239</v>
      </c>
    </row>
    <row r="58" spans="30:31" ht="14.1" customHeight="1">
      <c r="AD58" s="71" t="s">
        <v>240</v>
      </c>
      <c r="AE58" s="36" t="s">
        <v>241</v>
      </c>
    </row>
    <row r="59" spans="30:31" ht="14.1" customHeight="1">
      <c r="AD59" s="71" t="s">
        <v>242</v>
      </c>
      <c r="AE59" s="36" t="s">
        <v>243</v>
      </c>
    </row>
    <row r="60" spans="30:31" ht="14.1" customHeight="1">
      <c r="AD60" s="71" t="s">
        <v>244</v>
      </c>
      <c r="AE60" s="36" t="s">
        <v>245</v>
      </c>
    </row>
    <row r="61" spans="30:31" ht="14.1" customHeight="1">
      <c r="AD61" s="71" t="s">
        <v>246</v>
      </c>
      <c r="AE61" s="36" t="s">
        <v>247</v>
      </c>
    </row>
    <row r="62" spans="30:31" ht="14.1" customHeight="1">
      <c r="AD62" s="71" t="s">
        <v>248</v>
      </c>
      <c r="AE62" s="36" t="s">
        <v>249</v>
      </c>
    </row>
    <row r="63" spans="30:31" ht="14.1" customHeight="1">
      <c r="AD63" s="71" t="s">
        <v>250</v>
      </c>
      <c r="AE63" s="36" t="s">
        <v>251</v>
      </c>
    </row>
    <row r="64" spans="30:31" ht="14.1" customHeight="1">
      <c r="AD64" s="71" t="s">
        <v>252</v>
      </c>
      <c r="AE64" s="36" t="s">
        <v>253</v>
      </c>
    </row>
    <row r="65" spans="30:31" ht="14.1" customHeight="1">
      <c r="AD65" s="71" t="s">
        <v>254</v>
      </c>
      <c r="AE65" s="36" t="s">
        <v>255</v>
      </c>
    </row>
    <row r="66" spans="30:31" ht="14.1" customHeight="1">
      <c r="AD66" s="71" t="s">
        <v>256</v>
      </c>
      <c r="AE66" s="36" t="s">
        <v>257</v>
      </c>
    </row>
    <row r="67" spans="30:31" ht="14.1" customHeight="1">
      <c r="AD67" s="71" t="s">
        <v>258</v>
      </c>
      <c r="AE67" s="36" t="s">
        <v>259</v>
      </c>
    </row>
    <row r="68" spans="30:31" ht="14.1" customHeight="1">
      <c r="AD68" s="71" t="s">
        <v>260</v>
      </c>
      <c r="AE68" s="36" t="s">
        <v>261</v>
      </c>
    </row>
    <row r="69" spans="30:31" ht="14.1" customHeight="1">
      <c r="AD69" s="71" t="s">
        <v>262</v>
      </c>
      <c r="AE69" s="36" t="s">
        <v>263</v>
      </c>
    </row>
    <row r="70" spans="30:31" ht="14.1" customHeight="1">
      <c r="AD70" s="71" t="s">
        <v>264</v>
      </c>
      <c r="AE70" s="36" t="s">
        <v>265</v>
      </c>
    </row>
    <row r="71" spans="30:31" ht="14.1" customHeight="1">
      <c r="AD71" s="71" t="s">
        <v>266</v>
      </c>
      <c r="AE71" s="36" t="s">
        <v>267</v>
      </c>
    </row>
    <row r="72" spans="30:31" ht="14.1" customHeight="1">
      <c r="AD72" s="71" t="s">
        <v>268</v>
      </c>
      <c r="AE72" s="36" t="s">
        <v>269</v>
      </c>
    </row>
    <row r="73" spans="30:31" ht="14.1" customHeight="1">
      <c r="AD73" s="71" t="s">
        <v>270</v>
      </c>
      <c r="AE73" s="36" t="s">
        <v>271</v>
      </c>
    </row>
    <row r="74" spans="30:31" ht="14.1" customHeight="1">
      <c r="AD74" s="71" t="s">
        <v>272</v>
      </c>
      <c r="AE74" s="36" t="s">
        <v>273</v>
      </c>
    </row>
    <row r="75" spans="30:31" ht="14.1" customHeight="1">
      <c r="AD75" s="71" t="s">
        <v>274</v>
      </c>
      <c r="AE75" s="36" t="s">
        <v>275</v>
      </c>
    </row>
    <row r="76" spans="30:31" ht="14.1" customHeight="1">
      <c r="AD76" s="71" t="s">
        <v>276</v>
      </c>
      <c r="AE76" s="36" t="s">
        <v>277</v>
      </c>
    </row>
    <row r="77" spans="30:31" ht="14.1" customHeight="1">
      <c r="AD77" s="71" t="s">
        <v>278</v>
      </c>
      <c r="AE77" s="36" t="s">
        <v>279</v>
      </c>
    </row>
    <row r="78" spans="30:31" ht="14.1" customHeight="1">
      <c r="AD78" s="71" t="s">
        <v>280</v>
      </c>
      <c r="AE78" s="36" t="s">
        <v>281</v>
      </c>
    </row>
    <row r="79" spans="30:31" ht="14.1" customHeight="1">
      <c r="AD79" s="71" t="s">
        <v>282</v>
      </c>
      <c r="AE79" s="36" t="s">
        <v>283</v>
      </c>
    </row>
    <row r="80" spans="30:31" ht="14.1" customHeight="1">
      <c r="AD80" s="71" t="s">
        <v>284</v>
      </c>
      <c r="AE80" s="36" t="s">
        <v>285</v>
      </c>
    </row>
    <row r="81" spans="30:31" ht="14.1" customHeight="1">
      <c r="AD81" s="71" t="s">
        <v>286</v>
      </c>
      <c r="AE81" s="36" t="s">
        <v>287</v>
      </c>
    </row>
    <row r="82" spans="30:31" ht="14.1" customHeight="1">
      <c r="AD82" s="71" t="s">
        <v>288</v>
      </c>
      <c r="AE82" s="36" t="s">
        <v>289</v>
      </c>
    </row>
    <row r="83" spans="30:31" ht="14.1" customHeight="1">
      <c r="AD83" s="71" t="s">
        <v>290</v>
      </c>
      <c r="AE83" s="36" t="s">
        <v>291</v>
      </c>
    </row>
    <row r="84" spans="30:31" ht="14.1" customHeight="1">
      <c r="AD84" s="71" t="s">
        <v>292</v>
      </c>
      <c r="AE84" s="36" t="s">
        <v>293</v>
      </c>
    </row>
    <row r="85" spans="30:31" ht="14.1" customHeight="1">
      <c r="AD85" s="71" t="s">
        <v>294</v>
      </c>
      <c r="AE85" s="36" t="s">
        <v>295</v>
      </c>
    </row>
    <row r="86" spans="30:31" ht="14.1" customHeight="1">
      <c r="AD86" s="71" t="s">
        <v>296</v>
      </c>
      <c r="AE86" s="36" t="s">
        <v>297</v>
      </c>
    </row>
    <row r="87" spans="30:31" ht="14.1" customHeight="1">
      <c r="AD87" s="71" t="s">
        <v>128</v>
      </c>
      <c r="AE87" s="36" t="s">
        <v>129</v>
      </c>
    </row>
    <row r="88" spans="30:31" ht="14.1" customHeight="1">
      <c r="AD88" s="71" t="s">
        <v>298</v>
      </c>
      <c r="AE88" s="36" t="s">
        <v>327</v>
      </c>
    </row>
    <row r="89" spans="30:31" ht="14.1" customHeight="1">
      <c r="AD89" s="71" t="s">
        <v>299</v>
      </c>
      <c r="AE89" s="36" t="s">
        <v>300</v>
      </c>
    </row>
    <row r="90" spans="30:31" ht="14.1" customHeight="1">
      <c r="AD90" s="71" t="s">
        <v>301</v>
      </c>
      <c r="AE90" s="36" t="s">
        <v>302</v>
      </c>
    </row>
    <row r="91" spans="30:31" ht="14.1" customHeight="1">
      <c r="AD91" s="71" t="s">
        <v>303</v>
      </c>
      <c r="AE91" s="36" t="s">
        <v>304</v>
      </c>
    </row>
    <row r="92" spans="30:31" ht="14.1" customHeight="1">
      <c r="AD92" s="71" t="s">
        <v>305</v>
      </c>
      <c r="AE92" s="36" t="s">
        <v>306</v>
      </c>
    </row>
    <row r="93" spans="30:31" ht="14.1" customHeight="1">
      <c r="AD93" s="71" t="s">
        <v>307</v>
      </c>
      <c r="AE93" s="36" t="s">
        <v>308</v>
      </c>
    </row>
    <row r="94" spans="30:31" ht="14.1" customHeight="1">
      <c r="AD94" s="71" t="s">
        <v>309</v>
      </c>
      <c r="AE94" s="36" t="s">
        <v>310</v>
      </c>
    </row>
    <row r="95" spans="30:31" ht="14.1" customHeight="1">
      <c r="AD95" s="71" t="s">
        <v>311</v>
      </c>
      <c r="AE95" s="36" t="s">
        <v>312</v>
      </c>
    </row>
    <row r="96" spans="30:31" ht="14.1" customHeight="1">
      <c r="AD96" s="71" t="s">
        <v>313</v>
      </c>
      <c r="AE96" s="36" t="s">
        <v>314</v>
      </c>
    </row>
    <row r="97" spans="30:31" ht="14.1" customHeight="1">
      <c r="AD97" s="71" t="s">
        <v>315</v>
      </c>
      <c r="AE97" s="36" t="s">
        <v>316</v>
      </c>
    </row>
    <row r="98" spans="30:31" ht="14.1" customHeight="1">
      <c r="AD98" s="71" t="s">
        <v>317</v>
      </c>
      <c r="AE98" s="36" t="s">
        <v>318</v>
      </c>
    </row>
    <row r="99" spans="30:31" ht="14.1" customHeight="1">
      <c r="AD99" s="71" t="s">
        <v>319</v>
      </c>
      <c r="AE99" s="36" t="s">
        <v>320</v>
      </c>
    </row>
    <row r="100" spans="30:31" ht="14.1" customHeight="1">
      <c r="AD100" s="71" t="s">
        <v>321</v>
      </c>
      <c r="AE100" s="36" t="s">
        <v>322</v>
      </c>
    </row>
    <row r="101" spans="30:31" ht="14.1" customHeight="1">
      <c r="AD101" s="71" t="s">
        <v>323</v>
      </c>
      <c r="AE101" s="36"/>
    </row>
    <row r="102" spans="30:31" ht="14.1" customHeight="1">
      <c r="AD102" s="71" t="s">
        <v>324</v>
      </c>
      <c r="AE102" s="36"/>
    </row>
    <row r="103" spans="30:31" ht="14.1" customHeight="1">
      <c r="AD103" s="71" t="s">
        <v>325</v>
      </c>
      <c r="AE103" s="36"/>
    </row>
    <row r="104" spans="30:31" ht="14.1" customHeight="1">
      <c r="AD104" s="71" t="s">
        <v>326</v>
      </c>
      <c r="AE104" s="36" t="s">
        <v>531</v>
      </c>
    </row>
    <row r="105" spans="30:31" ht="14.1" customHeight="1">
      <c r="AD105" s="71" t="s">
        <v>529</v>
      </c>
      <c r="AE105" s="103" t="s">
        <v>530</v>
      </c>
    </row>
  </sheetData>
  <mergeCells count="12">
    <mergeCell ref="C31:F35"/>
    <mergeCell ref="A27:D27"/>
    <mergeCell ref="A28:D28"/>
    <mergeCell ref="A29:D29"/>
    <mergeCell ref="A25:C25"/>
    <mergeCell ref="A31:B31"/>
    <mergeCell ref="A26:C26"/>
    <mergeCell ref="A41:F42"/>
    <mergeCell ref="A37:A40"/>
    <mergeCell ref="B37:B40"/>
    <mergeCell ref="C37:F40"/>
    <mergeCell ref="C36:F36"/>
  </mergeCells>
  <phoneticPr fontId="3" type="noConversion"/>
  <pageMargins left="0.7" right="0.7" top="0.75" bottom="0.75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UI/_rels/customUI14.xml.rels><?xml version="1.0" encoding="UTF-8" standalone="yes"?>
<Relationships xmlns="http://schemas.openxmlformats.org/package/2006/relationships"><Relationship Id="medal" Type="http://schemas.openxmlformats.org/officeDocument/2006/relationships/image" Target="images/medal.png"/><Relationship Id="transfer" Type="http://schemas.openxmlformats.org/officeDocument/2006/relationships/image" Target="images/transfer.png"/><Relationship Id="user-profile" Type="http://schemas.openxmlformats.org/officeDocument/2006/relationships/image" Target="images/user-profile.png"/><Relationship Id="home" Type="http://schemas.openxmlformats.org/officeDocument/2006/relationships/image" Target="images/home.png"/><Relationship Id="ft" Type="http://schemas.openxmlformats.org/officeDocument/2006/relationships/image" Target="images/ft.png"/><Relationship Id="announcement" Type="http://schemas.openxmlformats.org/officeDocument/2006/relationships/image" Target="images/announcement.png"/><Relationship Id="story" Type="http://schemas.openxmlformats.org/officeDocument/2006/relationships/image" Target="images/story.png"/><Relationship Id="sheet" Type="http://schemas.openxmlformats.org/officeDocument/2006/relationships/image" Target="images/sheet.png"/><Relationship Id="reload" Type="http://schemas.openxmlformats.org/officeDocument/2006/relationships/image" Target="images/reload.png"/><Relationship Id="spreadsheet" Type="http://schemas.openxmlformats.org/officeDocument/2006/relationships/image" Target="images/spreadsheet.png"/></Relationships>
</file>

<file path=customUI/customUI14.xml><?xml version="1.0" encoding="utf-8"?>
<customUI xmlns="http://schemas.microsoft.com/office/2009/07/customui">
  <ribbon startFromScratch="false">
    <tabs>
      <tab id="CustomTab" insertBeforeMso="TabHome" label="Setools ™">
        <group id="홈" label="홈">
          <button id="Button0-0" image="home" size="large" label="Home" screentip="홈로 이동" onAction="gohomeSheet"/>
          <button id="Button0-1" image="reload" size="large" label="모두 새로 고침" screentip="모두 새로 고침" onAction="reloadAll"/>
        </group>
        <group id="inputFromShow" label="Form">
          <button id="Button3-1" image="story" size="large" label="비닐스토리" screentip="비닐스토리입력" onAction="goEditFromStory"/>
          <button id="Button3-2" image="ft" size="large" label="비닐팩토리" screentip="비닐팩토리입력" onAction="goEditFromFactory"/>
          <button id="Button3-3" image="user-profile" size="large" label="유저편집" screentip="유저편집" onAction="goUserFrom"/>
        </group>
        <group id="DataModifyCopy" label="Sheet">
          <button id="Button5-1" image="sheet" size="large" label="입력시트" screentip="입력시트로 이동" onAction="goEditInput"/>
          <button id="Button5-2" image="transfer" size="large" label="출고DB/고객DB에 변환 저장하기" screentip="출고DB/고객DB에 변환 저장하기" onAction="DataOutSave"/>
        </group>
        <group id="DataDBCopy" label="DB">
          <button id="Button8-1" image="spreadsheet" size="large" label="출고DB-엑세스저장" screentip="출고DB-엑세스저장" onAction="DataOutSFTableSave"/>
          <button id="Button8-2" image="spreadsheet" size="large" label="고객DB-엑세스저장" screentip="고객DB-엑세스저장" onAction="DataOutUTableSave"/>
        </group>
        <group id="info" label="V8.0">
          <button id="Button6-1" image="medal" size="large" label="info" screentip="버전 정보를 봅니다" onAction="license8"/>
        </group>
        <group id="RX63A280" image="graduation-cap" label="v2.0">
          <button id="Button6-2" image="announcement" label="참고사항" screentip="정보를 봅니다" onAction="NavigateGallery_OnAction"/>
          <checkBox id="MyCheckBox" label="열 변경" onAction="ToggleColum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D12E46-2DD7-4DF8-AE82-B313A1FAC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대시보드</vt:lpstr>
      <vt:lpstr>입력</vt:lpstr>
      <vt:lpstr>검수S</vt:lpstr>
      <vt:lpstr>S검수</vt:lpstr>
      <vt:lpstr>S출고표</vt:lpstr>
      <vt:lpstr>F출고표</vt:lpstr>
      <vt:lpstr>출고DB</vt:lpstr>
      <vt:lpstr>고객DB</vt:lpstr>
      <vt:lpstr>Settings</vt:lpstr>
      <vt:lpstr>DefaultPath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ingyu Kang</dc:creator>
  <cp:lastModifiedBy>C4739@vp365.me</cp:lastModifiedBy>
  <dcterms:created xsi:type="dcterms:W3CDTF">2023-11-04T00:41:31Z</dcterms:created>
  <dcterms:modified xsi:type="dcterms:W3CDTF">2024-01-25T06:32:20Z</dcterms:modified>
</cp:coreProperties>
</file>